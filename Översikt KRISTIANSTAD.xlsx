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46324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46324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46324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46324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46324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46324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46324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5</v>
      </c>
      <c r="M9" t="n">
        <v>4</v>
      </c>
      <c r="N9" t="n">
        <v>0</v>
      </c>
      <c r="O9" t="n">
        <v>0</v>
      </c>
      <c r="P9" t="n">
        <v>0</v>
      </c>
      <c r="Q9" t="n">
        <v>9</v>
      </c>
      <c r="R9" t="n">
        <v>4</v>
      </c>
      <c r="S9" t="n">
        <v>11</v>
      </c>
      <c r="T9" t="n">
        <v>17</v>
      </c>
      <c r="U9" t="n">
        <v>6</v>
      </c>
      <c r="V9" s="2" t="inlineStr">
        <is>
          <t>Blå lökspindling
Kejsarspindling
Nunnespindling
Själlandsspindling
Bokvårtlav
Cinnoberspindling
Juvelspindling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46324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46324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46324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46324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46324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46324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46324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46324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46324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46324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46324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1415-2024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46324</v>
      </c>
      <c r="F21" t="inlineStr">
        <is>
          <t>SKÅNE LÄN</t>
        </is>
      </c>
      <c r="G21" t="inlineStr">
        <is>
          <t>KRISTIANSTAD</t>
        </is>
      </c>
      <c r="H21" t="inlineStr">
        <is>
          <t>Övriga Aktiebolag</t>
        </is>
      </c>
      <c r="I21" t="n">
        <v>3.1</v>
      </c>
      <c r="J21" t="n">
        <v>0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3</v>
      </c>
      <c r="V21" s="2" t="inlineStr">
        <is>
          <t>Fyrflikig jordstjärna
Stenticka
Stor tratticka
Liten stinksvamp
Rutbläcksvamp
Glansfläck</t>
        </is>
      </c>
      <c r="W21">
        <f>HYPERLINK("https://klasma.github.io/Logging_1290/artfynd/A 1415-2024 artfynd.xlsx", "A 1415-2024")</f>
        <v/>
      </c>
      <c r="X21">
        <f>HYPERLINK("https://klasma.github.io/Logging_1290/kartor/A 1415-2024 karta.png", "A 1415-2024")</f>
        <v/>
      </c>
      <c r="Y21">
        <f>HYPERLINK("https://klasma.github.io/Logging_1290/kartor_geotiff/A 1415-2024 georefererad karta.tif", "A 1415-2024")</f>
        <v/>
      </c>
      <c r="AA21">
        <f>HYPERLINK("https://klasma.github.io/Logging_1290/klagomål/A 1415-2024 FSC-klagomål.docx", "A 1415-2024")</f>
        <v/>
      </c>
      <c r="AB21">
        <f>HYPERLINK("https://klasma.github.io/Logging_1290/klagomålsmail/A 1415-2024 FSC-klagomål mail.docx", "A 1415-2024")</f>
        <v/>
      </c>
      <c r="AC21">
        <f>HYPERLINK("https://klasma.github.io/Logging_1290/tillsyn/A 1415-2024 tillsynsbegäran.docx", "A 1415-2024")</f>
        <v/>
      </c>
      <c r="AD21">
        <f>HYPERLINK("https://klasma.github.io/Logging_1290/tillsynsmail/A 1415-2024 tillsynsbegäran mail.docx", "A 1415-2024")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46324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46324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46324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46324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17026-2025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45755</v>
      </c>
      <c r="E26" s="1" t="n">
        <v>46324</v>
      </c>
      <c r="F26" t="inlineStr">
        <is>
          <t>SKÅNE LÄN</t>
        </is>
      </c>
      <c r="G26" t="inlineStr">
        <is>
          <t>KRISTIANSTAD</t>
        </is>
      </c>
      <c r="I26" t="n">
        <v>11.9</v>
      </c>
      <c r="J26" t="n">
        <v>6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Järnsparv
Sädesärla
Spillkråka
Skogsduva
Svartvit flugsnappare
Trana</t>
        </is>
      </c>
      <c r="W26">
        <f>HYPERLINK("https://klasma.github.io/Logging_1290/artfynd/A 17026-2025 artfynd.xlsx", "A 17026-2025")</f>
        <v/>
      </c>
      <c r="X26">
        <f>HYPERLINK("https://klasma.github.io/Logging_1290/kartor/A 17026-2025 karta.png", "A 17026-2025")</f>
        <v/>
      </c>
      <c r="Y26">
        <f>HYPERLINK("https://klasma.github.io/Logging_1290/kartor_geotiff/A 17026-2025 georefererad karta.tif", "A 17026-2025")</f>
        <v/>
      </c>
      <c r="AA26">
        <f>HYPERLINK("https://klasma.github.io/Logging_1290/klagomål/A 17026-2025 FSC-klagomål.docx", "A 17026-2025")</f>
        <v/>
      </c>
      <c r="AB26">
        <f>HYPERLINK("https://klasma.github.io/Logging_1290/klagomålsmail/A 17026-2025 FSC-klagomål mail.docx", "A 17026-2025")</f>
        <v/>
      </c>
      <c r="AC26">
        <f>HYPERLINK("https://klasma.github.io/Logging_1290/tillsyn/A 17026-2025 tillsynsbegäran.docx", "A 17026-2025")</f>
        <v/>
      </c>
      <c r="AD26">
        <f>HYPERLINK("https://klasma.github.io/Logging_1290/tillsynsmail/A 17026-2025 tillsynsbegäran mail.docx", "A 17026-2025")</f>
        <v/>
      </c>
      <c r="AE26">
        <f>HYPERLINK("https://klasma.github.io/Logging_1290/fåglar/A 17026-2025 prioriterade fågelarter.docx", "A 17026-2025")</f>
        <v/>
      </c>
    </row>
    <row r="27" ht="15" customHeight="1">
      <c r="A27" t="inlineStr">
        <is>
          <t>A 44586-2022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46324</v>
      </c>
      <c r="F27" t="inlineStr">
        <is>
          <t>SKÅNE LÄN</t>
        </is>
      </c>
      <c r="G27" t="inlineStr">
        <is>
          <t>KRISTIANSTAD</t>
        </is>
      </c>
      <c r="I27" t="n">
        <v>8.199999999999999</v>
      </c>
      <c r="J27" t="n">
        <v>1</v>
      </c>
      <c r="K27" t="n">
        <v>4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7</v>
      </c>
      <c r="U27" t="n">
        <v>7</v>
      </c>
      <c r="V27" s="2" t="inlineStr">
        <is>
          <t>Kandelabersvamp
Blåmossa
Gulnål
Jättesvampmal
Västlig hakmossa
Spillkråka</t>
        </is>
      </c>
      <c r="W27">
        <f>HYPERLINK("https://klasma.github.io/Logging_1290/artfynd/A 44586-2022 artfynd.xlsx", "A 44586-2022")</f>
        <v/>
      </c>
      <c r="X27">
        <f>HYPERLINK("https://klasma.github.io/Logging_1290/kartor/A 44586-2022 karta.png", "A 44586-2022")</f>
        <v/>
      </c>
      <c r="Y27">
        <f>HYPERLINK("https://klasma.github.io/Logging_1290/kartor_geotiff/A 44586-2022 georefererad karta.tif", "A 44586-2022")</f>
        <v/>
      </c>
      <c r="AA27">
        <f>HYPERLINK("https://klasma.github.io/Logging_1290/klagomål/A 44586-2022 FSC-klagomål.docx", "A 44586-2022")</f>
        <v/>
      </c>
      <c r="AB27">
        <f>HYPERLINK("https://klasma.github.io/Logging_1290/klagomålsmail/A 44586-2022 FSC-klagomål mail.docx", "A 44586-2022")</f>
        <v/>
      </c>
      <c r="AC27">
        <f>HYPERLINK("https://klasma.github.io/Logging_1290/tillsyn/A 44586-2022 tillsynsbegäran.docx", "A 44586-2022")</f>
        <v/>
      </c>
      <c r="AD27">
        <f>HYPERLINK("https://klasma.github.io/Logging_1290/tillsynsmail/A 44586-2022 tillsynsbegäran mail.docx", "A 44586-2022")</f>
        <v/>
      </c>
      <c r="AE27">
        <f>HYPERLINK("https://klasma.github.io/Logging_1290/fåglar/A 44586-2022 prioriterade fågelarter.docx", "A 44586-2022")</f>
        <v/>
      </c>
    </row>
    <row r="28" ht="15" customHeight="1">
      <c r="A28" t="inlineStr">
        <is>
          <t>A 15492-2023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45020</v>
      </c>
      <c r="E28" s="1" t="n">
        <v>46324</v>
      </c>
      <c r="F28" t="inlineStr">
        <is>
          <t>SKÅNE LÄN</t>
        </is>
      </c>
      <c r="G28" t="inlineStr">
        <is>
          <t>KRISTIANSTAD</t>
        </is>
      </c>
      <c r="H28" t="inlineStr">
        <is>
          <t>Sveaskog</t>
        </is>
      </c>
      <c r="I28" t="n">
        <v>1.8</v>
      </c>
      <c r="J28" t="n">
        <v>4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4</v>
      </c>
      <c r="V28" s="2" t="inlineStr">
        <is>
          <t>Mindre bastardsvärmare
Entita
Mindre tåtelsmygare
Talltita
Spillkråka
Vanlig padda</t>
        </is>
      </c>
      <c r="W28">
        <f>HYPERLINK("https://klasma.github.io/Logging_1290/artfynd/A 15492-2023 artfynd.xlsx", "A 15492-2023")</f>
        <v/>
      </c>
      <c r="X28">
        <f>HYPERLINK("https://klasma.github.io/Logging_1290/kartor/A 15492-2023 karta.png", "A 15492-2023")</f>
        <v/>
      </c>
      <c r="Y28">
        <f>HYPERLINK("https://klasma.github.io/Logging_1290/kartor_geotiff/A 15492-2023 georefererad karta.tif", "A 15492-2023")</f>
        <v/>
      </c>
      <c r="AA28">
        <f>HYPERLINK("https://klasma.github.io/Logging_1290/klagomål/A 15492-2023 FSC-klagomål.docx", "A 15492-2023")</f>
        <v/>
      </c>
      <c r="AB28">
        <f>HYPERLINK("https://klasma.github.io/Logging_1290/klagomålsmail/A 15492-2023 FSC-klagomål mail.docx", "A 15492-2023")</f>
        <v/>
      </c>
      <c r="AC28">
        <f>HYPERLINK("https://klasma.github.io/Logging_1290/tillsyn/A 15492-2023 tillsynsbegäran.docx", "A 15492-2023")</f>
        <v/>
      </c>
      <c r="AD28">
        <f>HYPERLINK("https://klasma.github.io/Logging_1290/tillsynsmail/A 15492-2023 tillsynsbegäran mail.docx", "A 15492-2023")</f>
        <v/>
      </c>
      <c r="AE28">
        <f>HYPERLINK("https://klasma.github.io/Logging_1290/fåglar/A 15492-2023 prioriterade fågelarter.docx", "A 15492-2023")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46324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46324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46324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46324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46324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46324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46324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46324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46324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46324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46324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46324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46324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46324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46324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46324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46324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19569-2026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46324</v>
      </c>
      <c r="F48" t="inlineStr">
        <is>
          <t>SKÅNE LÄN</t>
        </is>
      </c>
      <c r="G48" t="inlineStr">
        <is>
          <t>KRISTIANSTAD</t>
        </is>
      </c>
      <c r="H48" t="inlineStr">
        <is>
          <t>Kommuner</t>
        </is>
      </c>
      <c r="I48" t="n">
        <v>5</v>
      </c>
      <c r="J48" t="n">
        <v>2</v>
      </c>
      <c r="K48" t="n">
        <v>1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Ejder
Luktvädd
Skogsknipprot</t>
        </is>
      </c>
      <c r="W48">
        <f>HYPERLINK("https://klasma.github.io/Logging_1290/artfynd/A 19569-2026 artfynd.xlsx", "A 19569-2026")</f>
        <v/>
      </c>
      <c r="X48">
        <f>HYPERLINK("https://klasma.github.io/Logging_1290/kartor/A 19569-2026 karta.png", "A 19569-2026")</f>
        <v/>
      </c>
      <c r="Y48">
        <f>HYPERLINK("https://klasma.github.io/Logging_1290/kartor_geotiff/A 19569-2026 georefererad karta.tif", "A 19569-2026")</f>
        <v/>
      </c>
      <c r="AA48">
        <f>HYPERLINK("https://klasma.github.io/Logging_1290/klagomål/A 19569-2026 FSC-klagomål.docx", "A 19569-2026")</f>
        <v/>
      </c>
      <c r="AB48">
        <f>HYPERLINK("https://klasma.github.io/Logging_1290/klagomålsmail/A 19569-2026 FSC-klagomål mail.docx", "A 19569-2026")</f>
        <v/>
      </c>
      <c r="AC48">
        <f>HYPERLINK("https://klasma.github.io/Logging_1290/tillsyn/A 19569-2026 tillsynsbegäran.docx", "A 19569-2026")</f>
        <v/>
      </c>
      <c r="AD48">
        <f>HYPERLINK("https://klasma.github.io/Logging_1290/tillsynsmail/A 19569-2026 tillsynsbegäran mail.docx", "A 19569-2026")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46324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Bukspolsnäcka
Tandsnäcka
Lamellsnäcka</t>
        </is>
      </c>
      <c r="W49">
        <f>HYPERLINK("https://klasma.github.io/Logging_1290/artfynd/A 12576-2023 artfynd.xlsx", "A 12576-2023")</f>
        <v/>
      </c>
      <c r="X49">
        <f>HYPERLINK("https://klasma.github.io/Logging_1290/kartor/A 12576-2023 karta.png", "A 12576-2023")</f>
        <v/>
      </c>
      <c r="Y49">
        <f>HYPERLINK("https://klasma.github.io/Logging_1290/kartor_geotiff/A 12576-2023 georefererad karta.tif", "A 12576-2023")</f>
        <v/>
      </c>
      <c r="AA49">
        <f>HYPERLINK("https://klasma.github.io/Logging_1290/klagomål/A 12576-2023 FSC-klagomål.docx", "A 12576-2023")</f>
        <v/>
      </c>
      <c r="AB49">
        <f>HYPERLINK("https://klasma.github.io/Logging_1290/klagomålsmail/A 12576-2023 FSC-klagomål mail.docx", "A 12576-2023")</f>
        <v/>
      </c>
      <c r="AC49">
        <f>HYPERLINK("https://klasma.github.io/Logging_1290/tillsyn/A 12576-2023 tillsynsbegäran.docx", "A 12576-2023")</f>
        <v/>
      </c>
      <c r="AD49">
        <f>HYPERLINK("https://klasma.github.io/Logging_1290/tillsynsmail/A 12576-2023 tillsynsbegäran mail.docx", "A 12576-2023")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46324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46324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46324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46324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46324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46324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46324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1418-2024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46324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Gropticka
Stenticka</t>
        </is>
      </c>
      <c r="W57">
        <f>HYPERLINK("https://klasma.github.io/Logging_1290/artfynd/A 1418-2024 artfynd.xlsx", "A 1418-2024")</f>
        <v/>
      </c>
      <c r="X57">
        <f>HYPERLINK("https://klasma.github.io/Logging_1290/kartor/A 1418-2024 karta.png", "A 1418-2024")</f>
        <v/>
      </c>
      <c r="Y57">
        <f>HYPERLINK("https://klasma.github.io/Logging_1290/kartor_geotiff/A 1418-2024 georefererad karta.tif", "A 1418-2024")</f>
        <v/>
      </c>
      <c r="AA57">
        <f>HYPERLINK("https://klasma.github.io/Logging_1290/klagomål/A 1418-2024 FSC-klagomål.docx", "A 1418-2024")</f>
        <v/>
      </c>
      <c r="AB57">
        <f>HYPERLINK("https://klasma.github.io/Logging_1290/klagomålsmail/A 1418-2024 FSC-klagomål mail.docx", "A 1418-2024")</f>
        <v/>
      </c>
      <c r="AC57">
        <f>HYPERLINK("https://klasma.github.io/Logging_1290/tillsyn/A 1418-2024 tillsynsbegäran.docx", "A 1418-2024")</f>
        <v/>
      </c>
      <c r="AD57">
        <f>HYPERLINK("https://klasma.github.io/Logging_1290/tillsynsmail/A 1418-2024 tillsynsbegäran mail.docx", "A 1418-2024")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46324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46324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46324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50151-2025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46324</v>
      </c>
      <c r="F61" t="inlineStr">
        <is>
          <t>SKÅNE LÄN</t>
        </is>
      </c>
      <c r="G61" t="inlineStr">
        <is>
          <t>KRISTIANSTAD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Slåttergubbe
Grönvit nattviol</t>
        </is>
      </c>
      <c r="W61">
        <f>HYPERLINK("https://klasma.github.io/Logging_1290/artfynd/A 50151-2025 artfynd.xlsx", "A 50151-2025")</f>
        <v/>
      </c>
      <c r="X61">
        <f>HYPERLINK("https://klasma.github.io/Logging_1290/kartor/A 50151-2025 karta.png", "A 50151-2025")</f>
        <v/>
      </c>
      <c r="Y61">
        <f>HYPERLINK("https://klasma.github.io/Logging_1290/kartor_geotiff/A 50151-2025 georefererad karta.tif", "A 50151-2025")</f>
        <v/>
      </c>
      <c r="AA61">
        <f>HYPERLINK("https://klasma.github.io/Logging_1290/klagomål/A 50151-2025 FSC-klagomål.docx", "A 50151-2025")</f>
        <v/>
      </c>
      <c r="AB61">
        <f>HYPERLINK("https://klasma.github.io/Logging_1290/klagomålsmail/A 50151-2025 FSC-klagomål mail.docx", "A 50151-2025")</f>
        <v/>
      </c>
      <c r="AC61">
        <f>HYPERLINK("https://klasma.github.io/Logging_1290/tillsyn/A 50151-2025 tillsynsbegäran.docx", "A 50151-2025")</f>
        <v/>
      </c>
      <c r="AD61">
        <f>HYPERLINK("https://klasma.github.io/Logging_1290/tillsynsmail/A 50151-2025 tillsynsbegäran mail.docx", "A 50151-2025")</f>
        <v/>
      </c>
    </row>
    <row r="62" ht="15" customHeight="1">
      <c r="A62" t="inlineStr">
        <is>
          <t>A 11720-2025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46324</v>
      </c>
      <c r="F62" t="inlineStr">
        <is>
          <t>SKÅNE LÄN</t>
        </is>
      </c>
      <c r="G62" t="inlineStr">
        <is>
          <t>KRISTIANSTAD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Igelkottsröksvamp
Åkergroda</t>
        </is>
      </c>
      <c r="W62">
        <f>HYPERLINK("https://klasma.github.io/Logging_1290/artfynd/A 11720-2025 artfynd.xlsx", "A 11720-2025")</f>
        <v/>
      </c>
      <c r="X62">
        <f>HYPERLINK("https://klasma.github.io/Logging_1290/kartor/A 11720-2025 karta.png", "A 11720-2025")</f>
        <v/>
      </c>
      <c r="Y62">
        <f>HYPERLINK("https://klasma.github.io/Logging_1290/kartor_geotiff/A 11720-2025 georefererad karta.tif", "A 11720-2025")</f>
        <v/>
      </c>
      <c r="AA62">
        <f>HYPERLINK("https://klasma.github.io/Logging_1290/klagomål/A 11720-2025 FSC-klagomål.docx", "A 11720-2025")</f>
        <v/>
      </c>
      <c r="AB62">
        <f>HYPERLINK("https://klasma.github.io/Logging_1290/klagomålsmail/A 11720-2025 FSC-klagomål mail.docx", "A 11720-2025")</f>
        <v/>
      </c>
      <c r="AC62">
        <f>HYPERLINK("https://klasma.github.io/Logging_1290/tillsyn/A 11720-2025 tillsynsbegäran.docx", "A 11720-2025")</f>
        <v/>
      </c>
      <c r="AD62">
        <f>HYPERLINK("https://klasma.github.io/Logging_1290/tillsynsmail/A 11720-2025 tillsynsbegäran mail.docx", "A 11720-2025")</f>
        <v/>
      </c>
    </row>
    <row r="63" ht="15" customHeight="1">
      <c r="A63" t="inlineStr">
        <is>
          <t>A 25456-2023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46324</v>
      </c>
      <c r="F63" t="inlineStr">
        <is>
          <t>SKÅNE LÄN</t>
        </is>
      </c>
      <c r="G63" t="inlineStr">
        <is>
          <t>KRISTIANSTAD</t>
        </is>
      </c>
      <c r="I63" t="n">
        <v>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Fläckig glansspinnare
Krattsnabbvinge</t>
        </is>
      </c>
      <c r="W63">
        <f>HYPERLINK("https://klasma.github.io/Logging_1290/artfynd/A 25456-2023 artfynd.xlsx", "A 25456-2023")</f>
        <v/>
      </c>
      <c r="X63">
        <f>HYPERLINK("https://klasma.github.io/Logging_1290/kartor/A 25456-2023 karta.png", "A 25456-2023")</f>
        <v/>
      </c>
      <c r="Y63">
        <f>HYPERLINK("https://klasma.github.io/Logging_1290/kartor_geotiff/A 25456-2023 georefererad karta.tif", "A 25456-2023")</f>
        <v/>
      </c>
      <c r="AA63">
        <f>HYPERLINK("https://klasma.github.io/Logging_1290/klagomål/A 25456-2023 FSC-klagomål.docx", "A 25456-2023")</f>
        <v/>
      </c>
      <c r="AB63">
        <f>HYPERLINK("https://klasma.github.io/Logging_1290/klagomålsmail/A 25456-2023 FSC-klagomål mail.docx", "A 25456-2023")</f>
        <v/>
      </c>
      <c r="AC63">
        <f>HYPERLINK("https://klasma.github.io/Logging_1290/tillsyn/A 25456-2023 tillsynsbegäran.docx", "A 25456-2023")</f>
        <v/>
      </c>
      <c r="AD63">
        <f>HYPERLINK("https://klasma.github.io/Logging_1290/tillsynsmail/A 25456-2023 tillsynsbegäran mail.docx", "A 25456-2023")</f>
        <v/>
      </c>
    </row>
    <row r="64" ht="15" customHeight="1">
      <c r="A64" t="inlineStr">
        <is>
          <t>A 9898-2025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45716</v>
      </c>
      <c r="E64" s="1" t="n">
        <v>46324</v>
      </c>
      <c r="F64" t="inlineStr">
        <is>
          <t>SKÅNE LÄN</t>
        </is>
      </c>
      <c r="G64" t="inlineStr">
        <is>
          <t>KRISTIANSTAD</t>
        </is>
      </c>
      <c r="I64" t="n">
        <v>1.5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Fransig jordstjärna
Kantjordstjärna</t>
        </is>
      </c>
      <c r="W64">
        <f>HYPERLINK("https://klasma.github.io/Logging_1290/artfynd/A 9898-2025 artfynd.xlsx", "A 9898-2025")</f>
        <v/>
      </c>
      <c r="X64">
        <f>HYPERLINK("https://klasma.github.io/Logging_1290/kartor/A 9898-2025 karta.png", "A 9898-2025")</f>
        <v/>
      </c>
      <c r="Y64">
        <f>HYPERLINK("https://klasma.github.io/Logging_1290/kartor_geotiff/A 9898-2025 georefererad karta.tif", "A 9898-2025")</f>
        <v/>
      </c>
      <c r="AA64">
        <f>HYPERLINK("https://klasma.github.io/Logging_1290/klagomål/A 9898-2025 FSC-klagomål.docx", "A 9898-2025")</f>
        <v/>
      </c>
      <c r="AB64">
        <f>HYPERLINK("https://klasma.github.io/Logging_1290/klagomålsmail/A 9898-2025 FSC-klagomål mail.docx", "A 9898-2025")</f>
        <v/>
      </c>
      <c r="AC64">
        <f>HYPERLINK("https://klasma.github.io/Logging_1290/tillsyn/A 9898-2025 tillsynsbegäran.docx", "A 9898-2025")</f>
        <v/>
      </c>
      <c r="AD64">
        <f>HYPERLINK("https://klasma.github.io/Logging_1290/tillsynsmail/A 9898-2025 tillsynsbegäran mail.docx", "A 9898-2025")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46324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55499-2024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46324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Hedpärlemorfjäril
Grönvit nattviol</t>
        </is>
      </c>
      <c r="W66">
        <f>HYPERLINK("https://klasma.github.io/Logging_1290/artfynd/A 55499-2024 artfynd.xlsx", "A 55499-2024")</f>
        <v/>
      </c>
      <c r="X66">
        <f>HYPERLINK("https://klasma.github.io/Logging_1290/kartor/A 55499-2024 karta.png", "A 55499-2024")</f>
        <v/>
      </c>
      <c r="Y66">
        <f>HYPERLINK("https://klasma.github.io/Logging_1290/kartor_geotiff/A 55499-2024 georefererad karta.tif", "A 55499-2024")</f>
        <v/>
      </c>
      <c r="AA66">
        <f>HYPERLINK("https://klasma.github.io/Logging_1290/klagomål/A 55499-2024 FSC-klagomål.docx", "A 55499-2024")</f>
        <v/>
      </c>
      <c r="AB66">
        <f>HYPERLINK("https://klasma.github.io/Logging_1290/klagomålsmail/A 55499-2024 FSC-klagomål mail.docx", "A 55499-2024")</f>
        <v/>
      </c>
      <c r="AC66">
        <f>HYPERLINK("https://klasma.github.io/Logging_1290/tillsyn/A 55499-2024 tillsynsbegäran.docx", "A 55499-2024")</f>
        <v/>
      </c>
      <c r="AD66">
        <f>HYPERLINK("https://klasma.github.io/Logging_1290/tillsynsmail/A 55499-2024 tillsynsbegäran mail.docx", "A 55499-2024")</f>
        <v/>
      </c>
    </row>
    <row r="67" ht="15" customHeight="1">
      <c r="A67" t="inlineStr">
        <is>
          <t>A 60333-2022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44910</v>
      </c>
      <c r="E67" s="1" t="n">
        <v>46324</v>
      </c>
      <c r="F67" t="inlineStr">
        <is>
          <t>SKÅNE LÄN</t>
        </is>
      </c>
      <c r="G67" t="inlineStr">
        <is>
          <t>KRISTIANSTAD</t>
        </is>
      </c>
      <c r="I67" t="n">
        <v>4.1</v>
      </c>
      <c r="J67" t="n">
        <v>1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1</v>
      </c>
      <c r="V67" s="2" t="inlineStr">
        <is>
          <t>Sandödla
Åkersyska</t>
        </is>
      </c>
      <c r="W67">
        <f>HYPERLINK("https://klasma.github.io/Logging_1290/artfynd/A 60333-2022 artfynd.xlsx", "A 60333-2022")</f>
        <v/>
      </c>
      <c r="X67">
        <f>HYPERLINK("https://klasma.github.io/Logging_1290/kartor/A 60333-2022 karta.png", "A 60333-2022")</f>
        <v/>
      </c>
      <c r="Y67">
        <f>HYPERLINK("https://klasma.github.io/Logging_1290/kartor_geotiff/A 60333-2022 georefererad karta.tif", "A 60333-2022")</f>
        <v/>
      </c>
      <c r="AA67">
        <f>HYPERLINK("https://klasma.github.io/Logging_1290/klagomål/A 60333-2022 FSC-klagomål.docx", "A 60333-2022")</f>
        <v/>
      </c>
      <c r="AB67">
        <f>HYPERLINK("https://klasma.github.io/Logging_1290/klagomålsmail/A 60333-2022 FSC-klagomål mail.docx", "A 60333-2022")</f>
        <v/>
      </c>
      <c r="AC67">
        <f>HYPERLINK("https://klasma.github.io/Logging_1290/tillsyn/A 60333-2022 tillsynsbegäran.docx", "A 60333-2022")</f>
        <v/>
      </c>
      <c r="AD67">
        <f>HYPERLINK("https://klasma.github.io/Logging_1290/tillsynsmail/A 60333-2022 tillsynsbegäran mail.docx", "A 60333-2022")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46324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30842-2022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46324</v>
      </c>
      <c r="F69" t="inlineStr">
        <is>
          <t>SKÅNE LÄN</t>
        </is>
      </c>
      <c r="G69" t="inlineStr">
        <is>
          <t>KRISTIANSTAD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2</v>
      </c>
      <c r="V69" s="2" t="inlineStr">
        <is>
          <t>Småvänderot
Större vattensalamander</t>
        </is>
      </c>
      <c r="W69">
        <f>HYPERLINK("https://klasma.github.io/Logging_1290/artfynd/A 30842-2022 artfynd.xlsx", "A 30842-2022")</f>
        <v/>
      </c>
      <c r="X69">
        <f>HYPERLINK("https://klasma.github.io/Logging_1290/kartor/A 30842-2022 karta.png", "A 30842-2022")</f>
        <v/>
      </c>
      <c r="Y69">
        <f>HYPERLINK("https://klasma.github.io/Logging_1290/kartor_geotiff/A 30842-2022 georefererad karta.tif", "A 30842-2022")</f>
        <v/>
      </c>
      <c r="AA69">
        <f>HYPERLINK("https://klasma.github.io/Logging_1290/klagomål/A 30842-2022 FSC-klagomål.docx", "A 30842-2022")</f>
        <v/>
      </c>
      <c r="AB69">
        <f>HYPERLINK("https://klasma.github.io/Logging_1290/klagomålsmail/A 30842-2022 FSC-klagomål mail.docx", "A 30842-2022")</f>
        <v/>
      </c>
      <c r="AC69">
        <f>HYPERLINK("https://klasma.github.io/Logging_1290/tillsyn/A 30842-2022 tillsynsbegäran.docx", "A 30842-2022")</f>
        <v/>
      </c>
      <c r="AD69">
        <f>HYPERLINK("https://klasma.github.io/Logging_1290/tillsynsmail/A 30842-2022 tillsynsbegäran mail.docx", "A 30842-2022")</f>
        <v/>
      </c>
    </row>
    <row r="70" ht="15" customHeight="1">
      <c r="A70" t="inlineStr">
        <is>
          <t>A 12744-2026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46091</v>
      </c>
      <c r="E70" s="1" t="n">
        <v>46324</v>
      </c>
      <c r="F70" t="inlineStr">
        <is>
          <t>SKÅNE LÄN</t>
        </is>
      </c>
      <c r="G70" t="inlineStr">
        <is>
          <t>KRISTIANSTAD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Glansfläck
Olivklotterlav</t>
        </is>
      </c>
      <c r="W70">
        <f>HYPERLINK("https://klasma.github.io/Logging_1290/artfynd/A 12744-2026 artfynd.xlsx", "A 12744-2026")</f>
        <v/>
      </c>
      <c r="X70">
        <f>HYPERLINK("https://klasma.github.io/Logging_1290/kartor/A 12744-2026 karta.png", "A 12744-2026")</f>
        <v/>
      </c>
      <c r="Y70">
        <f>HYPERLINK("https://klasma.github.io/Logging_1290/kartor_geotiff/A 12744-2026 georefererad karta.tif", "A 12744-2026")</f>
        <v/>
      </c>
      <c r="AA70">
        <f>HYPERLINK("https://klasma.github.io/Logging_1290/klagomål/A 12744-2026 FSC-klagomål.docx", "A 12744-2026")</f>
        <v/>
      </c>
      <c r="AB70">
        <f>HYPERLINK("https://klasma.github.io/Logging_1290/klagomålsmail/A 12744-2026 FSC-klagomål mail.docx", "A 12744-2026")</f>
        <v/>
      </c>
      <c r="AC70">
        <f>HYPERLINK("https://klasma.github.io/Logging_1290/tillsyn/A 12744-2026 tillsynsbegäran.docx", "A 12744-2026")</f>
        <v/>
      </c>
      <c r="AD70">
        <f>HYPERLINK("https://klasma.github.io/Logging_1290/tillsynsmail/A 12744-2026 tillsynsbegäran mail.docx", "A 12744-2026")</f>
        <v/>
      </c>
    </row>
    <row r="71" ht="15" customHeight="1">
      <c r="A71" t="inlineStr">
        <is>
          <t>A 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45665</v>
      </c>
      <c r="E71" s="1" t="n">
        <v>46324</v>
      </c>
      <c r="F71" t="inlineStr">
        <is>
          <t>SKÅNE LÄN</t>
        </is>
      </c>
      <c r="G71" t="inlineStr">
        <is>
          <t>KRISTIANSTAD</t>
        </is>
      </c>
      <c r="I71" t="n">
        <v>1.9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Rosa lundlav
Stiftklotterlav</t>
        </is>
      </c>
      <c r="W71">
        <f>HYPERLINK("https://klasma.github.io/Logging_1290/artfynd/A 755-2025 artfynd.xlsx", "A 755-2025")</f>
        <v/>
      </c>
      <c r="X71">
        <f>HYPERLINK("https://klasma.github.io/Logging_1290/kartor/A 755-2025 karta.png", "A 755-2025")</f>
        <v/>
      </c>
      <c r="Y71">
        <f>HYPERLINK("https://klasma.github.io/Logging_1290/kartor_geotiff/A 755-2025 georefererad karta.tif", "A 755-2025")</f>
        <v/>
      </c>
      <c r="AA71">
        <f>HYPERLINK("https://klasma.github.io/Logging_1290/klagomål/A 755-2025 FSC-klagomål.docx", "A 755-2025")</f>
        <v/>
      </c>
      <c r="AB71">
        <f>HYPERLINK("https://klasma.github.io/Logging_1290/klagomålsmail/A 755-2025 FSC-klagomål mail.docx", "A 755-2025")</f>
        <v/>
      </c>
      <c r="AC71">
        <f>HYPERLINK("https://klasma.github.io/Logging_1290/tillsyn/A 755-2025 tillsynsbegäran.docx", "A 755-2025")</f>
        <v/>
      </c>
      <c r="AD71">
        <f>HYPERLINK("https://klasma.github.io/Logging_1290/tillsynsmail/A 755-2025 tillsynsbegäran mail.docx", "A 755-2025")</f>
        <v/>
      </c>
    </row>
    <row r="72" ht="15" customHeight="1">
      <c r="A72" t="inlineStr">
        <is>
          <t>A 56969-2023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46324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2.4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Lundbräsma
Myskmadra</t>
        </is>
      </c>
      <c r="W72">
        <f>HYPERLINK("https://klasma.github.io/Logging_1290/artfynd/A 56969-2023 artfynd.xlsx", "A 56969-2023")</f>
        <v/>
      </c>
      <c r="X72">
        <f>HYPERLINK("https://klasma.github.io/Logging_1290/kartor/A 56969-2023 karta.png", "A 56969-2023")</f>
        <v/>
      </c>
      <c r="Y72">
        <f>HYPERLINK("https://klasma.github.io/Logging_1290/kartor_geotiff/A 56969-2023 georefererad karta.tif", "A 56969-2023")</f>
        <v/>
      </c>
      <c r="AA72">
        <f>HYPERLINK("https://klasma.github.io/Logging_1290/klagomål/A 56969-2023 FSC-klagomål.docx", "A 56969-2023")</f>
        <v/>
      </c>
      <c r="AB72">
        <f>HYPERLINK("https://klasma.github.io/Logging_1290/klagomålsmail/A 56969-2023 FSC-klagomål mail.docx", "A 56969-2023")</f>
        <v/>
      </c>
      <c r="AC72">
        <f>HYPERLINK("https://klasma.github.io/Logging_1290/tillsyn/A 56969-2023 tillsynsbegäran.docx", "A 56969-2023")</f>
        <v/>
      </c>
      <c r="AD72">
        <f>HYPERLINK("https://klasma.github.io/Logging_1290/tillsynsmail/A 56969-2023 tillsynsbegäran mail.docx", "A 56969-2023")</f>
        <v/>
      </c>
    </row>
    <row r="73" ht="15" customHeight="1">
      <c r="A73" t="inlineStr">
        <is>
          <t>A 30526-2024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45492</v>
      </c>
      <c r="E73" s="1" t="n">
        <v>46324</v>
      </c>
      <c r="F73" t="inlineStr">
        <is>
          <t>SKÅNE LÄN</t>
        </is>
      </c>
      <c r="G73" t="inlineStr">
        <is>
          <t>KRISTIANSTAD</t>
        </is>
      </c>
      <c r="I73" t="n">
        <v>2.3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Dvärgjohannesört
Stor häxört</t>
        </is>
      </c>
      <c r="W73">
        <f>HYPERLINK("https://klasma.github.io/Logging_1290/artfynd/A 30526-2024 artfynd.xlsx", "A 30526-2024")</f>
        <v/>
      </c>
      <c r="X73">
        <f>HYPERLINK("https://klasma.github.io/Logging_1290/kartor/A 30526-2024 karta.png", "A 30526-2024")</f>
        <v/>
      </c>
      <c r="Y73">
        <f>HYPERLINK("https://klasma.github.io/Logging_1290/kartor_geotiff/A 30526-2024 georefererad karta.tif", "A 30526-2024")</f>
        <v/>
      </c>
      <c r="AA73">
        <f>HYPERLINK("https://klasma.github.io/Logging_1290/klagomål/A 30526-2024 FSC-klagomål.docx", "A 30526-2024")</f>
        <v/>
      </c>
      <c r="AB73">
        <f>HYPERLINK("https://klasma.github.io/Logging_1290/klagomålsmail/A 30526-2024 FSC-klagomål mail.docx", "A 30526-2024")</f>
        <v/>
      </c>
      <c r="AC73">
        <f>HYPERLINK("https://klasma.github.io/Logging_1290/tillsyn/A 30526-2024 tillsynsbegäran.docx", "A 30526-2024")</f>
        <v/>
      </c>
      <c r="AD73">
        <f>HYPERLINK("https://klasma.github.io/Logging_1290/tillsynsmail/A 30526-2024 tillsynsbegäran mail.docx", "A 30526-2024")</f>
        <v/>
      </c>
    </row>
    <row r="74" ht="15" customHeight="1">
      <c r="A74" t="inlineStr">
        <is>
          <t>A 42097-2026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46304</v>
      </c>
      <c r="E74" s="1" t="n">
        <v>46324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Kråka
Kungsfågel</t>
        </is>
      </c>
      <c r="W74">
        <f>HYPERLINK("https://klasma.github.io/Logging_1290/artfynd/A 42097-2026 artfynd.xlsx", "A 42097-2026")</f>
        <v/>
      </c>
      <c r="X74">
        <f>HYPERLINK("https://klasma.github.io/Logging_1290/kartor/A 42097-2026 karta.png", "A 42097-2026")</f>
        <v/>
      </c>
      <c r="Y74">
        <f>HYPERLINK("https://klasma.github.io/Logging_1290/kartor_geotiff/A 42097-2026 georefererad karta.tif", "A 42097-2026")</f>
        <v/>
      </c>
      <c r="AA74">
        <f>HYPERLINK("https://klasma.github.io/Logging_1290/klagomål/A 42097-2026 FSC-klagomål.docx", "A 42097-2026")</f>
        <v/>
      </c>
      <c r="AB74">
        <f>HYPERLINK("https://klasma.github.io/Logging_1290/klagomålsmail/A 42097-2026 FSC-klagomål mail.docx", "A 42097-2026")</f>
        <v/>
      </c>
      <c r="AC74">
        <f>HYPERLINK("https://klasma.github.io/Logging_1290/tillsyn/A 42097-2026 tillsynsbegäran.docx", "A 42097-2026")</f>
        <v/>
      </c>
      <c r="AD74">
        <f>HYPERLINK("https://klasma.github.io/Logging_1290/tillsynsmail/A 42097-2026 tillsynsbegäran mail.docx", "A 42097-2026")</f>
        <v/>
      </c>
    </row>
    <row r="75" ht="15" customHeight="1">
      <c r="A75" t="inlineStr">
        <is>
          <t>A 25762-2024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46324</v>
      </c>
      <c r="F75" t="inlineStr">
        <is>
          <t>SKÅNE LÄN</t>
        </is>
      </c>
      <c r="G75" t="inlineStr">
        <is>
          <t>KRISTIANSTAD</t>
        </is>
      </c>
      <c r="I75" t="n">
        <v>0.6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6</v>
      </c>
      <c r="U75" t="n">
        <v>1</v>
      </c>
      <c r="V75" s="2" t="inlineStr">
        <is>
          <t>Blomkålssvamp
Gullviva</t>
        </is>
      </c>
      <c r="W75">
        <f>HYPERLINK("https://klasma.github.io/Logging_1290/artfynd/A 25762-2024 artfynd.xlsx", "A 25762-2024")</f>
        <v/>
      </c>
      <c r="X75">
        <f>HYPERLINK("https://klasma.github.io/Logging_1290/kartor/A 25762-2024 karta.png", "A 25762-2024")</f>
        <v/>
      </c>
      <c r="Y75">
        <f>HYPERLINK("https://klasma.github.io/Logging_1290/kartor_geotiff/A 25762-2024 georefererad karta.tif", "A 25762-2024")</f>
        <v/>
      </c>
      <c r="AA75">
        <f>HYPERLINK("https://klasma.github.io/Logging_1290/klagomål/A 25762-2024 FSC-klagomål.docx", "A 25762-2024")</f>
        <v/>
      </c>
      <c r="AB75">
        <f>HYPERLINK("https://klasma.github.io/Logging_1290/klagomålsmail/A 25762-2024 FSC-klagomål mail.docx", "A 25762-2024")</f>
        <v/>
      </c>
      <c r="AC75">
        <f>HYPERLINK("https://klasma.github.io/Logging_1290/tillsyn/A 25762-2024 tillsynsbegäran.docx", "A 25762-2024")</f>
        <v/>
      </c>
      <c r="AD75">
        <f>HYPERLINK("https://klasma.github.io/Logging_1290/tillsynsmail/A 25762-2024 tillsynsbegäran mail.docx", "A 25762-2024")</f>
        <v/>
      </c>
    </row>
    <row r="76" ht="15" customHeight="1">
      <c r="A76" t="inlineStr">
        <is>
          <t>A 2888-2024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46324</v>
      </c>
      <c r="F76" t="inlineStr">
        <is>
          <t>SKÅNE LÄN</t>
        </is>
      </c>
      <c r="G76" t="inlineStr">
        <is>
          <t>KRISTIANSTAD</t>
        </is>
      </c>
      <c r="I76" t="n">
        <v>10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Kransrams
Stor häxört</t>
        </is>
      </c>
      <c r="W76">
        <f>HYPERLINK("https://klasma.github.io/Logging_1290/artfynd/A 2888-2024 artfynd.xlsx", "A 2888-2024")</f>
        <v/>
      </c>
      <c r="X76">
        <f>HYPERLINK("https://klasma.github.io/Logging_1290/kartor/A 2888-2024 karta.png", "A 2888-2024")</f>
        <v/>
      </c>
      <c r="Y76">
        <f>HYPERLINK("https://klasma.github.io/Logging_1290/kartor_geotiff/A 2888-2024 georefererad karta.tif", "A 2888-2024")</f>
        <v/>
      </c>
      <c r="AA76">
        <f>HYPERLINK("https://klasma.github.io/Logging_1290/klagomål/A 2888-2024 FSC-klagomål.docx", "A 2888-2024")</f>
        <v/>
      </c>
      <c r="AB76">
        <f>HYPERLINK("https://klasma.github.io/Logging_1290/klagomålsmail/A 2888-2024 FSC-klagomål mail.docx", "A 2888-2024")</f>
        <v/>
      </c>
      <c r="AC76">
        <f>HYPERLINK("https://klasma.github.io/Logging_1290/tillsyn/A 2888-2024 tillsynsbegäran.docx", "A 2888-2024")</f>
        <v/>
      </c>
      <c r="AD76">
        <f>HYPERLINK("https://klasma.github.io/Logging_1290/tillsynsmail/A 2888-2024 tillsynsbegäran mail.docx", "A 2888-2024")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46324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46324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14232-2023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45009</v>
      </c>
      <c r="E79" s="1" t="n">
        <v>46324</v>
      </c>
      <c r="F79" t="inlineStr">
        <is>
          <t>SKÅNE LÄN</t>
        </is>
      </c>
      <c r="G79" t="inlineStr">
        <is>
          <t>KRISTIANSTAD</t>
        </is>
      </c>
      <c r="I79" t="n">
        <v>7.1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Gullviva</t>
        </is>
      </c>
      <c r="W79">
        <f>HYPERLINK("https://klasma.github.io/Logging_1290/artfynd/A 14232-2023 artfynd.xlsx", "A 14232-2023")</f>
        <v/>
      </c>
      <c r="X79">
        <f>HYPERLINK("https://klasma.github.io/Logging_1290/kartor/A 14232-2023 karta.png", "A 14232-2023")</f>
        <v/>
      </c>
      <c r="Y79">
        <f>HYPERLINK("https://klasma.github.io/Logging_1290/kartor_geotiff/A 14232-2023 georefererad karta.tif", "A 14232-2023")</f>
        <v/>
      </c>
      <c r="AA79">
        <f>HYPERLINK("https://klasma.github.io/Logging_1290/klagomål/A 14232-2023 FSC-klagomål.docx", "A 14232-2023")</f>
        <v/>
      </c>
      <c r="AB79">
        <f>HYPERLINK("https://klasma.github.io/Logging_1290/klagomålsmail/A 14232-2023 FSC-klagomål mail.docx", "A 14232-2023")</f>
        <v/>
      </c>
      <c r="AC79">
        <f>HYPERLINK("https://klasma.github.io/Logging_1290/tillsyn/A 14232-2023 tillsynsbegäran.docx", "A 14232-2023")</f>
        <v/>
      </c>
      <c r="AD79">
        <f>HYPERLINK("https://klasma.github.io/Logging_1290/tillsynsmail/A 14232-2023 tillsynsbegäran mail.docx", "A 14232-2023")</f>
        <v/>
      </c>
    </row>
    <row r="80" ht="15" customHeight="1">
      <c r="A80" t="inlineStr">
        <is>
          <t>A 8290-2024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46324</v>
      </c>
      <c r="F80" t="inlineStr">
        <is>
          <t>SKÅNE LÄN</t>
        </is>
      </c>
      <c r="G80" t="inlineStr">
        <is>
          <t>KRISTIANSTAD</t>
        </is>
      </c>
      <c r="I80" t="n">
        <v>0.7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Lömsk flugsvamp</t>
        </is>
      </c>
      <c r="W80">
        <f>HYPERLINK("https://klasma.github.io/Logging_1290/artfynd/A 8290-2024 artfynd.xlsx", "A 8290-2024")</f>
        <v/>
      </c>
      <c r="X80">
        <f>HYPERLINK("https://klasma.github.io/Logging_1290/kartor/A 8290-2024 karta.png", "A 8290-2024")</f>
        <v/>
      </c>
      <c r="Y80">
        <f>HYPERLINK("https://klasma.github.io/Logging_1290/kartor_geotiff/A 8290-2024 georefererad karta.tif", "A 8290-2024")</f>
        <v/>
      </c>
      <c r="AA80">
        <f>HYPERLINK("https://klasma.github.io/Logging_1290/klagomål/A 8290-2024 FSC-klagomål.docx", "A 8290-2024")</f>
        <v/>
      </c>
      <c r="AB80">
        <f>HYPERLINK("https://klasma.github.io/Logging_1290/klagomålsmail/A 8290-2024 FSC-klagomål mail.docx", "A 8290-2024")</f>
        <v/>
      </c>
      <c r="AC80">
        <f>HYPERLINK("https://klasma.github.io/Logging_1290/tillsyn/A 8290-2024 tillsynsbegäran.docx", "A 8290-2024")</f>
        <v/>
      </c>
      <c r="AD80">
        <f>HYPERLINK("https://klasma.github.io/Logging_1290/tillsynsmail/A 8290-2024 tillsynsbegäran mail.docx", "A 8290-2024")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46324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33362-2023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45128</v>
      </c>
      <c r="E82" s="1" t="n">
        <v>46324</v>
      </c>
      <c r="F82" t="inlineStr">
        <is>
          <t>SKÅNE LÄN</t>
        </is>
      </c>
      <c r="G82" t="inlineStr">
        <is>
          <t>KRISTIANSTAD</t>
        </is>
      </c>
      <c r="I82" t="n">
        <v>4.9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HYPERLINK("https://klasma.github.io/Logging_1290/artfynd/A 33362-2023 artfynd.xlsx", "A 33362-2023")</f>
        <v/>
      </c>
      <c r="X82">
        <f>HYPERLINK("https://klasma.github.io/Logging_1290/kartor/A 33362-2023 karta.png", "A 33362-2023")</f>
        <v/>
      </c>
      <c r="Y82">
        <f>HYPERLINK("https://klasma.github.io/Logging_1290/kartor_geotiff/A 33362-2023 georefererad karta.tif", "A 33362-2023")</f>
        <v/>
      </c>
      <c r="AA82">
        <f>HYPERLINK("https://klasma.github.io/Logging_1290/klagomål/A 33362-2023 FSC-klagomål.docx", "A 33362-2023")</f>
        <v/>
      </c>
      <c r="AB82">
        <f>HYPERLINK("https://klasma.github.io/Logging_1290/klagomålsmail/A 33362-2023 FSC-klagomål mail.docx", "A 33362-2023")</f>
        <v/>
      </c>
      <c r="AC82">
        <f>HYPERLINK("https://klasma.github.io/Logging_1290/tillsyn/A 33362-2023 tillsynsbegäran.docx", "A 33362-2023")</f>
        <v/>
      </c>
      <c r="AD82">
        <f>HYPERLINK("https://klasma.github.io/Logging_1290/tillsynsmail/A 33362-2023 tillsynsbegäran mail.docx", "A 33362-2023")</f>
        <v/>
      </c>
    </row>
    <row r="83" ht="15" customHeight="1">
      <c r="A83" t="inlineStr">
        <is>
          <t>A 40668-2024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46324</v>
      </c>
      <c r="F83" t="inlineStr">
        <is>
          <t>SKÅNE LÄN</t>
        </is>
      </c>
      <c r="G83" t="inlineStr">
        <is>
          <t>KRISTIANSTAD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Spillkråka</t>
        </is>
      </c>
      <c r="W83">
        <f>HYPERLINK("https://klasma.github.io/Logging_1290/artfynd/A 40668-2024 artfynd.xlsx", "A 40668-2024")</f>
        <v/>
      </c>
      <c r="X83">
        <f>HYPERLINK("https://klasma.github.io/Logging_1290/kartor/A 40668-2024 karta.png", "A 40668-2024")</f>
        <v/>
      </c>
      <c r="Y83">
        <f>HYPERLINK("https://klasma.github.io/Logging_1290/kartor_geotiff/A 40668-2024 georefererad karta.tif", "A 40668-2024")</f>
        <v/>
      </c>
      <c r="AA83">
        <f>HYPERLINK("https://klasma.github.io/Logging_1290/klagomål/A 40668-2024 FSC-klagomål.docx", "A 40668-2024")</f>
        <v/>
      </c>
      <c r="AB83">
        <f>HYPERLINK("https://klasma.github.io/Logging_1290/klagomålsmail/A 40668-2024 FSC-klagomål mail.docx", "A 40668-2024")</f>
        <v/>
      </c>
      <c r="AC83">
        <f>HYPERLINK("https://klasma.github.io/Logging_1290/tillsyn/A 40668-2024 tillsynsbegäran.docx", "A 40668-2024")</f>
        <v/>
      </c>
      <c r="AD83">
        <f>HYPERLINK("https://klasma.github.io/Logging_1290/tillsynsmail/A 40668-2024 tillsynsbegäran mail.docx", "A 40668-2024")</f>
        <v/>
      </c>
      <c r="AE83">
        <f>HYPERLINK("https://klasma.github.io/Logging_1290/fåglar/A 40668-2024 prioriterade fågelarter.docx", "A 40668-2024")</f>
        <v/>
      </c>
    </row>
    <row r="84" ht="15" customHeight="1">
      <c r="A84" t="inlineStr">
        <is>
          <t>A 38938-2022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46324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Småvänderot</t>
        </is>
      </c>
      <c r="W84">
        <f>HYPERLINK("https://klasma.github.io/Logging_1290/artfynd/A 38938-2022 artfynd.xlsx", "A 38938-2022")</f>
        <v/>
      </c>
      <c r="X84">
        <f>HYPERLINK("https://klasma.github.io/Logging_1290/kartor/A 38938-2022 karta.png", "A 38938-2022")</f>
        <v/>
      </c>
      <c r="Y84">
        <f>HYPERLINK("https://klasma.github.io/Logging_1290/kartor_geotiff/A 38938-2022 georefererad karta.tif", "A 38938-2022")</f>
        <v/>
      </c>
      <c r="AA84">
        <f>HYPERLINK("https://klasma.github.io/Logging_1290/klagomål/A 38938-2022 FSC-klagomål.docx", "A 38938-2022")</f>
        <v/>
      </c>
      <c r="AB84">
        <f>HYPERLINK("https://klasma.github.io/Logging_1290/klagomålsmail/A 38938-2022 FSC-klagomål mail.docx", "A 38938-2022")</f>
        <v/>
      </c>
      <c r="AC84">
        <f>HYPERLINK("https://klasma.github.io/Logging_1290/tillsyn/A 38938-2022 tillsynsbegäran.docx", "A 38938-2022")</f>
        <v/>
      </c>
      <c r="AD84">
        <f>HYPERLINK("https://klasma.github.io/Logging_1290/tillsynsmail/A 38938-2022 tillsynsbegäran mail.docx", "A 38938-2022")</f>
        <v/>
      </c>
    </row>
    <row r="85" ht="15" customHeight="1">
      <c r="A85" t="inlineStr">
        <is>
          <t>A 62367-2023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45267</v>
      </c>
      <c r="E85" s="1" t="n">
        <v>46324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Sjötåtel</t>
        </is>
      </c>
      <c r="W85">
        <f>HYPERLINK("https://klasma.github.io/Logging_1290/artfynd/A 62367-2023 artfynd.xlsx", "A 62367-2023")</f>
        <v/>
      </c>
      <c r="X85">
        <f>HYPERLINK("https://klasma.github.io/Logging_1290/kartor/A 62367-2023 karta.png", "A 62367-2023")</f>
        <v/>
      </c>
      <c r="Y85">
        <f>HYPERLINK("https://klasma.github.io/Logging_1290/kartor_geotiff/A 62367-2023 georefererad karta.tif", "A 62367-2023")</f>
        <v/>
      </c>
      <c r="AA85">
        <f>HYPERLINK("https://klasma.github.io/Logging_1290/klagomål/A 62367-2023 FSC-klagomål.docx", "A 62367-2023")</f>
        <v/>
      </c>
      <c r="AB85">
        <f>HYPERLINK("https://klasma.github.io/Logging_1290/klagomålsmail/A 62367-2023 FSC-klagomål mail.docx", "A 62367-2023")</f>
        <v/>
      </c>
      <c r="AC85">
        <f>HYPERLINK("https://klasma.github.io/Logging_1290/tillsyn/A 62367-2023 tillsynsbegäran.docx", "A 62367-2023")</f>
        <v/>
      </c>
      <c r="AD85">
        <f>HYPERLINK("https://klasma.github.io/Logging_1290/tillsynsmail/A 62367-2023 tillsynsbegäran mail.docx", "A 62367-2023")</f>
        <v/>
      </c>
    </row>
    <row r="86" ht="15" customHeight="1">
      <c r="A86" t="inlineStr">
        <is>
          <t>A 7054-2024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45343</v>
      </c>
      <c r="E86" s="1" t="n">
        <v>46324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Törnskata</t>
        </is>
      </c>
      <c r="W86">
        <f>HYPERLINK("https://klasma.github.io/Logging_1290/artfynd/A 7054-2024 artfynd.xlsx", "A 7054-2024")</f>
        <v/>
      </c>
      <c r="X86">
        <f>HYPERLINK("https://klasma.github.io/Logging_1290/kartor/A 7054-2024 karta.png", "A 7054-2024")</f>
        <v/>
      </c>
      <c r="Y86">
        <f>HYPERLINK("https://klasma.github.io/Logging_1290/kartor_geotiff/A 7054-2024 georefererad karta.tif", "A 7054-2024")</f>
        <v/>
      </c>
      <c r="AA86">
        <f>HYPERLINK("https://klasma.github.io/Logging_1290/klagomål/A 7054-2024 FSC-klagomål.docx", "A 7054-2024")</f>
        <v/>
      </c>
      <c r="AB86">
        <f>HYPERLINK("https://klasma.github.io/Logging_1290/klagomålsmail/A 7054-2024 FSC-klagomål mail.docx", "A 7054-2024")</f>
        <v/>
      </c>
      <c r="AC86">
        <f>HYPERLINK("https://klasma.github.io/Logging_1290/tillsyn/A 7054-2024 tillsynsbegäran.docx", "A 7054-2024")</f>
        <v/>
      </c>
      <c r="AD86">
        <f>HYPERLINK("https://klasma.github.io/Logging_1290/tillsynsmail/A 7054-2024 tillsynsbegäran mail.docx", "A 7054-2024")</f>
        <v/>
      </c>
      <c r="AE86">
        <f>HYPERLINK("https://klasma.github.io/Logging_1290/fåglar/A 7054-2024 prioriterade fågelarter.docx", "A 7054-2024")</f>
        <v/>
      </c>
    </row>
    <row r="87" ht="15" customHeight="1">
      <c r="A87" t="inlineStr">
        <is>
          <t>A 27234-2025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46324</v>
      </c>
      <c r="F87" t="inlineStr">
        <is>
          <t>SKÅNE LÄN</t>
        </is>
      </c>
      <c r="G87" t="inlineStr">
        <is>
          <t>KRISTIANSTAD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Småvänderot</t>
        </is>
      </c>
      <c r="W87">
        <f>HYPERLINK("https://klasma.github.io/Logging_1290/artfynd/A 27234-2025 artfynd.xlsx", "A 27234-2025")</f>
        <v/>
      </c>
      <c r="X87">
        <f>HYPERLINK("https://klasma.github.io/Logging_1290/kartor/A 27234-2025 karta.png", "A 27234-2025")</f>
        <v/>
      </c>
      <c r="Y87">
        <f>HYPERLINK("https://klasma.github.io/Logging_1290/kartor_geotiff/A 27234-2025 georefererad karta.tif", "A 27234-2025")</f>
        <v/>
      </c>
      <c r="AA87">
        <f>HYPERLINK("https://klasma.github.io/Logging_1290/klagomål/A 27234-2025 FSC-klagomål.docx", "A 27234-2025")</f>
        <v/>
      </c>
      <c r="AB87">
        <f>HYPERLINK("https://klasma.github.io/Logging_1290/klagomålsmail/A 27234-2025 FSC-klagomål mail.docx", "A 27234-2025")</f>
        <v/>
      </c>
      <c r="AC87">
        <f>HYPERLINK("https://klasma.github.io/Logging_1290/tillsyn/A 27234-2025 tillsynsbegäran.docx", "A 27234-2025")</f>
        <v/>
      </c>
      <c r="AD87">
        <f>HYPERLINK("https://klasma.github.io/Logging_1290/tillsynsmail/A 27234-2025 tillsynsbegäran mail.docx", "A 27234-2025")</f>
        <v/>
      </c>
    </row>
    <row r="88" ht="15" customHeight="1">
      <c r="A88" t="inlineStr">
        <is>
          <t>A 30857-2023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46324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Sommarfibbla</t>
        </is>
      </c>
      <c r="W88">
        <f>HYPERLINK("https://klasma.github.io/Logging_1290/artfynd/A 30857-2023 artfynd.xlsx", "A 30857-2023")</f>
        <v/>
      </c>
      <c r="X88">
        <f>HYPERLINK("https://klasma.github.io/Logging_1290/kartor/A 30857-2023 karta.png", "A 30857-2023")</f>
        <v/>
      </c>
      <c r="Y88">
        <f>HYPERLINK("https://klasma.github.io/Logging_1290/kartor_geotiff/A 30857-2023 georefererad karta.tif", "A 30857-2023")</f>
        <v/>
      </c>
      <c r="AA88">
        <f>HYPERLINK("https://klasma.github.io/Logging_1290/klagomål/A 30857-2023 FSC-klagomål.docx", "A 30857-2023")</f>
        <v/>
      </c>
      <c r="AB88">
        <f>HYPERLINK("https://klasma.github.io/Logging_1290/klagomålsmail/A 30857-2023 FSC-klagomål mail.docx", "A 30857-2023")</f>
        <v/>
      </c>
      <c r="AC88">
        <f>HYPERLINK("https://klasma.github.io/Logging_1290/tillsyn/A 30857-2023 tillsynsbegäran.docx", "A 30857-2023")</f>
        <v/>
      </c>
      <c r="AD88">
        <f>HYPERLINK("https://klasma.github.io/Logging_1290/tillsynsmail/A 30857-2023 tillsynsbegäran mail.docx", "A 30857-2023")</f>
        <v/>
      </c>
    </row>
    <row r="89" ht="15" customHeight="1">
      <c r="A89" t="inlineStr">
        <is>
          <t>A 38440-2024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46324</v>
      </c>
      <c r="F89" t="inlineStr">
        <is>
          <t>SKÅNE LÄN</t>
        </is>
      </c>
      <c r="G89" t="inlineStr">
        <is>
          <t>KRISTIANSTAD</t>
        </is>
      </c>
      <c r="I89" t="n">
        <v>6.2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38440-2024 artfynd.xlsx", "A 38440-2024")</f>
        <v/>
      </c>
      <c r="X89">
        <f>HYPERLINK("https://klasma.github.io/Logging_1290/kartor/A 38440-2024 karta.png", "A 38440-2024")</f>
        <v/>
      </c>
      <c r="Y89">
        <f>HYPERLINK("https://klasma.github.io/Logging_1290/kartor_geotiff/A 38440-2024 georefererad karta.tif", "A 38440-2024")</f>
        <v/>
      </c>
      <c r="AA89">
        <f>HYPERLINK("https://klasma.github.io/Logging_1290/klagomål/A 38440-2024 FSC-klagomål.docx", "A 38440-2024")</f>
        <v/>
      </c>
      <c r="AB89">
        <f>HYPERLINK("https://klasma.github.io/Logging_1290/klagomålsmail/A 38440-2024 FSC-klagomål mail.docx", "A 38440-2024")</f>
        <v/>
      </c>
      <c r="AC89">
        <f>HYPERLINK("https://klasma.github.io/Logging_1290/tillsyn/A 38440-2024 tillsynsbegäran.docx", "A 38440-2024")</f>
        <v/>
      </c>
      <c r="AD89">
        <f>HYPERLINK("https://klasma.github.io/Logging_1290/tillsynsmail/A 38440-2024 tillsynsbegäran mail.docx", "A 38440-2024")</f>
        <v/>
      </c>
    </row>
    <row r="90" ht="15" customHeight="1">
      <c r="A90" t="inlineStr">
        <is>
          <t>A 52012-2024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45607</v>
      </c>
      <c r="E90" s="1" t="n">
        <v>46324</v>
      </c>
      <c r="F90" t="inlineStr">
        <is>
          <t>SKÅNE LÄN</t>
        </is>
      </c>
      <c r="G90" t="inlineStr">
        <is>
          <t>KRISTIANSTAD</t>
        </is>
      </c>
      <c r="H90" t="inlineStr">
        <is>
          <t>Övriga Aktiebolag</t>
        </is>
      </c>
      <c r="I90" t="n">
        <v>2.6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Luddfingerört</t>
        </is>
      </c>
      <c r="W90">
        <f>HYPERLINK("https://klasma.github.io/Logging_1290/artfynd/A 52012-2024 artfynd.xlsx", "A 52012-2024")</f>
        <v/>
      </c>
      <c r="X90">
        <f>HYPERLINK("https://klasma.github.io/Logging_1290/kartor/A 52012-2024 karta.png", "A 52012-2024")</f>
        <v/>
      </c>
      <c r="Y90">
        <f>HYPERLINK("https://klasma.github.io/Logging_1290/kartor_geotiff/A 52012-2024 georefererad karta.tif", "A 52012-2024")</f>
        <v/>
      </c>
      <c r="AA90">
        <f>HYPERLINK("https://klasma.github.io/Logging_1290/klagomål/A 52012-2024 FSC-klagomål.docx", "A 52012-2024")</f>
        <v/>
      </c>
      <c r="AB90">
        <f>HYPERLINK("https://klasma.github.io/Logging_1290/klagomålsmail/A 52012-2024 FSC-klagomål mail.docx", "A 52012-2024")</f>
        <v/>
      </c>
      <c r="AC90">
        <f>HYPERLINK("https://klasma.github.io/Logging_1290/tillsyn/A 52012-2024 tillsynsbegäran.docx", "A 52012-2024")</f>
        <v/>
      </c>
      <c r="AD90">
        <f>HYPERLINK("https://klasma.github.io/Logging_1290/tillsynsmail/A 52012-2024 tillsynsbegäran mail.docx", "A 52012-2024")</f>
        <v/>
      </c>
    </row>
    <row r="91" ht="15" customHeight="1">
      <c r="A91" t="inlineStr">
        <is>
          <t>A 1188-2024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45302</v>
      </c>
      <c r="E91" s="1" t="n">
        <v>46324</v>
      </c>
      <c r="F91" t="inlineStr">
        <is>
          <t>SKÅNE LÄN</t>
        </is>
      </c>
      <c r="G91" t="inlineStr">
        <is>
          <t>KRISTIANSTAD</t>
        </is>
      </c>
      <c r="I91" t="n">
        <v>6.1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2</v>
      </c>
      <c r="V91" s="2" t="inlineStr">
        <is>
          <t>Backsippa</t>
        </is>
      </c>
      <c r="W91">
        <f>HYPERLINK("https://klasma.github.io/Logging_1290/artfynd/A 1188-2024 artfynd.xlsx", "A 1188-2024")</f>
        <v/>
      </c>
      <c r="X91">
        <f>HYPERLINK("https://klasma.github.io/Logging_1290/kartor/A 1188-2024 karta.png", "A 1188-2024")</f>
        <v/>
      </c>
      <c r="Y91">
        <f>HYPERLINK("https://klasma.github.io/Logging_1290/kartor_geotiff/A 1188-2024 georefererad karta.tif", "A 1188-2024")</f>
        <v/>
      </c>
      <c r="AA91">
        <f>HYPERLINK("https://klasma.github.io/Logging_1290/klagomål/A 1188-2024 FSC-klagomål.docx", "A 1188-2024")</f>
        <v/>
      </c>
      <c r="AB91">
        <f>HYPERLINK("https://klasma.github.io/Logging_1290/klagomålsmail/A 1188-2024 FSC-klagomål mail.docx", "A 1188-2024")</f>
        <v/>
      </c>
      <c r="AC91">
        <f>HYPERLINK("https://klasma.github.io/Logging_1290/tillsyn/A 1188-2024 tillsynsbegäran.docx", "A 1188-2024")</f>
        <v/>
      </c>
      <c r="AD91">
        <f>HYPERLINK("https://klasma.github.io/Logging_1290/tillsynsmail/A 1188-2024 tillsynsbegäran mail.docx", "A 1188-2024")</f>
        <v/>
      </c>
    </row>
    <row r="92" ht="15" customHeight="1">
      <c r="A92" t="inlineStr">
        <is>
          <t>A 27956-2022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46324</v>
      </c>
      <c r="F92" t="inlineStr">
        <is>
          <t>SKÅNE LÄN</t>
        </is>
      </c>
      <c r="G92" t="inlineStr">
        <is>
          <t>KRISTIANSTAD</t>
        </is>
      </c>
      <c r="I92" t="n">
        <v>14.1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Kärrviol</t>
        </is>
      </c>
      <c r="W92">
        <f>HYPERLINK("https://klasma.github.io/Logging_1290/artfynd/A 27956-2022 artfynd.xlsx", "A 27956-2022")</f>
        <v/>
      </c>
      <c r="X92">
        <f>HYPERLINK("https://klasma.github.io/Logging_1290/kartor/A 27956-2022 karta.png", "A 27956-2022")</f>
        <v/>
      </c>
      <c r="Y92">
        <f>HYPERLINK("https://klasma.github.io/Logging_1290/kartor_geotiff/A 27956-2022 georefererad karta.tif", "A 27956-2022")</f>
        <v/>
      </c>
      <c r="AA92">
        <f>HYPERLINK("https://klasma.github.io/Logging_1290/klagomål/A 27956-2022 FSC-klagomål.docx", "A 27956-2022")</f>
        <v/>
      </c>
      <c r="AB92">
        <f>HYPERLINK("https://klasma.github.io/Logging_1290/klagomålsmail/A 27956-2022 FSC-klagomål mail.docx", "A 27956-2022")</f>
        <v/>
      </c>
      <c r="AC92">
        <f>HYPERLINK("https://klasma.github.io/Logging_1290/tillsyn/A 27956-2022 tillsynsbegäran.docx", "A 27956-2022")</f>
        <v/>
      </c>
      <c r="AD92">
        <f>HYPERLINK("https://klasma.github.io/Logging_1290/tillsynsmail/A 27956-2022 tillsynsbegäran mail.docx", "A 27956-2022")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46324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46324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16783-2025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46324</v>
      </c>
      <c r="F95" t="inlineStr">
        <is>
          <t>SKÅNE LÄN</t>
        </is>
      </c>
      <c r="G95" t="inlineStr">
        <is>
          <t>KRISTIANSTAD</t>
        </is>
      </c>
      <c r="I95" t="n">
        <v>20.2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Öring</t>
        </is>
      </c>
      <c r="W95">
        <f>HYPERLINK("https://klasma.github.io/Logging_1290/artfynd/A 16783-2025 artfynd.xlsx", "A 16783-2025")</f>
        <v/>
      </c>
      <c r="X95">
        <f>HYPERLINK("https://klasma.github.io/Logging_1290/kartor/A 16783-2025 karta.png", "A 16783-2025")</f>
        <v/>
      </c>
      <c r="Y95">
        <f>HYPERLINK("https://klasma.github.io/Logging_1290/kartor_geotiff/A 16783-2025 georefererad karta.tif", "A 16783-2025")</f>
        <v/>
      </c>
      <c r="AA95">
        <f>HYPERLINK("https://klasma.github.io/Logging_1290/klagomål/A 16783-2025 FSC-klagomål.docx", "A 16783-2025")</f>
        <v/>
      </c>
      <c r="AB95">
        <f>HYPERLINK("https://klasma.github.io/Logging_1290/klagomålsmail/A 16783-2025 FSC-klagomål mail.docx", "A 16783-2025")</f>
        <v/>
      </c>
      <c r="AC95">
        <f>HYPERLINK("https://klasma.github.io/Logging_1290/tillsyn/A 16783-2025 tillsynsbegäran.docx", "A 16783-2025")</f>
        <v/>
      </c>
      <c r="AD95">
        <f>HYPERLINK("https://klasma.github.io/Logging_1290/tillsynsmail/A 16783-2025 tillsynsbegäran mail.docx", "A 16783-2025")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46324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Blåmossa</t>
        </is>
      </c>
      <c r="W96">
        <f>HYPERLINK("https://klasma.github.io/Logging_1290/artfynd/A 46931-2025 artfynd.xlsx", "A 46931-2025")</f>
        <v/>
      </c>
      <c r="X96">
        <f>HYPERLINK("https://klasma.github.io/Logging_1290/kartor/A 46931-2025 karta.png", "A 46931-2025")</f>
        <v/>
      </c>
      <c r="Y96">
        <f>HYPERLINK("https://klasma.github.io/Logging_1290/kartor_geotiff/A 46931-2025 georefererad karta.tif", "A 46931-2025")</f>
        <v/>
      </c>
      <c r="AA96">
        <f>HYPERLINK("https://klasma.github.io/Logging_1290/klagomål/A 46931-2025 FSC-klagomål.docx", "A 46931-2025")</f>
        <v/>
      </c>
      <c r="AB96">
        <f>HYPERLINK("https://klasma.github.io/Logging_1290/klagomålsmail/A 46931-2025 FSC-klagomål mail.docx", "A 46931-2025")</f>
        <v/>
      </c>
      <c r="AC96">
        <f>HYPERLINK("https://klasma.github.io/Logging_1290/tillsyn/A 46931-2025 tillsynsbegäran.docx", "A 46931-2025")</f>
        <v/>
      </c>
      <c r="AD96">
        <f>HYPERLINK("https://klasma.github.io/Logging_1290/tillsynsmail/A 46931-2025 tillsynsbegäran mail.docx", "A 46931-2025")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46324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Koralltaggsvamp</t>
        </is>
      </c>
      <c r="W97">
        <f>HYPERLINK("https://klasma.github.io/Logging_1290/artfynd/A 45495-2024 artfynd.xlsx", "A 45495-2024")</f>
        <v/>
      </c>
      <c r="X97">
        <f>HYPERLINK("https://klasma.github.io/Logging_1290/kartor/A 45495-2024 karta.png", "A 45495-2024")</f>
        <v/>
      </c>
      <c r="Y97">
        <f>HYPERLINK("https://klasma.github.io/Logging_1290/kartor_geotiff/A 45495-2024 georefererad karta.tif", "A 45495-2024")</f>
        <v/>
      </c>
      <c r="AA97">
        <f>HYPERLINK("https://klasma.github.io/Logging_1290/klagomål/A 45495-2024 FSC-klagomål.docx", "A 45495-2024")</f>
        <v/>
      </c>
      <c r="AB97">
        <f>HYPERLINK("https://klasma.github.io/Logging_1290/klagomålsmail/A 45495-2024 FSC-klagomål mail.docx", "A 45495-2024")</f>
        <v/>
      </c>
      <c r="AC97">
        <f>HYPERLINK("https://klasma.github.io/Logging_1290/tillsyn/A 45495-2024 tillsynsbegäran.docx", "A 45495-2024")</f>
        <v/>
      </c>
      <c r="AD97">
        <f>HYPERLINK("https://klasma.github.io/Logging_1290/tillsynsmail/A 45495-2024 tillsynsbegäran mail.docx", "A 45495-2024")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46324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46324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26243-2024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46324</v>
      </c>
      <c r="F100" t="inlineStr">
        <is>
          <t>SKÅNE LÄN</t>
        </is>
      </c>
      <c r="G100" t="inlineStr">
        <is>
          <t>KRISTIANSTAD</t>
        </is>
      </c>
      <c r="I100" t="n">
        <v>7.8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HYPERLINK("https://klasma.github.io/Logging_1290/artfynd/A 26243-2024 artfynd.xlsx", "A 26243-2024")</f>
        <v/>
      </c>
      <c r="X100">
        <f>HYPERLINK("https://klasma.github.io/Logging_1290/kartor/A 26243-2024 karta.png", "A 26243-2024")</f>
        <v/>
      </c>
      <c r="Y100">
        <f>HYPERLINK("https://klasma.github.io/Logging_1290/kartor_geotiff/A 26243-2024 georefererad karta.tif", "A 26243-2024")</f>
        <v/>
      </c>
      <c r="AA100">
        <f>HYPERLINK("https://klasma.github.io/Logging_1290/klagomål/A 26243-2024 FSC-klagomål.docx", "A 26243-2024")</f>
        <v/>
      </c>
      <c r="AB100">
        <f>HYPERLINK("https://klasma.github.io/Logging_1290/klagomålsmail/A 26243-2024 FSC-klagomål mail.docx", "A 26243-2024")</f>
        <v/>
      </c>
      <c r="AC100">
        <f>HYPERLINK("https://klasma.github.io/Logging_1290/tillsyn/A 26243-2024 tillsynsbegäran.docx", "A 26243-2024")</f>
        <v/>
      </c>
      <c r="AD100">
        <f>HYPERLINK("https://klasma.github.io/Logging_1290/tillsynsmail/A 26243-2024 tillsynsbegäran mail.docx", "A 26243-2024")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46324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53189-2025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46324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HYPERLINK("https://klasma.github.io/Logging_1290/artfynd/A 53189-2025 artfynd.xlsx", "A 53189-2025")</f>
        <v/>
      </c>
      <c r="X102">
        <f>HYPERLINK("https://klasma.github.io/Logging_1290/kartor/A 53189-2025 karta.png", "A 53189-2025")</f>
        <v/>
      </c>
      <c r="Y102">
        <f>HYPERLINK("https://klasma.github.io/Logging_1290/kartor_geotiff/A 53189-2025 georefererad karta.tif", "A 53189-2025")</f>
        <v/>
      </c>
      <c r="AA102">
        <f>HYPERLINK("https://klasma.github.io/Logging_1290/klagomål/A 53189-2025 FSC-klagomål.docx", "A 53189-2025")</f>
        <v/>
      </c>
      <c r="AB102">
        <f>HYPERLINK("https://klasma.github.io/Logging_1290/klagomålsmail/A 53189-2025 FSC-klagomål mail.docx", "A 53189-2025")</f>
        <v/>
      </c>
      <c r="AC102">
        <f>HYPERLINK("https://klasma.github.io/Logging_1290/tillsyn/A 53189-2025 tillsynsbegäran.docx", "A 53189-2025")</f>
        <v/>
      </c>
      <c r="AD102">
        <f>HYPERLINK("https://klasma.github.io/Logging_1290/tillsynsmail/A 53189-2025 tillsynsbegäran mail.docx", "A 53189-2025")</f>
        <v/>
      </c>
    </row>
    <row r="103" ht="15" customHeight="1">
      <c r="A103" t="inlineStr">
        <is>
          <t>A 53182-2025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46324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Entita</t>
        </is>
      </c>
      <c r="W103">
        <f>HYPERLINK("https://klasma.github.io/Logging_1290/artfynd/A 53182-2025 artfynd.xlsx", "A 53182-2025")</f>
        <v/>
      </c>
      <c r="X103">
        <f>HYPERLINK("https://klasma.github.io/Logging_1290/kartor/A 53182-2025 karta.png", "A 53182-2025")</f>
        <v/>
      </c>
      <c r="Y103">
        <f>HYPERLINK("https://klasma.github.io/Logging_1290/kartor_geotiff/A 53182-2025 georefererad karta.tif", "A 53182-2025")</f>
        <v/>
      </c>
      <c r="AA103">
        <f>HYPERLINK("https://klasma.github.io/Logging_1290/klagomål/A 53182-2025 FSC-klagomål.docx", "A 53182-2025")</f>
        <v/>
      </c>
      <c r="AB103">
        <f>HYPERLINK("https://klasma.github.io/Logging_1290/klagomålsmail/A 53182-2025 FSC-klagomål mail.docx", "A 53182-2025")</f>
        <v/>
      </c>
      <c r="AC103">
        <f>HYPERLINK("https://klasma.github.io/Logging_1290/tillsyn/A 53182-2025 tillsynsbegäran.docx", "A 53182-2025")</f>
        <v/>
      </c>
      <c r="AD103">
        <f>HYPERLINK("https://klasma.github.io/Logging_1290/tillsynsmail/A 53182-2025 tillsynsbegäran mail.docx", "A 53182-2025")</f>
        <v/>
      </c>
      <c r="AE103">
        <f>HYPERLINK("https://klasma.github.io/Logging_1290/fåglar/A 53182-2025 prioriterade fågelarter.docx", "A 53182-2025")</f>
        <v/>
      </c>
    </row>
    <row r="104" ht="15" customHeight="1">
      <c r="A104" t="inlineStr">
        <is>
          <t>A 50699-2025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45945</v>
      </c>
      <c r="E104" s="1" t="n">
        <v>46324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Guldlockmossa</t>
        </is>
      </c>
      <c r="W104">
        <f>HYPERLINK("https://klasma.github.io/Logging_1290/artfynd/A 50699-2025 artfynd.xlsx", "A 50699-2025")</f>
        <v/>
      </c>
      <c r="X104">
        <f>HYPERLINK("https://klasma.github.io/Logging_1290/kartor/A 50699-2025 karta.png", "A 50699-2025")</f>
        <v/>
      </c>
      <c r="Y104">
        <f>HYPERLINK("https://klasma.github.io/Logging_1290/kartor_geotiff/A 50699-2025 georefererad karta.tif", "A 50699-2025")</f>
        <v/>
      </c>
      <c r="AA104">
        <f>HYPERLINK("https://klasma.github.io/Logging_1290/klagomål/A 50699-2025 FSC-klagomål.docx", "A 50699-2025")</f>
        <v/>
      </c>
      <c r="AB104">
        <f>HYPERLINK("https://klasma.github.io/Logging_1290/klagomålsmail/A 50699-2025 FSC-klagomål mail.docx", "A 50699-2025")</f>
        <v/>
      </c>
      <c r="AC104">
        <f>HYPERLINK("https://klasma.github.io/Logging_1290/tillsyn/A 50699-2025 tillsynsbegäran.docx", "A 50699-2025")</f>
        <v/>
      </c>
      <c r="AD104">
        <f>HYPERLINK("https://klasma.github.io/Logging_1290/tillsynsmail/A 50699-2025 tillsynsbegäran mail.docx", "A 50699-2025")</f>
        <v/>
      </c>
    </row>
    <row r="105" ht="15" customHeight="1">
      <c r="A105" t="inlineStr">
        <is>
          <t>A 21835-2026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46324</v>
      </c>
      <c r="F105" t="inlineStr">
        <is>
          <t>SKÅNE LÄN</t>
        </is>
      </c>
      <c r="G105" t="inlineStr">
        <is>
          <t>KRISTIANSTAD</t>
        </is>
      </c>
      <c r="I105" t="n">
        <v>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21835-2026 artfynd.xlsx", "A 21835-2026")</f>
        <v/>
      </c>
      <c r="X105">
        <f>HYPERLINK("https://klasma.github.io/Logging_1290/kartor/A 21835-2026 karta.png", "A 21835-2026")</f>
        <v/>
      </c>
      <c r="Y105">
        <f>HYPERLINK("https://klasma.github.io/Logging_1290/kartor_geotiff/A 21835-2026 georefererad karta.tif", "A 21835-2026")</f>
        <v/>
      </c>
      <c r="AA105">
        <f>HYPERLINK("https://klasma.github.io/Logging_1290/klagomål/A 21835-2026 FSC-klagomål.docx", "A 21835-2026")</f>
        <v/>
      </c>
      <c r="AB105">
        <f>HYPERLINK("https://klasma.github.io/Logging_1290/klagomålsmail/A 21835-2026 FSC-klagomål mail.docx", "A 21835-2026")</f>
        <v/>
      </c>
      <c r="AC105">
        <f>HYPERLINK("https://klasma.github.io/Logging_1290/tillsyn/A 21835-2026 tillsynsbegäran.docx", "A 21835-2026")</f>
        <v/>
      </c>
      <c r="AD105">
        <f>HYPERLINK("https://klasma.github.io/Logging_1290/tillsynsmail/A 21835-2026 tillsynsbegäran mail.docx", "A 21835-2026")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46324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28425-2024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46324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Missne</t>
        </is>
      </c>
      <c r="W107">
        <f>HYPERLINK("https://klasma.github.io/Logging_1290/artfynd/A 28425-2024 artfynd.xlsx", "A 28425-2024")</f>
        <v/>
      </c>
      <c r="X107">
        <f>HYPERLINK("https://klasma.github.io/Logging_1290/kartor/A 28425-2024 karta.png", "A 28425-2024")</f>
        <v/>
      </c>
      <c r="Y107">
        <f>HYPERLINK("https://klasma.github.io/Logging_1290/kartor_geotiff/A 28425-2024 georefererad karta.tif", "A 28425-2024")</f>
        <v/>
      </c>
      <c r="AA107">
        <f>HYPERLINK("https://klasma.github.io/Logging_1290/klagomål/A 28425-2024 FSC-klagomål.docx", "A 28425-2024")</f>
        <v/>
      </c>
      <c r="AB107">
        <f>HYPERLINK("https://klasma.github.io/Logging_1290/klagomålsmail/A 28425-2024 FSC-klagomål mail.docx", "A 28425-2024")</f>
        <v/>
      </c>
      <c r="AC107">
        <f>HYPERLINK("https://klasma.github.io/Logging_1290/tillsyn/A 28425-2024 tillsynsbegäran.docx", "A 28425-2024")</f>
        <v/>
      </c>
      <c r="AD107">
        <f>HYPERLINK("https://klasma.github.io/Logging_1290/tillsynsmail/A 28425-2024 tillsynsbegäran mail.docx", "A 28425-2024")</f>
        <v/>
      </c>
    </row>
    <row r="108" ht="15" customHeight="1">
      <c r="A108" t="inlineStr">
        <is>
          <t>A 58474-2025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46324</v>
      </c>
      <c r="F108" t="inlineStr">
        <is>
          <t>SKÅNE LÄN</t>
        </is>
      </c>
      <c r="G108" t="inlineStr">
        <is>
          <t>KRISTIANSTAD</t>
        </is>
      </c>
      <c r="I108" t="n">
        <v>4.7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Storspov</t>
        </is>
      </c>
      <c r="W108">
        <f>HYPERLINK("https://klasma.github.io/Logging_1290/artfynd/A 58474-2025 artfynd.xlsx", "A 58474-2025")</f>
        <v/>
      </c>
      <c r="X108">
        <f>HYPERLINK("https://klasma.github.io/Logging_1290/kartor/A 58474-2025 karta.png", "A 58474-2025")</f>
        <v/>
      </c>
      <c r="Y108">
        <f>HYPERLINK("https://klasma.github.io/Logging_1290/kartor_geotiff/A 58474-2025 georefererad karta.tif", "A 58474-2025")</f>
        <v/>
      </c>
      <c r="AA108">
        <f>HYPERLINK("https://klasma.github.io/Logging_1290/klagomål/A 58474-2025 FSC-klagomål.docx", "A 58474-2025")</f>
        <v/>
      </c>
      <c r="AB108">
        <f>HYPERLINK("https://klasma.github.io/Logging_1290/klagomålsmail/A 58474-2025 FSC-klagomål mail.docx", "A 58474-2025")</f>
        <v/>
      </c>
      <c r="AC108">
        <f>HYPERLINK("https://klasma.github.io/Logging_1290/tillsyn/A 58474-2025 tillsynsbegäran.docx", "A 58474-2025")</f>
        <v/>
      </c>
      <c r="AD108">
        <f>HYPERLINK("https://klasma.github.io/Logging_1290/tillsynsmail/A 58474-2025 tillsynsbegäran mail.docx", "A 58474-2025")</f>
        <v/>
      </c>
    </row>
    <row r="109" ht="15" customHeight="1">
      <c r="A109" t="inlineStr">
        <is>
          <t>A 60006-2025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46324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4.8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Ekoxe</t>
        </is>
      </c>
      <c r="W109">
        <f>HYPERLINK("https://klasma.github.io/Logging_1290/artfynd/A 60006-2025 artfynd.xlsx", "A 60006-2025")</f>
        <v/>
      </c>
      <c r="X109">
        <f>HYPERLINK("https://klasma.github.io/Logging_1290/kartor/A 60006-2025 karta.png", "A 60006-2025")</f>
        <v/>
      </c>
      <c r="Y109">
        <f>HYPERLINK("https://klasma.github.io/Logging_1290/kartor_geotiff/A 60006-2025 georefererad karta.tif", "A 60006-2025")</f>
        <v/>
      </c>
      <c r="AA109">
        <f>HYPERLINK("https://klasma.github.io/Logging_1290/klagomål/A 60006-2025 FSC-klagomål.docx", "A 60006-2025")</f>
        <v/>
      </c>
      <c r="AB109">
        <f>HYPERLINK("https://klasma.github.io/Logging_1290/klagomålsmail/A 60006-2025 FSC-klagomål mail.docx", "A 60006-2025")</f>
        <v/>
      </c>
      <c r="AC109">
        <f>HYPERLINK("https://klasma.github.io/Logging_1290/tillsyn/A 60006-2025 tillsynsbegäran.docx", "A 60006-2025")</f>
        <v/>
      </c>
      <c r="AD109">
        <f>HYPERLINK("https://klasma.github.io/Logging_1290/tillsynsmail/A 60006-2025 tillsynsbegäran mail.docx", "A 60006-2025")</f>
        <v/>
      </c>
    </row>
    <row r="110" ht="15" customHeight="1">
      <c r="A110" t="inlineStr">
        <is>
          <t>A 9018-2024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46324</v>
      </c>
      <c r="F110" t="inlineStr">
        <is>
          <t>SKÅNE LÄN</t>
        </is>
      </c>
      <c r="G110" t="inlineStr">
        <is>
          <t>KRISTIANSTAD</t>
        </is>
      </c>
      <c r="I110" t="n">
        <v>2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Hedblomster</t>
        </is>
      </c>
      <c r="W110">
        <f>HYPERLINK("https://klasma.github.io/Logging_1290/artfynd/A 9018-2024 artfynd.xlsx", "A 9018-2024")</f>
        <v/>
      </c>
      <c r="X110">
        <f>HYPERLINK("https://klasma.github.io/Logging_1290/kartor/A 9018-2024 karta.png", "A 9018-2024")</f>
        <v/>
      </c>
      <c r="Y110">
        <f>HYPERLINK("https://klasma.github.io/Logging_1290/kartor_geotiff/A 9018-2024 georefererad karta.tif", "A 9018-2024")</f>
        <v/>
      </c>
      <c r="AA110">
        <f>HYPERLINK("https://klasma.github.io/Logging_1290/klagomål/A 9018-2024 FSC-klagomål.docx", "A 9018-2024")</f>
        <v/>
      </c>
      <c r="AB110">
        <f>HYPERLINK("https://klasma.github.io/Logging_1290/klagomålsmail/A 9018-2024 FSC-klagomål mail.docx", "A 9018-2024")</f>
        <v/>
      </c>
      <c r="AC110">
        <f>HYPERLINK("https://klasma.github.io/Logging_1290/tillsyn/A 9018-2024 tillsynsbegäran.docx", "A 9018-2024")</f>
        <v/>
      </c>
      <c r="AD110">
        <f>HYPERLINK("https://klasma.github.io/Logging_1290/tillsynsmail/A 9018-2024 tillsynsbegäran mail.docx", "A 9018-2024")</f>
        <v/>
      </c>
    </row>
    <row r="111" ht="15" customHeight="1">
      <c r="A111" t="inlineStr">
        <is>
          <t>A 13977-2025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45738</v>
      </c>
      <c r="E111" s="1" t="n">
        <v>46324</v>
      </c>
      <c r="F111" t="inlineStr">
        <is>
          <t>SKÅNE LÄN</t>
        </is>
      </c>
      <c r="G111" t="inlineStr">
        <is>
          <t>KRISTIANSTAD</t>
        </is>
      </c>
      <c r="I111" t="n">
        <v>8.9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Rostfläck</t>
        </is>
      </c>
      <c r="W111">
        <f>HYPERLINK("https://klasma.github.io/Logging_1290/artfynd/A 13977-2025 artfynd.xlsx", "A 13977-2025")</f>
        <v/>
      </c>
      <c r="X111">
        <f>HYPERLINK("https://klasma.github.io/Logging_1290/kartor/A 13977-2025 karta.png", "A 13977-2025")</f>
        <v/>
      </c>
      <c r="Y111">
        <f>HYPERLINK("https://klasma.github.io/Logging_1290/kartor_geotiff/A 13977-2025 georefererad karta.tif", "A 13977-2025")</f>
        <v/>
      </c>
      <c r="AA111">
        <f>HYPERLINK("https://klasma.github.io/Logging_1290/klagomål/A 13977-2025 FSC-klagomål.docx", "A 13977-2025")</f>
        <v/>
      </c>
      <c r="AB111">
        <f>HYPERLINK("https://klasma.github.io/Logging_1290/klagomålsmail/A 13977-2025 FSC-klagomål mail.docx", "A 13977-2025")</f>
        <v/>
      </c>
      <c r="AC111">
        <f>HYPERLINK("https://klasma.github.io/Logging_1290/tillsyn/A 13977-2025 tillsynsbegäran.docx", "A 13977-2025")</f>
        <v/>
      </c>
      <c r="AD111">
        <f>HYPERLINK("https://klasma.github.io/Logging_1290/tillsynsmail/A 13977-2025 tillsynsbegäran mail.docx", "A 13977-2025")</f>
        <v/>
      </c>
    </row>
    <row r="112" ht="15" customHeight="1">
      <c r="A112" t="inlineStr">
        <is>
          <t>A 31400-2025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46324</v>
      </c>
      <c r="F112" t="inlineStr">
        <is>
          <t>SKÅNE LÄN</t>
        </is>
      </c>
      <c r="G112" t="inlineStr">
        <is>
          <t>KRISTIANSTAD</t>
        </is>
      </c>
      <c r="I112" t="n">
        <v>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Lopplummer (aggregat)</t>
        </is>
      </c>
      <c r="W112">
        <f>HYPERLINK("https://klasma.github.io/Logging_1290/artfynd/A 31400-2025 artfynd.xlsx", "A 31400-2025")</f>
        <v/>
      </c>
      <c r="X112">
        <f>HYPERLINK("https://klasma.github.io/Logging_1290/kartor/A 31400-2025 karta.png", "A 31400-2025")</f>
        <v/>
      </c>
      <c r="Y112">
        <f>HYPERLINK("https://klasma.github.io/Logging_1290/kartor_geotiff/A 31400-2025 georefererad karta.tif", "A 31400-2025")</f>
        <v/>
      </c>
      <c r="AA112">
        <f>HYPERLINK("https://klasma.github.io/Logging_1290/klagomål/A 31400-2025 FSC-klagomål.docx", "A 31400-2025")</f>
        <v/>
      </c>
      <c r="AB112">
        <f>HYPERLINK("https://klasma.github.io/Logging_1290/klagomålsmail/A 31400-2025 FSC-klagomål mail.docx", "A 31400-2025")</f>
        <v/>
      </c>
      <c r="AC112">
        <f>HYPERLINK("https://klasma.github.io/Logging_1290/tillsyn/A 31400-2025 tillsynsbegäran.docx", "A 31400-2025")</f>
        <v/>
      </c>
      <c r="AD112">
        <f>HYPERLINK("https://klasma.github.io/Logging_1290/tillsynsmail/A 31400-2025 tillsynsbegäran mail.docx", "A 31400-2025")</f>
        <v/>
      </c>
    </row>
    <row r="113" ht="15" customHeight="1">
      <c r="A113" t="inlineStr">
        <is>
          <t>A 58003-2023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46324</v>
      </c>
      <c r="F113" t="inlineStr">
        <is>
          <t>SKÅNE LÄN</t>
        </is>
      </c>
      <c r="G113" t="inlineStr">
        <is>
          <t>KRISTIANSTAD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Ekskinn</t>
        </is>
      </c>
      <c r="W113">
        <f>HYPERLINK("https://klasma.github.io/Logging_1290/artfynd/A 58003-2023 artfynd.xlsx", "A 58003-2023")</f>
        <v/>
      </c>
      <c r="X113">
        <f>HYPERLINK("https://klasma.github.io/Logging_1290/kartor/A 58003-2023 karta.png", "A 58003-2023")</f>
        <v/>
      </c>
      <c r="Y113">
        <f>HYPERLINK("https://klasma.github.io/Logging_1290/kartor_geotiff/A 58003-2023 georefererad karta.tif", "A 58003-2023")</f>
        <v/>
      </c>
      <c r="AA113">
        <f>HYPERLINK("https://klasma.github.io/Logging_1290/klagomål/A 58003-2023 FSC-klagomål.docx", "A 58003-2023")</f>
        <v/>
      </c>
      <c r="AB113">
        <f>HYPERLINK("https://klasma.github.io/Logging_1290/klagomålsmail/A 58003-2023 FSC-klagomål mail.docx", "A 58003-2023")</f>
        <v/>
      </c>
      <c r="AC113">
        <f>HYPERLINK("https://klasma.github.io/Logging_1290/tillsyn/A 58003-2023 tillsynsbegäran.docx", "A 58003-2023")</f>
        <v/>
      </c>
      <c r="AD113">
        <f>HYPERLINK("https://klasma.github.io/Logging_1290/tillsynsmail/A 58003-2023 tillsynsbegäran mail.docx", "A 58003-2023")</f>
        <v/>
      </c>
    </row>
    <row r="114" ht="15" customHeight="1">
      <c r="A114" t="inlineStr">
        <is>
          <t>A 27462-2026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46324</v>
      </c>
      <c r="F114" t="inlineStr">
        <is>
          <t>SKÅNE LÄN</t>
        </is>
      </c>
      <c r="G114" t="inlineStr">
        <is>
          <t>KRISTIANSTAD</t>
        </is>
      </c>
      <c r="I114" t="n">
        <v>9.1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Skuggsprötmossa</t>
        </is>
      </c>
      <c r="W114">
        <f>HYPERLINK("https://klasma.github.io/Logging_1290/artfynd/A 27462-2026 artfynd.xlsx", "A 27462-2026")</f>
        <v/>
      </c>
      <c r="X114">
        <f>HYPERLINK("https://klasma.github.io/Logging_1290/kartor/A 27462-2026 karta.png", "A 27462-2026")</f>
        <v/>
      </c>
      <c r="Y114">
        <f>HYPERLINK("https://klasma.github.io/Logging_1290/kartor_geotiff/A 27462-2026 georefererad karta.tif", "A 27462-2026")</f>
        <v/>
      </c>
      <c r="AA114">
        <f>HYPERLINK("https://klasma.github.io/Logging_1290/klagomål/A 27462-2026 FSC-klagomål.docx", "A 27462-2026")</f>
        <v/>
      </c>
      <c r="AB114">
        <f>HYPERLINK("https://klasma.github.io/Logging_1290/klagomålsmail/A 27462-2026 FSC-klagomål mail.docx", "A 27462-2026")</f>
        <v/>
      </c>
      <c r="AC114">
        <f>HYPERLINK("https://klasma.github.io/Logging_1290/tillsyn/A 27462-2026 tillsynsbegäran.docx", "A 27462-2026")</f>
        <v/>
      </c>
      <c r="AD114">
        <f>HYPERLINK("https://klasma.github.io/Logging_1290/tillsynsmail/A 27462-2026 tillsynsbegäran mail.docx", "A 27462-2026")</f>
        <v/>
      </c>
    </row>
    <row r="115" ht="15" customHeight="1">
      <c r="A115" t="inlineStr">
        <is>
          <t>A 27606-2026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46324</v>
      </c>
      <c r="F115" t="inlineStr">
        <is>
          <t>SKÅNE LÄN</t>
        </is>
      </c>
      <c r="G115" t="inlineStr">
        <is>
          <t>KRISTIANSTAD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Flodpärlmussla</t>
        </is>
      </c>
      <c r="W115">
        <f>HYPERLINK("https://klasma.github.io/Logging_1290/artfynd/A 27606-2026 artfynd.xlsx", "A 27606-2026")</f>
        <v/>
      </c>
      <c r="X115">
        <f>HYPERLINK("https://klasma.github.io/Logging_1290/kartor/A 27606-2026 karta.png", "A 27606-2026")</f>
        <v/>
      </c>
      <c r="Y115">
        <f>HYPERLINK("https://klasma.github.io/Logging_1290/kartor_geotiff/A 27606-2026 georefererad karta.tif", "A 27606-2026")</f>
        <v/>
      </c>
      <c r="AA115">
        <f>HYPERLINK("https://klasma.github.io/Logging_1290/klagomål/A 27606-2026 FSC-klagomål.docx", "A 27606-2026")</f>
        <v/>
      </c>
      <c r="AB115">
        <f>HYPERLINK("https://klasma.github.io/Logging_1290/klagomålsmail/A 27606-2026 FSC-klagomål mail.docx", "A 27606-2026")</f>
        <v/>
      </c>
      <c r="AC115">
        <f>HYPERLINK("https://klasma.github.io/Logging_1290/tillsyn/A 27606-2026 tillsynsbegäran.docx", "A 27606-2026")</f>
        <v/>
      </c>
      <c r="AD115">
        <f>HYPERLINK("https://klasma.github.io/Logging_1290/tillsynsmail/A 27606-2026 tillsynsbegäran mail.docx", "A 27606-2026")</f>
        <v/>
      </c>
    </row>
    <row r="116" ht="15" customHeight="1">
      <c r="A116" t="inlineStr">
        <is>
          <t>A 50702-2025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46324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Guldlockmossa</t>
        </is>
      </c>
      <c r="W116">
        <f>HYPERLINK("https://klasma.github.io/Logging_1290/artfynd/A 50702-2025 artfynd.xlsx", "A 50702-2025")</f>
        <v/>
      </c>
      <c r="X116">
        <f>HYPERLINK("https://klasma.github.io/Logging_1290/kartor/A 50702-2025 karta.png", "A 50702-2025")</f>
        <v/>
      </c>
      <c r="Y116">
        <f>HYPERLINK("https://klasma.github.io/Logging_1290/kartor_geotiff/A 50702-2025 georefererad karta.tif", "A 50702-2025")</f>
        <v/>
      </c>
      <c r="AA116">
        <f>HYPERLINK("https://klasma.github.io/Logging_1290/klagomål/A 50702-2025 FSC-klagomål.docx", "A 50702-2025")</f>
        <v/>
      </c>
      <c r="AB116">
        <f>HYPERLINK("https://klasma.github.io/Logging_1290/klagomålsmail/A 50702-2025 FSC-klagomål mail.docx", "A 50702-2025")</f>
        <v/>
      </c>
      <c r="AC116">
        <f>HYPERLINK("https://klasma.github.io/Logging_1290/tillsyn/A 50702-2025 tillsynsbegäran.docx", "A 50702-2025")</f>
        <v/>
      </c>
      <c r="AD116">
        <f>HYPERLINK("https://klasma.github.io/Logging_1290/tillsynsmail/A 50702-2025 tillsynsbegäran mail.docx", "A 50702-2025")</f>
        <v/>
      </c>
    </row>
    <row r="117" ht="15" customHeight="1">
      <c r="A117" t="inlineStr">
        <is>
          <t>A 33883-2025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46324</v>
      </c>
      <c r="F117" t="inlineStr">
        <is>
          <t>SKÅNE LÄN</t>
        </is>
      </c>
      <c r="G117" t="inlineStr">
        <is>
          <t>KRISTIANSTAD</t>
        </is>
      </c>
      <c r="I117" t="n">
        <v>2.3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häxört</t>
        </is>
      </c>
      <c r="W117">
        <f>HYPERLINK("https://klasma.github.io/Logging_1290/artfynd/A 33883-2025 artfynd.xlsx", "A 33883-2025")</f>
        <v/>
      </c>
      <c r="X117">
        <f>HYPERLINK("https://klasma.github.io/Logging_1290/kartor/A 33883-2025 karta.png", "A 33883-2025")</f>
        <v/>
      </c>
      <c r="Y117">
        <f>HYPERLINK("https://klasma.github.io/Logging_1290/kartor_geotiff/A 33883-2025 georefererad karta.tif", "A 33883-2025")</f>
        <v/>
      </c>
      <c r="AA117">
        <f>HYPERLINK("https://klasma.github.io/Logging_1290/klagomål/A 33883-2025 FSC-klagomål.docx", "A 33883-2025")</f>
        <v/>
      </c>
      <c r="AB117">
        <f>HYPERLINK("https://klasma.github.io/Logging_1290/klagomålsmail/A 33883-2025 FSC-klagomål mail.docx", "A 33883-2025")</f>
        <v/>
      </c>
      <c r="AC117">
        <f>HYPERLINK("https://klasma.github.io/Logging_1290/tillsyn/A 33883-2025 tillsynsbegäran.docx", "A 33883-2025")</f>
        <v/>
      </c>
      <c r="AD117">
        <f>HYPERLINK("https://klasma.github.io/Logging_1290/tillsynsmail/A 33883-2025 tillsynsbegäran mail.docx", "A 33883-2025")</f>
        <v/>
      </c>
    </row>
    <row r="118" ht="15" customHeight="1">
      <c r="A118" t="inlineStr">
        <is>
          <t>A 34096-2025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46324</v>
      </c>
      <c r="F118" t="inlineStr">
        <is>
          <t>SKÅNE LÄN</t>
        </is>
      </c>
      <c r="G118" t="inlineStr">
        <is>
          <t>KRISTIANSTAD</t>
        </is>
      </c>
      <c r="I118" t="n">
        <v>6.5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Dunmossa</t>
        </is>
      </c>
      <c r="W118">
        <f>HYPERLINK("https://klasma.github.io/Logging_1290/artfynd/A 34096-2025 artfynd.xlsx", "A 34096-2025")</f>
        <v/>
      </c>
      <c r="X118">
        <f>HYPERLINK("https://klasma.github.io/Logging_1290/kartor/A 34096-2025 karta.png", "A 34096-2025")</f>
        <v/>
      </c>
      <c r="Y118">
        <f>HYPERLINK("https://klasma.github.io/Logging_1290/kartor_geotiff/A 34096-2025 georefererad karta.tif", "A 34096-2025")</f>
        <v/>
      </c>
      <c r="AA118">
        <f>HYPERLINK("https://klasma.github.io/Logging_1290/klagomål/A 34096-2025 FSC-klagomål.docx", "A 34096-2025")</f>
        <v/>
      </c>
      <c r="AB118">
        <f>HYPERLINK("https://klasma.github.io/Logging_1290/klagomålsmail/A 34096-2025 FSC-klagomål mail.docx", "A 34096-2025")</f>
        <v/>
      </c>
      <c r="AC118">
        <f>HYPERLINK("https://klasma.github.io/Logging_1290/tillsyn/A 34096-2025 tillsynsbegäran.docx", "A 34096-2025")</f>
        <v/>
      </c>
      <c r="AD118">
        <f>HYPERLINK("https://klasma.github.io/Logging_1290/tillsynsmail/A 34096-2025 tillsynsbegäran mail.docx", "A 34096-2025")</f>
        <v/>
      </c>
    </row>
    <row r="119" ht="15" customHeight="1">
      <c r="A119" t="inlineStr">
        <is>
          <t>A 41004-2022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46324</v>
      </c>
      <c r="F119" t="inlineStr">
        <is>
          <t>SKÅNE LÄN</t>
        </is>
      </c>
      <c r="G119" t="inlineStr">
        <is>
          <t>KRISTIANSTAD</t>
        </is>
      </c>
      <c r="I119" t="n">
        <v>2.4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Skogsbräsma</t>
        </is>
      </c>
      <c r="W119">
        <f>HYPERLINK("https://klasma.github.io/Logging_1290/artfynd/A 41004-2022 artfynd.xlsx", "A 41004-2022")</f>
        <v/>
      </c>
      <c r="X119">
        <f>HYPERLINK("https://klasma.github.io/Logging_1290/kartor/A 41004-2022 karta.png", "A 41004-2022")</f>
        <v/>
      </c>
      <c r="Y119">
        <f>HYPERLINK("https://klasma.github.io/Logging_1290/kartor_geotiff/A 41004-2022 georefererad karta.tif", "A 41004-2022")</f>
        <v/>
      </c>
      <c r="AA119">
        <f>HYPERLINK("https://klasma.github.io/Logging_1290/klagomål/A 41004-2022 FSC-klagomål.docx", "A 41004-2022")</f>
        <v/>
      </c>
      <c r="AB119">
        <f>HYPERLINK("https://klasma.github.io/Logging_1290/klagomålsmail/A 41004-2022 FSC-klagomål mail.docx", "A 41004-2022")</f>
        <v/>
      </c>
      <c r="AC119">
        <f>HYPERLINK("https://klasma.github.io/Logging_1290/tillsyn/A 41004-2022 tillsynsbegäran.docx", "A 41004-2022")</f>
        <v/>
      </c>
      <c r="AD119">
        <f>HYPERLINK("https://klasma.github.io/Logging_1290/tillsynsmail/A 41004-2022 tillsynsbegäran mail.docx", "A 41004-2022")</f>
        <v/>
      </c>
    </row>
    <row r="120" ht="15" customHeight="1">
      <c r="A120" t="inlineStr">
        <is>
          <t>A 15105-2023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46324</v>
      </c>
      <c r="F120" t="inlineStr">
        <is>
          <t>SKÅNE LÄN</t>
        </is>
      </c>
      <c r="G120" t="inlineStr">
        <is>
          <t>KRISTIANSTAD</t>
        </is>
      </c>
      <c r="H120" t="inlineStr">
        <is>
          <t>Kyrkan</t>
        </is>
      </c>
      <c r="I120" t="n">
        <v>3.2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Liten baronmossa</t>
        </is>
      </c>
      <c r="W120">
        <f>HYPERLINK("https://klasma.github.io/Logging_1290/artfynd/A 15105-2023 artfynd.xlsx", "A 15105-2023")</f>
        <v/>
      </c>
      <c r="X120">
        <f>HYPERLINK("https://klasma.github.io/Logging_1290/kartor/A 15105-2023 karta.png", "A 15105-2023")</f>
        <v/>
      </c>
      <c r="Y120">
        <f>HYPERLINK("https://klasma.github.io/Logging_1290/kartor_geotiff/A 15105-2023 georefererad karta.tif", "A 15105-2023")</f>
        <v/>
      </c>
      <c r="AA120">
        <f>HYPERLINK("https://klasma.github.io/Logging_1290/klagomål/A 15105-2023 FSC-klagomål.docx", "A 15105-2023")</f>
        <v/>
      </c>
      <c r="AB120">
        <f>HYPERLINK("https://klasma.github.io/Logging_1290/klagomålsmail/A 15105-2023 FSC-klagomål mail.docx", "A 15105-2023")</f>
        <v/>
      </c>
      <c r="AC120">
        <f>HYPERLINK("https://klasma.github.io/Logging_1290/tillsyn/A 15105-2023 tillsynsbegäran.docx", "A 15105-2023")</f>
        <v/>
      </c>
      <c r="AD120">
        <f>HYPERLINK("https://klasma.github.io/Logging_1290/tillsynsmail/A 15105-2023 tillsynsbegäran mail.docx", "A 15105-2023")</f>
        <v/>
      </c>
    </row>
    <row r="121" ht="15" customHeight="1">
      <c r="A121" t="inlineStr">
        <is>
          <t>A 18539-2022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46324</v>
      </c>
      <c r="F121" t="inlineStr">
        <is>
          <t>SKÅNE LÄN</t>
        </is>
      </c>
      <c r="G121" t="inlineStr">
        <is>
          <t>KRISTIANSTAD</t>
        </is>
      </c>
      <c r="I121" t="n">
        <v>4.3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Skogslysing</t>
        </is>
      </c>
      <c r="W121">
        <f>HYPERLINK("https://klasma.github.io/Logging_1290/artfynd/A 18539-2022 artfynd.xlsx", "A 18539-2022")</f>
        <v/>
      </c>
      <c r="X121">
        <f>HYPERLINK("https://klasma.github.io/Logging_1290/kartor/A 18539-2022 karta.png", "A 18539-2022")</f>
        <v/>
      </c>
      <c r="Y121">
        <f>HYPERLINK("https://klasma.github.io/Logging_1290/kartor_geotiff/A 18539-2022 georefererad karta.tif", "A 18539-2022")</f>
        <v/>
      </c>
      <c r="AA121">
        <f>HYPERLINK("https://klasma.github.io/Logging_1290/klagomål/A 18539-2022 FSC-klagomål.docx", "A 18539-2022")</f>
        <v/>
      </c>
      <c r="AB121">
        <f>HYPERLINK("https://klasma.github.io/Logging_1290/klagomålsmail/A 18539-2022 FSC-klagomål mail.docx", "A 18539-2022")</f>
        <v/>
      </c>
      <c r="AC121">
        <f>HYPERLINK("https://klasma.github.io/Logging_1290/tillsyn/A 18539-2022 tillsynsbegäran.docx", "A 18539-2022")</f>
        <v/>
      </c>
      <c r="AD121">
        <f>HYPERLINK("https://klasma.github.io/Logging_1290/tillsynsmail/A 18539-2022 tillsynsbegäran mail.docx", "A 18539-2022")</f>
        <v/>
      </c>
    </row>
    <row r="122" ht="15" customHeight="1">
      <c r="A122" t="inlineStr">
        <is>
          <t>A 31616-2024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46324</v>
      </c>
      <c r="F122" t="inlineStr">
        <is>
          <t>SKÅNE LÄN</t>
        </is>
      </c>
      <c r="G122" t="inlineStr">
        <is>
          <t>KRISTIANSTAD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Crunoecia irrorata</t>
        </is>
      </c>
      <c r="W122">
        <f>HYPERLINK("https://klasma.github.io/Logging_1290/artfynd/A 31616-2024 artfynd.xlsx", "A 31616-2024")</f>
        <v/>
      </c>
      <c r="X122">
        <f>HYPERLINK("https://klasma.github.io/Logging_1290/kartor/A 31616-2024 karta.png", "A 31616-2024")</f>
        <v/>
      </c>
      <c r="Y122">
        <f>HYPERLINK("https://klasma.github.io/Logging_1290/kartor_geotiff/A 31616-2024 georefererad karta.tif", "A 31616-2024")</f>
        <v/>
      </c>
      <c r="AA122">
        <f>HYPERLINK("https://klasma.github.io/Logging_1290/klagomål/A 31616-2024 FSC-klagomål.docx", "A 31616-2024")</f>
        <v/>
      </c>
      <c r="AB122">
        <f>HYPERLINK("https://klasma.github.io/Logging_1290/klagomålsmail/A 31616-2024 FSC-klagomål mail.docx", "A 31616-2024")</f>
        <v/>
      </c>
      <c r="AC122">
        <f>HYPERLINK("https://klasma.github.io/Logging_1290/tillsyn/A 31616-2024 tillsynsbegäran.docx", "A 31616-2024")</f>
        <v/>
      </c>
      <c r="AD122">
        <f>HYPERLINK("https://klasma.github.io/Logging_1290/tillsynsmail/A 31616-2024 tillsynsbegäran mail.docx", "A 31616-2024")</f>
        <v/>
      </c>
    </row>
    <row r="123" ht="15" customHeight="1">
      <c r="A123" t="inlineStr">
        <is>
          <t>A 16079-2026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46108</v>
      </c>
      <c r="E123" s="1" t="n">
        <v>46324</v>
      </c>
      <c r="F123" t="inlineStr">
        <is>
          <t>SKÅNE LÄN</t>
        </is>
      </c>
      <c r="G123" t="inlineStr">
        <is>
          <t>KRISTIANSTAD</t>
        </is>
      </c>
      <c r="I123" t="n">
        <v>13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3</v>
      </c>
      <c r="U123" t="n">
        <v>2</v>
      </c>
      <c r="V123" s="2" t="inlineStr">
        <is>
          <t>Småvänderot</t>
        </is>
      </c>
      <c r="W123">
        <f>HYPERLINK("https://klasma.github.io/Logging_1290/artfynd/A 16079-2026 artfynd.xlsx", "A 16079-2026")</f>
        <v/>
      </c>
      <c r="X123">
        <f>HYPERLINK("https://klasma.github.io/Logging_1290/kartor/A 16079-2026 karta.png", "A 16079-2026")</f>
        <v/>
      </c>
      <c r="Y123">
        <f>HYPERLINK("https://klasma.github.io/Logging_1290/kartor_geotiff/A 16079-2026 georefererad karta.tif", "A 16079-2026")</f>
        <v/>
      </c>
      <c r="AA123">
        <f>HYPERLINK("https://klasma.github.io/Logging_1290/klagomål/A 16079-2026 FSC-klagomål.docx", "A 16079-2026")</f>
        <v/>
      </c>
      <c r="AB123">
        <f>HYPERLINK("https://klasma.github.io/Logging_1290/klagomålsmail/A 16079-2026 FSC-klagomål mail.docx", "A 16079-2026")</f>
        <v/>
      </c>
      <c r="AC123">
        <f>HYPERLINK("https://klasma.github.io/Logging_1290/tillsyn/A 16079-2026 tillsynsbegäran.docx", "A 16079-2026")</f>
        <v/>
      </c>
      <c r="AD123">
        <f>HYPERLINK("https://klasma.github.io/Logging_1290/tillsynsmail/A 16079-2026 tillsynsbegäran mail.docx", "A 16079-2026")</f>
        <v/>
      </c>
    </row>
    <row r="124" ht="15" customHeight="1">
      <c r="A124" t="inlineStr">
        <is>
          <t>A 61605-2023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46324</v>
      </c>
      <c r="F124" t="inlineStr">
        <is>
          <t>SKÅNE LÄN</t>
        </is>
      </c>
      <c r="G124" t="inlineStr">
        <is>
          <t>KRISTIANSTAD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61605-2023 artfynd.xlsx", "A 61605-2023")</f>
        <v/>
      </c>
      <c r="X124">
        <f>HYPERLINK("https://klasma.github.io/Logging_1290/kartor/A 61605-2023 karta.png", "A 61605-2023")</f>
        <v/>
      </c>
      <c r="Y124">
        <f>HYPERLINK("https://klasma.github.io/Logging_1290/kartor_geotiff/A 61605-2023 georefererad karta.tif", "A 61605-2023")</f>
        <v/>
      </c>
      <c r="AA124">
        <f>HYPERLINK("https://klasma.github.io/Logging_1290/klagomål/A 61605-2023 FSC-klagomål.docx", "A 61605-2023")</f>
        <v/>
      </c>
      <c r="AB124">
        <f>HYPERLINK("https://klasma.github.io/Logging_1290/klagomålsmail/A 61605-2023 FSC-klagomål mail.docx", "A 61605-2023")</f>
        <v/>
      </c>
      <c r="AC124">
        <f>HYPERLINK("https://klasma.github.io/Logging_1290/tillsyn/A 61605-2023 tillsynsbegäran.docx", "A 61605-2023")</f>
        <v/>
      </c>
      <c r="AD124">
        <f>HYPERLINK("https://klasma.github.io/Logging_1290/tillsynsmail/A 61605-2023 tillsynsbegäran mail.docx", "A 61605-2023")</f>
        <v/>
      </c>
    </row>
    <row r="125" ht="15" customHeight="1">
      <c r="A125" t="inlineStr">
        <is>
          <t>A 22272-2024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45446</v>
      </c>
      <c r="E125" s="1" t="n">
        <v>46324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Dubbelnycklar</t>
        </is>
      </c>
      <c r="W125">
        <f>HYPERLINK("https://klasma.github.io/Logging_1290/artfynd/A 22272-2024 artfynd.xlsx", "A 22272-2024")</f>
        <v/>
      </c>
      <c r="X125">
        <f>HYPERLINK("https://klasma.github.io/Logging_1290/kartor/A 22272-2024 karta.png", "A 22272-2024")</f>
        <v/>
      </c>
      <c r="Y125">
        <f>HYPERLINK("https://klasma.github.io/Logging_1290/kartor_geotiff/A 22272-2024 georefererad karta.tif", "A 22272-2024")</f>
        <v/>
      </c>
      <c r="AA125">
        <f>HYPERLINK("https://klasma.github.io/Logging_1290/klagomål/A 22272-2024 FSC-klagomål.docx", "A 22272-2024")</f>
        <v/>
      </c>
      <c r="AB125">
        <f>HYPERLINK("https://klasma.github.io/Logging_1290/klagomålsmail/A 22272-2024 FSC-klagomål mail.docx", "A 22272-2024")</f>
        <v/>
      </c>
      <c r="AC125">
        <f>HYPERLINK("https://klasma.github.io/Logging_1290/tillsyn/A 22272-2024 tillsynsbegäran.docx", "A 22272-2024")</f>
        <v/>
      </c>
      <c r="AD125">
        <f>HYPERLINK("https://klasma.github.io/Logging_1290/tillsynsmail/A 22272-2024 tillsynsbegäran mail.docx", "A 22272-2024")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46324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30918-2022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46324</v>
      </c>
      <c r="F127" t="inlineStr">
        <is>
          <t>SKÅNE LÄN</t>
        </is>
      </c>
      <c r="G127" t="inlineStr">
        <is>
          <t>KRISTIANSTAD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30918-2022 artfynd.xlsx", "A 30918-2022")</f>
        <v/>
      </c>
      <c r="X127">
        <f>HYPERLINK("https://klasma.github.io/Logging_1290/kartor/A 30918-2022 karta.png", "A 30918-2022")</f>
        <v/>
      </c>
      <c r="Y127">
        <f>HYPERLINK("https://klasma.github.io/Logging_1290/kartor_geotiff/A 30918-2022 georefererad karta.tif", "A 30918-2022")</f>
        <v/>
      </c>
      <c r="AA127">
        <f>HYPERLINK("https://klasma.github.io/Logging_1290/klagomål/A 30918-2022 FSC-klagomål.docx", "A 30918-2022")</f>
        <v/>
      </c>
      <c r="AB127">
        <f>HYPERLINK("https://klasma.github.io/Logging_1290/klagomålsmail/A 30918-2022 FSC-klagomål mail.docx", "A 30918-2022")</f>
        <v/>
      </c>
      <c r="AC127">
        <f>HYPERLINK("https://klasma.github.io/Logging_1290/tillsyn/A 30918-2022 tillsynsbegäran.docx", "A 30918-2022")</f>
        <v/>
      </c>
      <c r="AD127">
        <f>HYPERLINK("https://klasma.github.io/Logging_1290/tillsynsmail/A 30918-2022 tillsynsbegäran mail.docx", "A 30918-2022")</f>
        <v/>
      </c>
    </row>
    <row r="128" ht="15" customHeight="1">
      <c r="A128" t="inlineStr">
        <is>
          <t>A 39238-2026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46287</v>
      </c>
      <c r="E128" s="1" t="n">
        <v>46324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4.5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Grönvit nattviol</t>
        </is>
      </c>
      <c r="W128">
        <f>HYPERLINK("https://klasma.github.io/Logging_1290/artfynd/A 39238-2026 artfynd.xlsx", "A 39238-2026")</f>
        <v/>
      </c>
      <c r="X128">
        <f>HYPERLINK("https://klasma.github.io/Logging_1290/kartor/A 39238-2026 karta.png", "A 39238-2026")</f>
        <v/>
      </c>
      <c r="Y128">
        <f>HYPERLINK("https://klasma.github.io/Logging_1290/kartor_geotiff/A 39238-2026 georefererad karta.tif", "A 39238-2026")</f>
        <v/>
      </c>
      <c r="AA128">
        <f>HYPERLINK("https://klasma.github.io/Logging_1290/klagomål/A 39238-2026 FSC-klagomål.docx", "A 39238-2026")</f>
        <v/>
      </c>
      <c r="AB128">
        <f>HYPERLINK("https://klasma.github.io/Logging_1290/klagomålsmail/A 39238-2026 FSC-klagomål mail.docx", "A 39238-2026")</f>
        <v/>
      </c>
      <c r="AC128">
        <f>HYPERLINK("https://klasma.github.io/Logging_1290/tillsyn/A 39238-2026 tillsynsbegäran.docx", "A 39238-2026")</f>
        <v/>
      </c>
      <c r="AD128">
        <f>HYPERLINK("https://klasma.github.io/Logging_1290/tillsynsmail/A 39238-2026 tillsynsbegäran mail.docx", "A 39238-2026")</f>
        <v/>
      </c>
    </row>
    <row r="129" ht="15" customHeight="1">
      <c r="A129" t="inlineStr">
        <is>
          <t>A 34113-2026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46253</v>
      </c>
      <c r="E129" s="1" t="n">
        <v>46324</v>
      </c>
      <c r="F129" t="inlineStr">
        <is>
          <t>SKÅNE LÄN</t>
        </is>
      </c>
      <c r="G129" t="inlineStr">
        <is>
          <t>KRISTIANSTAD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Småvänderot</t>
        </is>
      </c>
      <c r="W129">
        <f>HYPERLINK("https://klasma.github.io/Logging_1290/artfynd/A 34113-2026 artfynd.xlsx", "A 34113-2026")</f>
        <v/>
      </c>
      <c r="X129">
        <f>HYPERLINK("https://klasma.github.io/Logging_1290/kartor/A 34113-2026 karta.png", "A 34113-2026")</f>
        <v/>
      </c>
      <c r="Y129">
        <f>HYPERLINK("https://klasma.github.io/Logging_1290/kartor_geotiff/A 34113-2026 georefererad karta.tif", "A 34113-2026")</f>
        <v/>
      </c>
      <c r="AA129">
        <f>HYPERLINK("https://klasma.github.io/Logging_1290/klagomål/A 34113-2026 FSC-klagomål.docx", "A 34113-2026")</f>
        <v/>
      </c>
      <c r="AB129">
        <f>HYPERLINK("https://klasma.github.io/Logging_1290/klagomålsmail/A 34113-2026 FSC-klagomål mail.docx", "A 34113-2026")</f>
        <v/>
      </c>
      <c r="AC129">
        <f>HYPERLINK("https://klasma.github.io/Logging_1290/tillsyn/A 34113-2026 tillsynsbegäran.docx", "A 34113-2026")</f>
        <v/>
      </c>
      <c r="AD129">
        <f>HYPERLINK("https://klasma.github.io/Logging_1290/tillsynsmail/A 34113-2026 tillsynsbegäran mail.docx", "A 34113-2026")</f>
        <v/>
      </c>
    </row>
    <row r="130" ht="15" customHeight="1">
      <c r="A130" t="inlineStr">
        <is>
          <t>A 28342-2024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46324</v>
      </c>
      <c r="F130" t="inlineStr">
        <is>
          <t>SKÅNE LÄN</t>
        </is>
      </c>
      <c r="G130" t="inlineStr">
        <is>
          <t>KRISTIANSTAD</t>
        </is>
      </c>
      <c r="I130" t="n">
        <v>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28342-2024 artfynd.xlsx", "A 28342-2024")</f>
        <v/>
      </c>
      <c r="X130">
        <f>HYPERLINK("https://klasma.github.io/Logging_1290/kartor/A 28342-2024 karta.png", "A 28342-2024")</f>
        <v/>
      </c>
      <c r="Y130">
        <f>HYPERLINK("https://klasma.github.io/Logging_1290/kartor_geotiff/A 28342-2024 georefererad karta.tif", "A 28342-2024")</f>
        <v/>
      </c>
      <c r="AA130">
        <f>HYPERLINK("https://klasma.github.io/Logging_1290/klagomål/A 28342-2024 FSC-klagomål.docx", "A 28342-2024")</f>
        <v/>
      </c>
      <c r="AB130">
        <f>HYPERLINK("https://klasma.github.io/Logging_1290/klagomålsmail/A 28342-2024 FSC-klagomål mail.docx", "A 28342-2024")</f>
        <v/>
      </c>
      <c r="AC130">
        <f>HYPERLINK("https://klasma.github.io/Logging_1290/tillsyn/A 28342-2024 tillsynsbegäran.docx", "A 28342-2024")</f>
        <v/>
      </c>
      <c r="AD130">
        <f>HYPERLINK("https://klasma.github.io/Logging_1290/tillsynsmail/A 28342-2024 tillsynsbegäran mail.docx", "A 28342-2024")</f>
        <v/>
      </c>
    </row>
    <row r="131" ht="15" customHeight="1">
      <c r="A131" t="inlineStr">
        <is>
          <t>A 17023-2025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46324</v>
      </c>
      <c r="F131" t="inlineStr">
        <is>
          <t>SKÅNE LÄN</t>
        </is>
      </c>
      <c r="G131" t="inlineStr">
        <is>
          <t>KRISTIANSTAD</t>
        </is>
      </c>
      <c r="I131" t="n">
        <v>5.7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Ekskinn</t>
        </is>
      </c>
      <c r="W131">
        <f>HYPERLINK("https://klasma.github.io/Logging_1290/artfynd/A 17023-2025 artfynd.xlsx", "A 17023-2025")</f>
        <v/>
      </c>
      <c r="X131">
        <f>HYPERLINK("https://klasma.github.io/Logging_1290/kartor/A 17023-2025 karta.png", "A 17023-2025")</f>
        <v/>
      </c>
      <c r="Y131">
        <f>HYPERLINK("https://klasma.github.io/Logging_1290/kartor_geotiff/A 17023-2025 georefererad karta.tif", "A 17023-2025")</f>
        <v/>
      </c>
      <c r="AA131">
        <f>HYPERLINK("https://klasma.github.io/Logging_1290/klagomål/A 17023-2025 FSC-klagomål.docx", "A 17023-2025")</f>
        <v/>
      </c>
      <c r="AB131">
        <f>HYPERLINK("https://klasma.github.io/Logging_1290/klagomålsmail/A 17023-2025 FSC-klagomål mail.docx", "A 17023-2025")</f>
        <v/>
      </c>
      <c r="AC131">
        <f>HYPERLINK("https://klasma.github.io/Logging_1290/tillsyn/A 17023-2025 tillsynsbegäran.docx", "A 17023-2025")</f>
        <v/>
      </c>
      <c r="AD131">
        <f>HYPERLINK("https://klasma.github.io/Logging_1290/tillsynsmail/A 17023-2025 tillsynsbegäran mail.docx", "A 17023-2025")</f>
        <v/>
      </c>
    </row>
    <row r="132" ht="15" customHeight="1">
      <c r="A132" t="inlineStr">
        <is>
          <t>A 44582-2022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46324</v>
      </c>
      <c r="F132" t="inlineStr">
        <is>
          <t>SKÅNE LÄN</t>
        </is>
      </c>
      <c r="G132" t="inlineStr">
        <is>
          <t>KRISTIANSTAD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Orangepudrad klotterlav</t>
        </is>
      </c>
      <c r="W132">
        <f>HYPERLINK("https://klasma.github.io/Logging_1290/artfynd/A 44582-2022 artfynd.xlsx", "A 44582-2022")</f>
        <v/>
      </c>
      <c r="X132">
        <f>HYPERLINK("https://klasma.github.io/Logging_1290/kartor/A 44582-2022 karta.png", "A 44582-2022")</f>
        <v/>
      </c>
      <c r="Y132">
        <f>HYPERLINK("https://klasma.github.io/Logging_1290/kartor_geotiff/A 44582-2022 georefererad karta.tif", "A 44582-2022")</f>
        <v/>
      </c>
      <c r="AA132">
        <f>HYPERLINK("https://klasma.github.io/Logging_1290/klagomål/A 44582-2022 FSC-klagomål.docx", "A 44582-2022")</f>
        <v/>
      </c>
      <c r="AB132">
        <f>HYPERLINK("https://klasma.github.io/Logging_1290/klagomålsmail/A 44582-2022 FSC-klagomål mail.docx", "A 44582-2022")</f>
        <v/>
      </c>
      <c r="AC132">
        <f>HYPERLINK("https://klasma.github.io/Logging_1290/tillsyn/A 44582-2022 tillsynsbegäran.docx", "A 44582-2022")</f>
        <v/>
      </c>
      <c r="AD132">
        <f>HYPERLINK("https://klasma.github.io/Logging_1290/tillsynsmail/A 44582-2022 tillsynsbegäran mail.docx", "A 44582-2022")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46324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46324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4615-2024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46324</v>
      </c>
      <c r="F135" t="inlineStr">
        <is>
          <t>SKÅNE LÄN</t>
        </is>
      </c>
      <c r="G135" t="inlineStr">
        <is>
          <t>KRISTIANSTAD</t>
        </is>
      </c>
      <c r="I135" t="n">
        <v>6.6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Skogslysing</t>
        </is>
      </c>
      <c r="W135">
        <f>HYPERLINK("https://klasma.github.io/Logging_1290/artfynd/A 4615-2024 artfynd.xlsx", "A 4615-2024")</f>
        <v/>
      </c>
      <c r="X135">
        <f>HYPERLINK("https://klasma.github.io/Logging_1290/kartor/A 4615-2024 karta.png", "A 4615-2024")</f>
        <v/>
      </c>
      <c r="Y135">
        <f>HYPERLINK("https://klasma.github.io/Logging_1290/kartor_geotiff/A 4615-2024 georefererad karta.tif", "A 4615-2024")</f>
        <v/>
      </c>
      <c r="AA135">
        <f>HYPERLINK("https://klasma.github.io/Logging_1290/klagomål/A 4615-2024 FSC-klagomål.docx", "A 4615-2024")</f>
        <v/>
      </c>
      <c r="AB135">
        <f>HYPERLINK("https://klasma.github.io/Logging_1290/klagomålsmail/A 4615-2024 FSC-klagomål mail.docx", "A 4615-2024")</f>
        <v/>
      </c>
      <c r="AC135">
        <f>HYPERLINK("https://klasma.github.io/Logging_1290/tillsyn/A 4615-2024 tillsynsbegäran.docx", "A 4615-2024")</f>
        <v/>
      </c>
      <c r="AD135">
        <f>HYPERLINK("https://klasma.github.io/Logging_1290/tillsynsmail/A 4615-2024 tillsynsbegäran mail.docx", "A 4615-2024")</f>
        <v/>
      </c>
    </row>
    <row r="136" ht="15" customHeight="1">
      <c r="A136" t="inlineStr">
        <is>
          <t>A 30925-2022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46324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30925-2022 artfynd.xlsx", "A 30925-2022")</f>
        <v/>
      </c>
      <c r="X136">
        <f>HYPERLINK("https://klasma.github.io/Logging_1290/kartor/A 30925-2022 karta.png", "A 30925-2022")</f>
        <v/>
      </c>
      <c r="Y136">
        <f>HYPERLINK("https://klasma.github.io/Logging_1290/kartor_geotiff/A 30925-2022 georefererad karta.tif", "A 30925-2022")</f>
        <v/>
      </c>
      <c r="AA136">
        <f>HYPERLINK("https://klasma.github.io/Logging_1290/klagomål/A 30925-2022 FSC-klagomål.docx", "A 30925-2022")</f>
        <v/>
      </c>
      <c r="AB136">
        <f>HYPERLINK("https://klasma.github.io/Logging_1290/klagomålsmail/A 30925-2022 FSC-klagomål mail.docx", "A 30925-2022")</f>
        <v/>
      </c>
      <c r="AC136">
        <f>HYPERLINK("https://klasma.github.io/Logging_1290/tillsyn/A 30925-2022 tillsynsbegäran.docx", "A 30925-2022")</f>
        <v/>
      </c>
      <c r="AD136">
        <f>HYPERLINK("https://klasma.github.io/Logging_1290/tillsynsmail/A 30925-2022 tillsynsbegäran mail.docx", "A 30925-2022")</f>
        <v/>
      </c>
    </row>
    <row r="137" ht="15" customHeight="1">
      <c r="A137" t="inlineStr">
        <is>
          <t>A 44824-2026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46323</v>
      </c>
      <c r="E137" s="1" t="n">
        <v>46324</v>
      </c>
      <c r="F137" t="inlineStr">
        <is>
          <t>SKÅNE LÄN</t>
        </is>
      </c>
      <c r="G137" t="inlineStr">
        <is>
          <t>KRISTIANSTAD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Rosensopp</t>
        </is>
      </c>
      <c r="W137">
        <f>HYPERLINK("https://klasma.github.io/Logging_1290/artfynd/A 44824-2026 artfynd.xlsx", "A 44824-2026")</f>
        <v/>
      </c>
      <c r="X137">
        <f>HYPERLINK("https://klasma.github.io/Logging_1290/kartor/A 44824-2026 karta.png", "A 44824-2026")</f>
        <v/>
      </c>
      <c r="Y137">
        <f>HYPERLINK("https://klasma.github.io/Logging_1290/kartor_geotiff/A 44824-2026 georefererad karta.tif", "A 44824-2026")</f>
        <v/>
      </c>
      <c r="AA137">
        <f>HYPERLINK("https://klasma.github.io/Logging_1290/klagomål/A 44824-2026 FSC-klagomål.docx", "A 44824-2026")</f>
        <v/>
      </c>
      <c r="AB137">
        <f>HYPERLINK("https://klasma.github.io/Logging_1290/klagomålsmail/A 44824-2026 FSC-klagomål mail.docx", "A 44824-2026")</f>
        <v/>
      </c>
      <c r="AC137">
        <f>HYPERLINK("https://klasma.github.io/Logging_1290/tillsyn/A 44824-2026 tillsynsbegäran.docx", "A 44824-2026")</f>
        <v/>
      </c>
      <c r="AD137">
        <f>HYPERLINK("https://klasma.github.io/Logging_1290/tillsynsmail/A 44824-2026 tillsynsbegäran mail.docx", "A 44824-2026")</f>
        <v/>
      </c>
    </row>
    <row r="138" ht="15" customHeight="1">
      <c r="A138" t="inlineStr">
        <is>
          <t>A 37725-2026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46279</v>
      </c>
      <c r="E138" s="1" t="n">
        <v>46324</v>
      </c>
      <c r="F138" t="inlineStr">
        <is>
          <t>SKÅNE LÄN</t>
        </is>
      </c>
      <c r="G138" t="inlineStr">
        <is>
          <t>KRISTIANSTAD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Mindre flugsnappare</t>
        </is>
      </c>
      <c r="W138">
        <f>HYPERLINK("https://klasma.github.io/Logging_1290/artfynd/A 37725-2026 artfynd.xlsx", "A 37725-2026")</f>
        <v/>
      </c>
      <c r="X138">
        <f>HYPERLINK("https://klasma.github.io/Logging_1290/kartor/A 37725-2026 karta.png", "A 37725-2026")</f>
        <v/>
      </c>
      <c r="Y138">
        <f>HYPERLINK("https://klasma.github.io/Logging_1290/kartor_geotiff/A 37725-2026 georefererad karta.tif", "A 37725-2026")</f>
        <v/>
      </c>
      <c r="AA138">
        <f>HYPERLINK("https://klasma.github.io/Logging_1290/klagomål/A 37725-2026 FSC-klagomål.docx", "A 37725-2026")</f>
        <v/>
      </c>
      <c r="AB138">
        <f>HYPERLINK("https://klasma.github.io/Logging_1290/klagomålsmail/A 37725-2026 FSC-klagomål mail.docx", "A 37725-2026")</f>
        <v/>
      </c>
      <c r="AC138">
        <f>HYPERLINK("https://klasma.github.io/Logging_1290/tillsyn/A 37725-2026 tillsynsbegäran.docx", "A 37725-2026")</f>
        <v/>
      </c>
      <c r="AD138">
        <f>HYPERLINK("https://klasma.github.io/Logging_1290/tillsynsmail/A 37725-2026 tillsynsbegäran mail.docx", "A 37725-2026")</f>
        <v/>
      </c>
      <c r="AE138">
        <f>HYPERLINK("https://klasma.github.io/Logging_1290/fåglar/A 37725-2026 prioriterade fågelarter.docx", "A 37725-2026")</f>
        <v/>
      </c>
    </row>
    <row r="139" ht="15" customHeight="1">
      <c r="A139" t="inlineStr">
        <is>
          <t>A 26965-2023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45093</v>
      </c>
      <c r="E139" s="1" t="n">
        <v>46324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4</v>
      </c>
      <c r="U139" t="n">
        <v>0</v>
      </c>
      <c r="V139" s="2" t="inlineStr">
        <is>
          <t>Sjötåtel</t>
        </is>
      </c>
      <c r="W139">
        <f>HYPERLINK("https://klasma.github.io/Logging_1290/artfynd/A 26965-2023 artfynd.xlsx", "A 26965-2023")</f>
        <v/>
      </c>
      <c r="X139">
        <f>HYPERLINK("https://klasma.github.io/Logging_1290/kartor/A 26965-2023 karta.png", "A 26965-2023")</f>
        <v/>
      </c>
      <c r="Y139">
        <f>HYPERLINK("https://klasma.github.io/Logging_1290/kartor_geotiff/A 26965-2023 georefererad karta.tif", "A 26965-2023")</f>
        <v/>
      </c>
      <c r="AA139">
        <f>HYPERLINK("https://klasma.github.io/Logging_1290/klagomål/A 26965-2023 FSC-klagomål.docx", "A 26965-2023")</f>
        <v/>
      </c>
      <c r="AB139">
        <f>HYPERLINK("https://klasma.github.io/Logging_1290/klagomålsmail/A 26965-2023 FSC-klagomål mail.docx", "A 26965-2023")</f>
        <v/>
      </c>
      <c r="AC139">
        <f>HYPERLINK("https://klasma.github.io/Logging_1290/tillsyn/A 26965-2023 tillsynsbegäran.docx", "A 26965-2023")</f>
        <v/>
      </c>
      <c r="AD139">
        <f>HYPERLINK("https://klasma.github.io/Logging_1290/tillsynsmail/A 26965-2023 tillsynsbegäran mail.docx", "A 26965-2023")</f>
        <v/>
      </c>
    </row>
    <row r="140" ht="15" customHeight="1">
      <c r="A140" t="inlineStr">
        <is>
          <t>A 34360-2023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45139</v>
      </c>
      <c r="E140" s="1" t="n">
        <v>46324</v>
      </c>
      <c r="F140" t="inlineStr">
        <is>
          <t>SKÅNE LÄN</t>
        </is>
      </c>
      <c r="G140" t="inlineStr">
        <is>
          <t>KRISTIANSTAD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HYPERLINK("https://klasma.github.io/Logging_1290/artfynd/A 34360-2023 artfynd.xlsx", "A 34360-2023")</f>
        <v/>
      </c>
      <c r="X140">
        <f>HYPERLINK("https://klasma.github.io/Logging_1290/kartor/A 34360-2023 karta.png", "A 34360-2023")</f>
        <v/>
      </c>
      <c r="Y140">
        <f>HYPERLINK("https://klasma.github.io/Logging_1290/kartor_geotiff/A 34360-2023 georefererad karta.tif", "A 34360-2023")</f>
        <v/>
      </c>
      <c r="AA140">
        <f>HYPERLINK("https://klasma.github.io/Logging_1290/klagomål/A 34360-2023 FSC-klagomål.docx", "A 34360-2023")</f>
        <v/>
      </c>
      <c r="AB140">
        <f>HYPERLINK("https://klasma.github.io/Logging_1290/klagomålsmail/A 34360-2023 FSC-klagomål mail.docx", "A 34360-2023")</f>
        <v/>
      </c>
      <c r="AC140">
        <f>HYPERLINK("https://klasma.github.io/Logging_1290/tillsyn/A 34360-2023 tillsynsbegäran.docx", "A 34360-2023")</f>
        <v/>
      </c>
      <c r="AD140">
        <f>HYPERLINK("https://klasma.github.io/Logging_1290/tillsynsmail/A 34360-2023 tillsynsbegäran mail.docx", "A 34360-2023")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46324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46324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46324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46324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46324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46324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46324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46324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46324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46324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46324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46324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46324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46324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46324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46324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46324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46324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46324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46324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44560</v>
      </c>
      <c r="E161" s="1" t="n">
        <v>46324</v>
      </c>
      <c r="F161" t="inlineStr">
        <is>
          <t>SKÅNE LÄN</t>
        </is>
      </c>
      <c r="G161" t="inlineStr">
        <is>
          <t>KRISTIANSTAD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46324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46324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46324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46324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46324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46324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44592</v>
      </c>
      <c r="E168" s="1" t="n">
        <v>46324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46324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46324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46324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46324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46324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46324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46324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46324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46324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46324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46324</v>
      </c>
      <c r="F179" t="inlineStr">
        <is>
          <t>SKÅNE LÄN</t>
        </is>
      </c>
      <c r="G179" t="inlineStr">
        <is>
          <t>KRISTIANSTAD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46324</v>
      </c>
      <c r="F180" t="inlineStr">
        <is>
          <t>SKÅNE LÄN</t>
        </is>
      </c>
      <c r="G180" t="inlineStr">
        <is>
          <t>KRISTIANSTAD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46324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44923</v>
      </c>
      <c r="E182" s="1" t="n">
        <v>46324</v>
      </c>
      <c r="F182" t="inlineStr">
        <is>
          <t>SKÅNE LÄN</t>
        </is>
      </c>
      <c r="G182" t="inlineStr">
        <is>
          <t>KRISTIANSTAD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46324</v>
      </c>
      <c r="F183" t="inlineStr">
        <is>
          <t>SKÅNE LÄN</t>
        </is>
      </c>
      <c r="G183" t="inlineStr">
        <is>
          <t>KRISTIANSTAD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46324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44628</v>
      </c>
      <c r="E185" s="1" t="n">
        <v>46324</v>
      </c>
      <c r="F185" t="inlineStr">
        <is>
          <t>SKÅNE LÄN</t>
        </is>
      </c>
      <c r="G185" t="inlineStr">
        <is>
          <t>KRISTIANSTAD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46324</v>
      </c>
      <c r="F186" t="inlineStr">
        <is>
          <t>SKÅNE LÄN</t>
        </is>
      </c>
      <c r="G186" t="inlineStr">
        <is>
          <t>KRISTIANSTAD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46324</v>
      </c>
      <c r="F187" t="inlineStr">
        <is>
          <t>SKÅNE LÄN</t>
        </is>
      </c>
      <c r="G187" t="inlineStr">
        <is>
          <t>KRISTIANSTAD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46324</v>
      </c>
      <c r="F188" t="inlineStr">
        <is>
          <t>SKÅNE LÄN</t>
        </is>
      </c>
      <c r="G188" t="inlineStr">
        <is>
          <t>KRISTIANSTAD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46324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46324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46324</v>
      </c>
      <c r="F191" t="inlineStr">
        <is>
          <t>SKÅNE LÄN</t>
        </is>
      </c>
      <c r="G191" t="inlineStr">
        <is>
          <t>KRISTIANSTAD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46324</v>
      </c>
      <c r="F192" t="inlineStr">
        <is>
          <t>SKÅNE LÄN</t>
        </is>
      </c>
      <c r="G192" t="inlineStr">
        <is>
          <t>KRISTIANSTAD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46324</v>
      </c>
      <c r="F193" t="inlineStr">
        <is>
          <t>SKÅNE LÄN</t>
        </is>
      </c>
      <c r="G193" t="inlineStr">
        <is>
          <t>KRISTIANSTAD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46324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44685</v>
      </c>
      <c r="E195" s="1" t="n">
        <v>46324</v>
      </c>
      <c r="F195" t="inlineStr">
        <is>
          <t>SKÅNE LÄN</t>
        </is>
      </c>
      <c r="G195" t="inlineStr">
        <is>
          <t>KRISTIANSTAD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46324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44684</v>
      </c>
      <c r="E197" s="1" t="n">
        <v>46324</v>
      </c>
      <c r="F197" t="inlineStr">
        <is>
          <t>SKÅNE LÄN</t>
        </is>
      </c>
      <c r="G197" t="inlineStr">
        <is>
          <t>KRISTIANSTAD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67994-2021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46324</v>
      </c>
      <c r="F198" t="inlineStr">
        <is>
          <t>SKÅNE LÄN</t>
        </is>
      </c>
      <c r="G198" t="inlineStr">
        <is>
          <t>KRISTIANSTAD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45416</v>
      </c>
      <c r="E199" s="1" t="n">
        <v>46324</v>
      </c>
      <c r="F199" t="inlineStr">
        <is>
          <t>SKÅNE LÄN</t>
        </is>
      </c>
      <c r="G199" t="inlineStr">
        <is>
          <t>KRISTIANSTAD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46324</v>
      </c>
      <c r="F200" t="inlineStr">
        <is>
          <t>SKÅNE LÄN</t>
        </is>
      </c>
      <c r="G200" t="inlineStr">
        <is>
          <t>KRISTIANSTAD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46324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46324</v>
      </c>
      <c r="F202" t="inlineStr">
        <is>
          <t>SKÅNE LÄN</t>
        </is>
      </c>
      <c r="G202" t="inlineStr">
        <is>
          <t>KRISTIANSTAD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46324</v>
      </c>
      <c r="F203" t="inlineStr">
        <is>
          <t>SKÅNE LÄN</t>
        </is>
      </c>
      <c r="G203" t="inlineStr">
        <is>
          <t>KRISTIANSTAD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45478</v>
      </c>
      <c r="E204" s="1" t="n">
        <v>46324</v>
      </c>
      <c r="F204" t="inlineStr">
        <is>
          <t>SKÅNE LÄN</t>
        </is>
      </c>
      <c r="G204" t="inlineStr">
        <is>
          <t>KRISTIANSTAD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45498</v>
      </c>
      <c r="E205" s="1" t="n">
        <v>46324</v>
      </c>
      <c r="F205" t="inlineStr">
        <is>
          <t>SKÅNE LÄN</t>
        </is>
      </c>
      <c r="G205" t="inlineStr">
        <is>
          <t>KRISTIANSTAD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46324</v>
      </c>
      <c r="F206" t="inlineStr">
        <is>
          <t>SKÅNE LÄN</t>
        </is>
      </c>
      <c r="G206" t="inlineStr">
        <is>
          <t>KRISTIANSTAD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44749</v>
      </c>
      <c r="E207" s="1" t="n">
        <v>46324</v>
      </c>
      <c r="F207" t="inlineStr">
        <is>
          <t>SKÅNE LÄN</t>
        </is>
      </c>
      <c r="G207" t="inlineStr">
        <is>
          <t>KRISTIANSTAD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46324</v>
      </c>
      <c r="F208" t="inlineStr">
        <is>
          <t>SKÅNE LÄN</t>
        </is>
      </c>
      <c r="G208" t="inlineStr">
        <is>
          <t>KRISTIANSTAD</t>
        </is>
      </c>
      <c r="H208" t="inlineStr">
        <is>
          <t>Övriga Aktiebolag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46324</v>
      </c>
      <c r="F209" t="inlineStr">
        <is>
          <t>SKÅNE LÄN</t>
        </is>
      </c>
      <c r="G209" t="inlineStr">
        <is>
          <t>KRISTIANSTAD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46324</v>
      </c>
      <c r="F210" t="inlineStr">
        <is>
          <t>SKÅNE LÄN</t>
        </is>
      </c>
      <c r="G210" t="inlineStr">
        <is>
          <t>KRISTIANSTAD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46324</v>
      </c>
      <c r="F211" t="inlineStr">
        <is>
          <t>SKÅNE LÄN</t>
        </is>
      </c>
      <c r="G211" t="inlineStr">
        <is>
          <t>KRISTIANSTAD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46324</v>
      </c>
      <c r="F212" t="inlineStr">
        <is>
          <t>SKÅNE LÄN</t>
        </is>
      </c>
      <c r="G212" t="inlineStr">
        <is>
          <t>KRISTIANSTAD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35937-2024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45533</v>
      </c>
      <c r="E213" s="1" t="n">
        <v>46324</v>
      </c>
      <c r="F213" t="inlineStr">
        <is>
          <t>SKÅNE LÄN</t>
        </is>
      </c>
      <c r="G213" t="inlineStr">
        <is>
          <t>KRISTIANSTAD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46324</v>
      </c>
      <c r="F214" t="inlineStr">
        <is>
          <t>SKÅNE LÄN</t>
        </is>
      </c>
      <c r="G214" t="inlineStr">
        <is>
          <t>KRISTIANSTAD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46324</v>
      </c>
      <c r="F215" t="inlineStr">
        <is>
          <t>SKÅNE LÄN</t>
        </is>
      </c>
      <c r="G215" t="inlineStr">
        <is>
          <t>KRISTIANSTAD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46324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45700</v>
      </c>
      <c r="E217" s="1" t="n">
        <v>46324</v>
      </c>
      <c r="F217" t="inlineStr">
        <is>
          <t>SKÅNE LÄN</t>
        </is>
      </c>
      <c r="G217" t="inlineStr">
        <is>
          <t>KRISTIANSTAD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45648</v>
      </c>
      <c r="E218" s="1" t="n">
        <v>46324</v>
      </c>
      <c r="F218" t="inlineStr">
        <is>
          <t>SKÅNE LÄN</t>
        </is>
      </c>
      <c r="G218" t="inlineStr">
        <is>
          <t>KRISTIANSTAD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46324</v>
      </c>
      <c r="F219" t="inlineStr">
        <is>
          <t>SKÅNE LÄN</t>
        </is>
      </c>
      <c r="G219" t="inlineStr">
        <is>
          <t>KRISTIANSTAD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46324</v>
      </c>
      <c r="F220" t="inlineStr">
        <is>
          <t>SKÅNE LÄN</t>
        </is>
      </c>
      <c r="G220" t="inlineStr">
        <is>
          <t>KRISTIANSTAD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46324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45648</v>
      </c>
      <c r="E222" s="1" t="n">
        <v>46324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46324</v>
      </c>
      <c r="F223" t="inlineStr">
        <is>
          <t>SKÅNE LÄN</t>
        </is>
      </c>
      <c r="G223" t="inlineStr">
        <is>
          <t>KRISTIANSTAD</t>
        </is>
      </c>
      <c r="I223" t="n">
        <v>17.1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46324</v>
      </c>
      <c r="F224" t="inlineStr">
        <is>
          <t>SKÅNE LÄN</t>
        </is>
      </c>
      <c r="G224" t="inlineStr">
        <is>
          <t>KRISTIANSTAD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45520</v>
      </c>
      <c r="E225" s="1" t="n">
        <v>46324</v>
      </c>
      <c r="F225" t="inlineStr">
        <is>
          <t>SKÅNE LÄN</t>
        </is>
      </c>
      <c r="G225" t="inlineStr">
        <is>
          <t>KRISTIANSTAD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46324</v>
      </c>
      <c r="F226" t="inlineStr">
        <is>
          <t>SKÅNE LÄN</t>
        </is>
      </c>
      <c r="G226" t="inlineStr">
        <is>
          <t>KRISTIANSTAD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46324</v>
      </c>
      <c r="F227" t="inlineStr">
        <is>
          <t>SKÅNE LÄN</t>
        </is>
      </c>
      <c r="G227" t="inlineStr">
        <is>
          <t>KRISTIANSTAD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46324</v>
      </c>
      <c r="F228" t="inlineStr">
        <is>
          <t>SKÅNE LÄN</t>
        </is>
      </c>
      <c r="G228" t="inlineStr">
        <is>
          <t>KRISTIANSTAD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46324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46324</v>
      </c>
      <c r="F230" t="inlineStr">
        <is>
          <t>SKÅNE LÄN</t>
        </is>
      </c>
      <c r="G230" t="inlineStr">
        <is>
          <t>KRISTIANSTAD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46324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46324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45311</v>
      </c>
      <c r="E233" s="1" t="n">
        <v>46324</v>
      </c>
      <c r="F233" t="inlineStr">
        <is>
          <t>SKÅNE LÄN</t>
        </is>
      </c>
      <c r="G233" t="inlineStr">
        <is>
          <t>KRISTIANSTAD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22815-2023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45072</v>
      </c>
      <c r="E234" s="1" t="n">
        <v>46324</v>
      </c>
      <c r="F234" t="inlineStr">
        <is>
          <t>SKÅNE LÄN</t>
        </is>
      </c>
      <c r="G234" t="inlineStr">
        <is>
          <t>KRISTIANSTAD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46324</v>
      </c>
      <c r="F235" t="inlineStr">
        <is>
          <t>SKÅNE LÄN</t>
        </is>
      </c>
      <c r="G235" t="inlineStr">
        <is>
          <t>KRISTIANSTAD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44363-2024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45573</v>
      </c>
      <c r="E236" s="1" t="n">
        <v>46324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46324</v>
      </c>
      <c r="F237" t="inlineStr">
        <is>
          <t>SKÅNE LÄN</t>
        </is>
      </c>
      <c r="G237" t="inlineStr">
        <is>
          <t>KRISTIANSTAD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46324</v>
      </c>
      <c r="F238" t="inlineStr">
        <is>
          <t>SKÅNE LÄN</t>
        </is>
      </c>
      <c r="G238" t="inlineStr">
        <is>
          <t>KRISTIANSTAD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45144</v>
      </c>
      <c r="E239" s="1" t="n">
        <v>46324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46324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46324</v>
      </c>
      <c r="F241" t="inlineStr">
        <is>
          <t>SKÅNE LÄN</t>
        </is>
      </c>
      <c r="G241" t="inlineStr">
        <is>
          <t>KRISTIANSTAD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45396</v>
      </c>
      <c r="E242" s="1" t="n">
        <v>46324</v>
      </c>
      <c r="F242" t="inlineStr">
        <is>
          <t>SKÅNE LÄN</t>
        </is>
      </c>
      <c r="G242" t="inlineStr">
        <is>
          <t>KRISTIANSTAD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45121</v>
      </c>
      <c r="E243" s="1" t="n">
        <v>46324</v>
      </c>
      <c r="F243" t="inlineStr">
        <is>
          <t>SKÅNE LÄN</t>
        </is>
      </c>
      <c r="G243" t="inlineStr">
        <is>
          <t>KRISTIANSTAD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45526</v>
      </c>
      <c r="E244" s="1" t="n">
        <v>46324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45144</v>
      </c>
      <c r="E245" s="1" t="n">
        <v>46324</v>
      </c>
      <c r="F245" t="inlineStr">
        <is>
          <t>SKÅNE LÄN</t>
        </is>
      </c>
      <c r="G245" t="inlineStr">
        <is>
          <t>KRISTIANSTAD</t>
        </is>
      </c>
      <c r="H245" t="inlineStr">
        <is>
          <t>Övriga Aktiebolag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44645</v>
      </c>
      <c r="E246" s="1" t="n">
        <v>46324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46324</v>
      </c>
      <c r="F247" t="inlineStr">
        <is>
          <t>SKÅNE LÄN</t>
        </is>
      </c>
      <c r="G247" t="inlineStr">
        <is>
          <t>KRISTIANSTAD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46324</v>
      </c>
      <c r="F248" t="inlineStr">
        <is>
          <t>SKÅNE LÄN</t>
        </is>
      </c>
      <c r="G248" t="inlineStr">
        <is>
          <t>KRISTIANSTAD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8455-2025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45709</v>
      </c>
      <c r="E249" s="1" t="n">
        <v>46324</v>
      </c>
      <c r="F249" t="inlineStr">
        <is>
          <t>SKÅNE LÄN</t>
        </is>
      </c>
      <c r="G249" t="inlineStr">
        <is>
          <t>KRISTIANSTAD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44628</v>
      </c>
      <c r="E250" s="1" t="n">
        <v>46324</v>
      </c>
      <c r="F250" t="inlineStr">
        <is>
          <t>SKÅNE LÄN</t>
        </is>
      </c>
      <c r="G250" t="inlineStr">
        <is>
          <t>KRISTIANSTAD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45712</v>
      </c>
      <c r="E251" s="1" t="n">
        <v>46324</v>
      </c>
      <c r="F251" t="inlineStr">
        <is>
          <t>SKÅNE LÄN</t>
        </is>
      </c>
      <c r="G251" t="inlineStr">
        <is>
          <t>KRISTIANSTAD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70705-2021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44537</v>
      </c>
      <c r="E252" s="1" t="n">
        <v>46324</v>
      </c>
      <c r="F252" t="inlineStr">
        <is>
          <t>SKÅNE LÄN</t>
        </is>
      </c>
      <c r="G252" t="inlineStr">
        <is>
          <t>KRISTIANSTAD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46324</v>
      </c>
      <c r="F253" t="inlineStr">
        <is>
          <t>SKÅNE LÄN</t>
        </is>
      </c>
      <c r="G253" t="inlineStr">
        <is>
          <t>KRISTIANSTAD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46324</v>
      </c>
      <c r="F254" t="inlineStr">
        <is>
          <t>SKÅNE LÄN</t>
        </is>
      </c>
      <c r="G254" t="inlineStr">
        <is>
          <t>KRISTIANSTAD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45573</v>
      </c>
      <c r="E255" s="1" t="n">
        <v>46324</v>
      </c>
      <c r="F255" t="inlineStr">
        <is>
          <t>SKÅNE LÄN</t>
        </is>
      </c>
      <c r="G255" t="inlineStr">
        <is>
          <t>KRISTIANSTAD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46324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46324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46324</v>
      </c>
      <c r="F258" t="inlineStr">
        <is>
          <t>SKÅNE LÄN</t>
        </is>
      </c>
      <c r="G258" t="inlineStr">
        <is>
          <t>KRISTIANSTAD</t>
        </is>
      </c>
      <c r="I258" t="n">
        <v>13.5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46324</v>
      </c>
      <c r="F259" t="inlineStr">
        <is>
          <t>SKÅNE LÄN</t>
        </is>
      </c>
      <c r="G259" t="inlineStr">
        <is>
          <t>KRISTIANSTAD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46324</v>
      </c>
      <c r="F260" t="inlineStr">
        <is>
          <t>SKÅNE LÄN</t>
        </is>
      </c>
      <c r="G260" t="inlineStr">
        <is>
          <t>KRISTIANSTAD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45054</v>
      </c>
      <c r="E261" s="1" t="n">
        <v>46324</v>
      </c>
      <c r="F261" t="inlineStr">
        <is>
          <t>SKÅNE LÄN</t>
        </is>
      </c>
      <c r="G261" t="inlineStr">
        <is>
          <t>KRISTIANSTAD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46324</v>
      </c>
      <c r="F262" t="inlineStr">
        <is>
          <t>SKÅNE LÄN</t>
        </is>
      </c>
      <c r="G262" t="inlineStr">
        <is>
          <t>KRISTIANSTAD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46324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46324</v>
      </c>
      <c r="F264" t="inlineStr">
        <is>
          <t>SKÅNE LÄN</t>
        </is>
      </c>
      <c r="G264" t="inlineStr">
        <is>
          <t>KRISTIANSTAD</t>
        </is>
      </c>
      <c r="I264" t="n">
        <v>12.8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40500-2025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45896</v>
      </c>
      <c r="E265" s="1" t="n">
        <v>46324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46324</v>
      </c>
      <c r="F266" t="inlineStr">
        <is>
          <t>SKÅNE LÄN</t>
        </is>
      </c>
      <c r="G266" t="inlineStr">
        <is>
          <t>KRISTIANSTAD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46324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46324</v>
      </c>
      <c r="F268" t="inlineStr">
        <is>
          <t>SKÅNE LÄN</t>
        </is>
      </c>
      <c r="G268" t="inlineStr">
        <is>
          <t>KRISTIANSTAD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46324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46324</v>
      </c>
      <c r="F270" t="inlineStr">
        <is>
          <t>SKÅNE LÄN</t>
        </is>
      </c>
      <c r="G270" t="inlineStr">
        <is>
          <t>KRISTIANSTAD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45843</v>
      </c>
      <c r="E271" s="1" t="n">
        <v>46324</v>
      </c>
      <c r="F271" t="inlineStr">
        <is>
          <t>SKÅNE LÄN</t>
        </is>
      </c>
      <c r="G271" t="inlineStr">
        <is>
          <t>KRISTIANSTAD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45900</v>
      </c>
      <c r="E272" s="1" t="n">
        <v>46324</v>
      </c>
      <c r="F272" t="inlineStr">
        <is>
          <t>SKÅNE LÄN</t>
        </is>
      </c>
      <c r="G272" t="inlineStr">
        <is>
          <t>KRISTIANSTAD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45900</v>
      </c>
      <c r="E273" s="1" t="n">
        <v>46324</v>
      </c>
      <c r="F273" t="inlineStr">
        <is>
          <t>SKÅNE LÄN</t>
        </is>
      </c>
      <c r="G273" t="inlineStr">
        <is>
          <t>KRISTIANSTAD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45900</v>
      </c>
      <c r="E274" s="1" t="n">
        <v>46324</v>
      </c>
      <c r="F274" t="inlineStr">
        <is>
          <t>SKÅNE LÄN</t>
        </is>
      </c>
      <c r="G274" t="inlineStr">
        <is>
          <t>KRISTIANSTAD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46324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45307</v>
      </c>
      <c r="E276" s="1" t="n">
        <v>46324</v>
      </c>
      <c r="F276" t="inlineStr">
        <is>
          <t>SKÅNE LÄN</t>
        </is>
      </c>
      <c r="G276" t="inlineStr">
        <is>
          <t>KRISTIANSTAD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46324</v>
      </c>
      <c r="F277" t="inlineStr">
        <is>
          <t>SKÅNE LÄN</t>
        </is>
      </c>
      <c r="G277" t="inlineStr">
        <is>
          <t>KRISTIANSTAD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46324</v>
      </c>
      <c r="F278" t="inlineStr">
        <is>
          <t>SKÅNE LÄN</t>
        </is>
      </c>
      <c r="G278" t="inlineStr">
        <is>
          <t>KRISTIANSTAD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46324</v>
      </c>
      <c r="F279" t="inlineStr">
        <is>
          <t>SKÅNE LÄN</t>
        </is>
      </c>
      <c r="G279" t="inlineStr">
        <is>
          <t>KRISTIANSTAD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46324</v>
      </c>
      <c r="F280" t="inlineStr">
        <is>
          <t>SKÅNE LÄN</t>
        </is>
      </c>
      <c r="G280" t="inlineStr">
        <is>
          <t>KRISTIANSTAD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46324</v>
      </c>
      <c r="F281" t="inlineStr">
        <is>
          <t>SKÅNE LÄN</t>
        </is>
      </c>
      <c r="G281" t="inlineStr">
        <is>
          <t>KRISTIANSTAD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45554</v>
      </c>
      <c r="E282" s="1" t="n">
        <v>46324</v>
      </c>
      <c r="F282" t="inlineStr">
        <is>
          <t>SKÅNE LÄN</t>
        </is>
      </c>
      <c r="G282" t="inlineStr">
        <is>
          <t>KRISTIANSTAD</t>
        </is>
      </c>
      <c r="I282" t="n">
        <v>12.6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45493</v>
      </c>
      <c r="E283" s="1" t="n">
        <v>46324</v>
      </c>
      <c r="F283" t="inlineStr">
        <is>
          <t>SKÅNE LÄN</t>
        </is>
      </c>
      <c r="G283" t="inlineStr">
        <is>
          <t>KRISTIANSTAD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45387</v>
      </c>
      <c r="E284" s="1" t="n">
        <v>46324</v>
      </c>
      <c r="F284" t="inlineStr">
        <is>
          <t>SKÅNE LÄN</t>
        </is>
      </c>
      <c r="G284" t="inlineStr">
        <is>
          <t>KRISTIANSTAD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46324</v>
      </c>
      <c r="F285" t="inlineStr">
        <is>
          <t>SKÅNE LÄN</t>
        </is>
      </c>
      <c r="G285" t="inlineStr">
        <is>
          <t>KRISTIANSTAD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31105-2025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45832</v>
      </c>
      <c r="E286" s="1" t="n">
        <v>46324</v>
      </c>
      <c r="F286" t="inlineStr">
        <is>
          <t>SKÅNE LÄN</t>
        </is>
      </c>
      <c r="G286" t="inlineStr">
        <is>
          <t>KRISTIANSTAD</t>
        </is>
      </c>
      <c r="H286" t="inlineStr">
        <is>
          <t>Övriga Aktiebolag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46324</v>
      </c>
      <c r="F287" t="inlineStr">
        <is>
          <t>SKÅNE LÄN</t>
        </is>
      </c>
      <c r="G287" t="inlineStr">
        <is>
          <t>KRISTIANSTAD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46324</v>
      </c>
      <c r="F288" t="inlineStr">
        <is>
          <t>SKÅNE LÄN</t>
        </is>
      </c>
      <c r="G288" t="inlineStr">
        <is>
          <t>KRISTIANSTAD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27590-2024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45474</v>
      </c>
      <c r="E289" s="1" t="n">
        <v>46324</v>
      </c>
      <c r="F289" t="inlineStr">
        <is>
          <t>SKÅNE LÄN</t>
        </is>
      </c>
      <c r="G289" t="inlineStr">
        <is>
          <t>KRISTIANSTAD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46324</v>
      </c>
      <c r="F290" t="inlineStr">
        <is>
          <t>SKÅNE LÄN</t>
        </is>
      </c>
      <c r="G290" t="inlineStr">
        <is>
          <t>KRISTIANSTAD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44824</v>
      </c>
      <c r="E291" s="1" t="n">
        <v>46324</v>
      </c>
      <c r="F291" t="inlineStr">
        <is>
          <t>SKÅNE LÄN</t>
        </is>
      </c>
      <c r="G291" t="inlineStr">
        <is>
          <t>KRISTIANSTAD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64835-2023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46324</v>
      </c>
      <c r="F292" t="inlineStr">
        <is>
          <t>SKÅNE LÄN</t>
        </is>
      </c>
      <c r="G292" t="inlineStr">
        <is>
          <t>KRISTIANSTAD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46324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46324</v>
      </c>
      <c r="F294" t="inlineStr">
        <is>
          <t>SKÅNE LÄN</t>
        </is>
      </c>
      <c r="G294" t="inlineStr">
        <is>
          <t>KRISTIANSTAD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13954-2025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45737</v>
      </c>
      <c r="E295" s="1" t="n">
        <v>46324</v>
      </c>
      <c r="F295" t="inlineStr">
        <is>
          <t>SKÅNE LÄN</t>
        </is>
      </c>
      <c r="G295" t="inlineStr">
        <is>
          <t>KRISTIANSTAD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61550-2023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45265</v>
      </c>
      <c r="E296" s="1" t="n">
        <v>46324</v>
      </c>
      <c r="F296" t="inlineStr">
        <is>
          <t>SKÅNE LÄN</t>
        </is>
      </c>
      <c r="G296" t="inlineStr">
        <is>
          <t>KRISTIANSTAD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45127</v>
      </c>
      <c r="E297" s="1" t="n">
        <v>46324</v>
      </c>
      <c r="F297" t="inlineStr">
        <is>
          <t>SKÅNE LÄN</t>
        </is>
      </c>
      <c r="G297" t="inlineStr">
        <is>
          <t>KRISTIANSTAD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46324</v>
      </c>
      <c r="F298" t="inlineStr">
        <is>
          <t>SKÅNE LÄN</t>
        </is>
      </c>
      <c r="G298" t="inlineStr">
        <is>
          <t>KRISTIANSTAD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44111-2025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46324</v>
      </c>
      <c r="F299" t="inlineStr">
        <is>
          <t>SKÅNE LÄN</t>
        </is>
      </c>
      <c r="G299" t="inlineStr">
        <is>
          <t>KRISTIANSTAD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44744</v>
      </c>
      <c r="E300" s="1" t="n">
        <v>46324</v>
      </c>
      <c r="F300" t="inlineStr">
        <is>
          <t>SKÅNE LÄN</t>
        </is>
      </c>
      <c r="G300" t="inlineStr">
        <is>
          <t>KRISTIANSTAD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43939-2025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46324</v>
      </c>
      <c r="F301" t="inlineStr">
        <is>
          <t>SKÅNE LÄN</t>
        </is>
      </c>
      <c r="G301" t="inlineStr">
        <is>
          <t>KRISTIANSTAD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46324</v>
      </c>
      <c r="F302" t="inlineStr">
        <is>
          <t>SKÅNE LÄN</t>
        </is>
      </c>
      <c r="G302" t="inlineStr">
        <is>
          <t>KRISTIANSTAD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46324</v>
      </c>
      <c r="F303" t="inlineStr">
        <is>
          <t>SKÅNE LÄN</t>
        </is>
      </c>
      <c r="G303" t="inlineStr">
        <is>
          <t>KRISTIANSTAD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45440</v>
      </c>
      <c r="E304" s="1" t="n">
        <v>46324</v>
      </c>
      <c r="F304" t="inlineStr">
        <is>
          <t>SKÅNE LÄN</t>
        </is>
      </c>
      <c r="G304" t="inlineStr">
        <is>
          <t>KRISTIANSTAD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56633-2022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46324</v>
      </c>
      <c r="F305" t="inlineStr">
        <is>
          <t>SKÅNE LÄN</t>
        </is>
      </c>
      <c r="G305" t="inlineStr">
        <is>
          <t>KRISTIANSTAD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44729</v>
      </c>
      <c r="E306" s="1" t="n">
        <v>46324</v>
      </c>
      <c r="F306" t="inlineStr">
        <is>
          <t>SKÅNE LÄN</t>
        </is>
      </c>
      <c r="G306" t="inlineStr">
        <is>
          <t>KRISTIANSTAD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45609</v>
      </c>
      <c r="E307" s="1" t="n">
        <v>46324</v>
      </c>
      <c r="F307" t="inlineStr">
        <is>
          <t>SKÅNE LÄN</t>
        </is>
      </c>
      <c r="G307" t="inlineStr">
        <is>
          <t>KRISTIANSTAD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45321</v>
      </c>
      <c r="E308" s="1" t="n">
        <v>46324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46324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46324</v>
      </c>
      <c r="F310" t="inlineStr">
        <is>
          <t>SKÅNE LÄN</t>
        </is>
      </c>
      <c r="G310" t="inlineStr">
        <is>
          <t>KRISTIANSTAD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45736</v>
      </c>
      <c r="E311" s="1" t="n">
        <v>46324</v>
      </c>
      <c r="F311" t="inlineStr">
        <is>
          <t>SKÅNE LÄN</t>
        </is>
      </c>
      <c r="G311" t="inlineStr">
        <is>
          <t>KRISTIANSTAD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45014</v>
      </c>
      <c r="E312" s="1" t="n">
        <v>46324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45736</v>
      </c>
      <c r="E313" s="1" t="n">
        <v>46324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45706</v>
      </c>
      <c r="E314" s="1" t="n">
        <v>46324</v>
      </c>
      <c r="F314" t="inlineStr">
        <is>
          <t>SKÅNE LÄN</t>
        </is>
      </c>
      <c r="G314" t="inlineStr">
        <is>
          <t>KRISTIANSTAD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46324</v>
      </c>
      <c r="F315" t="inlineStr">
        <is>
          <t>SKÅNE LÄN</t>
        </is>
      </c>
      <c r="G315" t="inlineStr">
        <is>
          <t>KRISTIANSTAD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46324</v>
      </c>
      <c r="F316" t="inlineStr">
        <is>
          <t>SKÅNE LÄN</t>
        </is>
      </c>
      <c r="G316" t="inlineStr">
        <is>
          <t>KRISTIANSTAD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46324</v>
      </c>
      <c r="F317" t="inlineStr">
        <is>
          <t>SKÅNE LÄN</t>
        </is>
      </c>
      <c r="G317" t="inlineStr">
        <is>
          <t>KRISTIANSTAD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46324</v>
      </c>
      <c r="F318" t="inlineStr">
        <is>
          <t>SKÅNE LÄN</t>
        </is>
      </c>
      <c r="G318" t="inlineStr">
        <is>
          <t>KRISTIANSTAD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46324</v>
      </c>
      <c r="F319" t="inlineStr">
        <is>
          <t>SKÅNE LÄN</t>
        </is>
      </c>
      <c r="G319" t="inlineStr">
        <is>
          <t>KRISTIANSTAD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45577</v>
      </c>
      <c r="E320" s="1" t="n">
        <v>46324</v>
      </c>
      <c r="F320" t="inlineStr">
        <is>
          <t>SKÅNE LÄN</t>
        </is>
      </c>
      <c r="G320" t="inlineStr">
        <is>
          <t>KRISTIANSTAD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45336</v>
      </c>
      <c r="E321" s="1" t="n">
        <v>46324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46324</v>
      </c>
      <c r="F322" t="inlineStr">
        <is>
          <t>SKÅNE LÄN</t>
        </is>
      </c>
      <c r="G322" t="inlineStr">
        <is>
          <t>KRISTIANSTAD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45930</v>
      </c>
      <c r="E323" s="1" t="n">
        <v>46324</v>
      </c>
      <c r="F323" t="inlineStr">
        <is>
          <t>SKÅNE LÄN</t>
        </is>
      </c>
      <c r="G323" t="inlineStr">
        <is>
          <t>KRISTIANSTAD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18046-2024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45420</v>
      </c>
      <c r="E324" s="1" t="n">
        <v>46324</v>
      </c>
      <c r="F324" t="inlineStr">
        <is>
          <t>SKÅNE LÄN</t>
        </is>
      </c>
      <c r="G324" t="inlineStr">
        <is>
          <t>KRISTIANSTAD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45307</v>
      </c>
      <c r="E325" s="1" t="n">
        <v>46324</v>
      </c>
      <c r="F325" t="inlineStr">
        <is>
          <t>SKÅNE LÄN</t>
        </is>
      </c>
      <c r="G325" t="inlineStr">
        <is>
          <t>KRISTIANSTAD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46324</v>
      </c>
      <c r="F326" t="inlineStr">
        <is>
          <t>SKÅNE LÄN</t>
        </is>
      </c>
      <c r="G326" t="inlineStr">
        <is>
          <t>KRISTIANSTAD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46324</v>
      </c>
      <c r="F327" t="inlineStr">
        <is>
          <t>SKÅNE LÄN</t>
        </is>
      </c>
      <c r="G327" t="inlineStr">
        <is>
          <t>KRISTIANSTAD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46324</v>
      </c>
      <c r="F328" t="inlineStr">
        <is>
          <t>SKÅNE LÄN</t>
        </is>
      </c>
      <c r="G328" t="inlineStr">
        <is>
          <t>KRISTIANSTAD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46324</v>
      </c>
      <c r="F329" t="inlineStr">
        <is>
          <t>SKÅNE LÄN</t>
        </is>
      </c>
      <c r="G329" t="inlineStr">
        <is>
          <t>KRISTIANSTAD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46324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45120</v>
      </c>
      <c r="E331" s="1" t="n">
        <v>46324</v>
      </c>
      <c r="F331" t="inlineStr">
        <is>
          <t>SKÅNE LÄN</t>
        </is>
      </c>
      <c r="G331" t="inlineStr">
        <is>
          <t>KRISTIANSTAD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45132</v>
      </c>
      <c r="E332" s="1" t="n">
        <v>46324</v>
      </c>
      <c r="F332" t="inlineStr">
        <is>
          <t>SKÅNE LÄN</t>
        </is>
      </c>
      <c r="G332" t="inlineStr">
        <is>
          <t>KRISTIANSTAD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46324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48378-2025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46324</v>
      </c>
      <c r="F334" t="inlineStr">
        <is>
          <t>SKÅNE LÄN</t>
        </is>
      </c>
      <c r="G334" t="inlineStr">
        <is>
          <t>KRISTIANSTAD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46324</v>
      </c>
      <c r="F335" t="inlineStr">
        <is>
          <t>SKÅNE LÄN</t>
        </is>
      </c>
      <c r="G335" t="inlineStr">
        <is>
          <t>KRISTIANSTAD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13070-2023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45002</v>
      </c>
      <c r="E336" s="1" t="n">
        <v>46324</v>
      </c>
      <c r="F336" t="inlineStr">
        <is>
          <t>SKÅNE LÄN</t>
        </is>
      </c>
      <c r="G336" t="inlineStr">
        <is>
          <t>KRISTIANSTAD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43966-2025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45915</v>
      </c>
      <c r="E337" s="1" t="n">
        <v>46324</v>
      </c>
      <c r="F337" t="inlineStr">
        <is>
          <t>SKÅNE LÄN</t>
        </is>
      </c>
      <c r="G337" t="inlineStr">
        <is>
          <t>KRISTIANSTAD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25759-2024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45465</v>
      </c>
      <c r="E338" s="1" t="n">
        <v>46324</v>
      </c>
      <c r="F338" t="inlineStr">
        <is>
          <t>SKÅNE LÄN</t>
        </is>
      </c>
      <c r="G338" t="inlineStr">
        <is>
          <t>KRISTIANSTAD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46324</v>
      </c>
      <c r="F339" t="inlineStr">
        <is>
          <t>SKÅNE LÄN</t>
        </is>
      </c>
      <c r="G339" t="inlineStr">
        <is>
          <t>KRISTIANSTAD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46324</v>
      </c>
      <c r="F340" t="inlineStr">
        <is>
          <t>SKÅNE LÄN</t>
        </is>
      </c>
      <c r="G340" t="inlineStr">
        <is>
          <t>KRISTIANSTAD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44712</v>
      </c>
      <c r="E341" s="1" t="n">
        <v>46324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46324</v>
      </c>
      <c r="F342" t="inlineStr">
        <is>
          <t>SKÅNE LÄN</t>
        </is>
      </c>
      <c r="G342" t="inlineStr">
        <is>
          <t>KRISTIANSTAD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46324</v>
      </c>
      <c r="F343" t="inlineStr">
        <is>
          <t>SKÅNE LÄN</t>
        </is>
      </c>
      <c r="G343" t="inlineStr">
        <is>
          <t>KRISTIANSTAD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46324</v>
      </c>
      <c r="F344" t="inlineStr">
        <is>
          <t>SKÅNE LÄN</t>
        </is>
      </c>
      <c r="G344" t="inlineStr">
        <is>
          <t>KRISTIANSTAD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46324</v>
      </c>
      <c r="F345" t="inlineStr">
        <is>
          <t>SKÅNE LÄN</t>
        </is>
      </c>
      <c r="G345" t="inlineStr">
        <is>
          <t>KRISTIANSTAD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46324</v>
      </c>
      <c r="F346" t="inlineStr">
        <is>
          <t>SKÅNE LÄN</t>
        </is>
      </c>
      <c r="G346" t="inlineStr">
        <is>
          <t>KRISTIANSTAD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46324</v>
      </c>
      <c r="F347" t="inlineStr">
        <is>
          <t>SKÅNE LÄN</t>
        </is>
      </c>
      <c r="G347" t="inlineStr">
        <is>
          <t>KRISTIANSTAD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46324</v>
      </c>
      <c r="F348" t="inlineStr">
        <is>
          <t>SKÅNE LÄN</t>
        </is>
      </c>
      <c r="G348" t="inlineStr">
        <is>
          <t>KRISTIANSTAD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46324</v>
      </c>
      <c r="F349" t="inlineStr">
        <is>
          <t>SKÅNE LÄN</t>
        </is>
      </c>
      <c r="G349" t="inlineStr">
        <is>
          <t>KRISTIANSTAD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45228</v>
      </c>
      <c r="E350" s="1" t="n">
        <v>46324</v>
      </c>
      <c r="F350" t="inlineStr">
        <is>
          <t>SKÅNE LÄN</t>
        </is>
      </c>
      <c r="G350" t="inlineStr">
        <is>
          <t>KRISTIANSTAD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43314-2024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45568</v>
      </c>
      <c r="E351" s="1" t="n">
        <v>46324</v>
      </c>
      <c r="F351" t="inlineStr">
        <is>
          <t>SKÅNE LÄN</t>
        </is>
      </c>
      <c r="G351" t="inlineStr">
        <is>
          <t>KRISTIANSTAD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46324</v>
      </c>
      <c r="F352" t="inlineStr">
        <is>
          <t>SKÅNE LÄN</t>
        </is>
      </c>
      <c r="G352" t="inlineStr">
        <is>
          <t>KRISTIANSTAD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46324</v>
      </c>
      <c r="F353" t="inlineStr">
        <is>
          <t>SKÅNE LÄN</t>
        </is>
      </c>
      <c r="G353" t="inlineStr">
        <is>
          <t>KRISTIANSTAD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46324</v>
      </c>
      <c r="F354" t="inlineStr">
        <is>
          <t>SKÅNE LÄN</t>
        </is>
      </c>
      <c r="G354" t="inlineStr">
        <is>
          <t>KRISTIANSTAD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46324</v>
      </c>
      <c r="F355" t="inlineStr">
        <is>
          <t>SKÅNE LÄN</t>
        </is>
      </c>
      <c r="G355" t="inlineStr">
        <is>
          <t>KRISTIANSTAD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45945</v>
      </c>
      <c r="E356" s="1" t="n">
        <v>46324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45764-2022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44846</v>
      </c>
      <c r="E357" s="1" t="n">
        <v>46324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46324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44713</v>
      </c>
      <c r="E359" s="1" t="n">
        <v>46324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46324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51898-2024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46324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46324</v>
      </c>
      <c r="F362" t="inlineStr">
        <is>
          <t>SKÅNE LÄN</t>
        </is>
      </c>
      <c r="G362" t="inlineStr">
        <is>
          <t>KRISTIANSTAD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45546</v>
      </c>
      <c r="E363" s="1" t="n">
        <v>46324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45558</v>
      </c>
      <c r="E364" s="1" t="n">
        <v>46324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40903-2024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46324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17693-2024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45418</v>
      </c>
      <c r="E366" s="1" t="n">
        <v>46324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46324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45110</v>
      </c>
      <c r="E368" s="1" t="n">
        <v>46324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45042</v>
      </c>
      <c r="E369" s="1" t="n">
        <v>46324</v>
      </c>
      <c r="F369" t="inlineStr">
        <is>
          <t>SKÅNE LÄN</t>
        </is>
      </c>
      <c r="G369" t="inlineStr">
        <is>
          <t>KRISTIANSTAD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45672</v>
      </c>
      <c r="E370" s="1" t="n">
        <v>46324</v>
      </c>
      <c r="F370" t="inlineStr">
        <is>
          <t>SKÅNE LÄN</t>
        </is>
      </c>
      <c r="G370" t="inlineStr">
        <is>
          <t>KRISTIANSTAD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45338</v>
      </c>
      <c r="E371" s="1" t="n">
        <v>46324</v>
      </c>
      <c r="F371" t="inlineStr">
        <is>
          <t>SKÅNE LÄN</t>
        </is>
      </c>
      <c r="G371" t="inlineStr">
        <is>
          <t>KRISTIANSTAD</t>
        </is>
      </c>
      <c r="I371" t="n">
        <v>15.8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46324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46324</v>
      </c>
      <c r="F373" t="inlineStr">
        <is>
          <t>SKÅNE LÄN</t>
        </is>
      </c>
      <c r="G373" t="inlineStr">
        <is>
          <t>KRISTIANSTAD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46324</v>
      </c>
      <c r="F374" t="inlineStr">
        <is>
          <t>SKÅNE LÄN</t>
        </is>
      </c>
      <c r="G374" t="inlineStr">
        <is>
          <t>KRISTIANSTAD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46324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46324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45014</v>
      </c>
      <c r="E377" s="1" t="n">
        <v>46324</v>
      </c>
      <c r="F377" t="inlineStr">
        <is>
          <t>SKÅNE LÄN</t>
        </is>
      </c>
      <c r="G377" t="inlineStr">
        <is>
          <t>KRISTIANSTAD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17043-2024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45412</v>
      </c>
      <c r="E378" s="1" t="n">
        <v>46324</v>
      </c>
      <c r="F378" t="inlineStr">
        <is>
          <t>SKÅNE LÄN</t>
        </is>
      </c>
      <c r="G378" t="inlineStr">
        <is>
          <t>KRISTIANSTAD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46324</v>
      </c>
      <c r="F379" t="inlineStr">
        <is>
          <t>SKÅNE LÄN</t>
        </is>
      </c>
      <c r="G379" t="inlineStr">
        <is>
          <t>KRISTIANSTAD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46324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45415</v>
      </c>
      <c r="E381" s="1" t="n">
        <v>46324</v>
      </c>
      <c r="F381" t="inlineStr">
        <is>
          <t>SKÅNE LÄN</t>
        </is>
      </c>
      <c r="G381" t="inlineStr">
        <is>
          <t>KRISTIANSTAD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46324</v>
      </c>
      <c r="F382" t="inlineStr">
        <is>
          <t>SKÅNE LÄN</t>
        </is>
      </c>
      <c r="G382" t="inlineStr">
        <is>
          <t>KRISTIANSTAD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45019</v>
      </c>
      <c r="E383" s="1" t="n">
        <v>46324</v>
      </c>
      <c r="F383" t="inlineStr">
        <is>
          <t>SKÅNE LÄN</t>
        </is>
      </c>
      <c r="G383" t="inlineStr">
        <is>
          <t>KRISTIANSTAD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46324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45124</v>
      </c>
      <c r="E385" s="1" t="n">
        <v>46324</v>
      </c>
      <c r="F385" t="inlineStr">
        <is>
          <t>SKÅNE LÄN</t>
        </is>
      </c>
      <c r="G385" t="inlineStr">
        <is>
          <t>KRISTIANSTAD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45803</v>
      </c>
      <c r="E386" s="1" t="n">
        <v>46324</v>
      </c>
      <c r="F386" t="inlineStr">
        <is>
          <t>SKÅNE LÄN</t>
        </is>
      </c>
      <c r="G386" t="inlineStr">
        <is>
          <t>KRISTIANSTAD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46324</v>
      </c>
      <c r="F387" t="inlineStr">
        <is>
          <t>SKÅNE LÄN</t>
        </is>
      </c>
      <c r="G387" t="inlineStr">
        <is>
          <t>KRISTIANSTAD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58269-2022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44894</v>
      </c>
      <c r="E388" s="1" t="n">
        <v>46324</v>
      </c>
      <c r="F388" t="inlineStr">
        <is>
          <t>SKÅNE LÄN</t>
        </is>
      </c>
      <c r="G388" t="inlineStr">
        <is>
          <t>KRISTIANSTAD</t>
        </is>
      </c>
      <c r="I388" t="n">
        <v>14.9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45465</v>
      </c>
      <c r="E389" s="1" t="n">
        <v>46324</v>
      </c>
      <c r="F389" t="inlineStr">
        <is>
          <t>SKÅNE LÄN</t>
        </is>
      </c>
      <c r="G389" t="inlineStr">
        <is>
          <t>KRISTIANSTAD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44743</v>
      </c>
      <c r="E390" s="1" t="n">
        <v>46324</v>
      </c>
      <c r="F390" t="inlineStr">
        <is>
          <t>SKÅNE LÄN</t>
        </is>
      </c>
      <c r="G390" t="inlineStr">
        <is>
          <t>KRISTIANSTAD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46324</v>
      </c>
      <c r="F391" t="inlineStr">
        <is>
          <t>SKÅNE LÄN</t>
        </is>
      </c>
      <c r="G391" t="inlineStr">
        <is>
          <t>KRISTIANSTAD</t>
        </is>
      </c>
      <c r="I391" t="n">
        <v>10.1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45348-2023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45191</v>
      </c>
      <c r="E392" s="1" t="n">
        <v>46324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45300</v>
      </c>
      <c r="E393" s="1" t="n">
        <v>46324</v>
      </c>
      <c r="F393" t="inlineStr">
        <is>
          <t>SKÅNE LÄN</t>
        </is>
      </c>
      <c r="G393" t="inlineStr">
        <is>
          <t>KRISTIANSTAD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885-2024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45301</v>
      </c>
      <c r="E394" s="1" t="n">
        <v>46324</v>
      </c>
      <c r="F394" t="inlineStr">
        <is>
          <t>SKÅNE LÄN</t>
        </is>
      </c>
      <c r="G394" t="inlineStr">
        <is>
          <t>KRISTIANSTAD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46324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46324</v>
      </c>
      <c r="F396" t="inlineStr">
        <is>
          <t>SKÅNE LÄN</t>
        </is>
      </c>
      <c r="G396" t="inlineStr">
        <is>
          <t>KRISTIANSTAD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46324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26827-2024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45470</v>
      </c>
      <c r="E398" s="1" t="n">
        <v>46324</v>
      </c>
      <c r="F398" t="inlineStr">
        <is>
          <t>SKÅNE LÄN</t>
        </is>
      </c>
      <c r="G398" t="inlineStr">
        <is>
          <t>KRISTIANSTAD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45652</v>
      </c>
      <c r="E399" s="1" t="n">
        <v>46324</v>
      </c>
      <c r="F399" t="inlineStr">
        <is>
          <t>SKÅNE LÄN</t>
        </is>
      </c>
      <c r="G399" t="inlineStr">
        <is>
          <t>KRISTIANSTAD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46324</v>
      </c>
      <c r="F400" t="inlineStr">
        <is>
          <t>SKÅNE LÄN</t>
        </is>
      </c>
      <c r="G400" t="inlineStr">
        <is>
          <t>KRISTIANSTAD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18035-2025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45761</v>
      </c>
      <c r="E401" s="1" t="n">
        <v>46324</v>
      </c>
      <c r="F401" t="inlineStr">
        <is>
          <t>SKÅNE LÄN</t>
        </is>
      </c>
      <c r="G401" t="inlineStr">
        <is>
          <t>KRISTIANSTAD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46150</v>
      </c>
      <c r="E402" s="1" t="n">
        <v>46324</v>
      </c>
      <c r="F402" t="inlineStr">
        <is>
          <t>SKÅNE LÄN</t>
        </is>
      </c>
      <c r="G402" t="inlineStr">
        <is>
          <t>KRISTIANSTAD</t>
        </is>
      </c>
      <c r="H402" t="inlineStr">
        <is>
          <t>Kommuner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46324</v>
      </c>
      <c r="F403" t="inlineStr">
        <is>
          <t>SKÅNE LÄN</t>
        </is>
      </c>
      <c r="G403" t="inlineStr">
        <is>
          <t>KRISTIANSTAD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46324</v>
      </c>
      <c r="F404" t="inlineStr">
        <is>
          <t>SKÅNE LÄN</t>
        </is>
      </c>
      <c r="G404" t="inlineStr">
        <is>
          <t>KRISTIANSTAD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45979</v>
      </c>
      <c r="E405" s="1" t="n">
        <v>46324</v>
      </c>
      <c r="F405" t="inlineStr">
        <is>
          <t>SKÅNE LÄN</t>
        </is>
      </c>
      <c r="G405" t="inlineStr">
        <is>
          <t>KRISTIANSTAD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46324</v>
      </c>
      <c r="F406" t="inlineStr">
        <is>
          <t>SKÅNE LÄN</t>
        </is>
      </c>
      <c r="G406" t="inlineStr">
        <is>
          <t>KRISTIANSTAD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10961-2025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45723</v>
      </c>
      <c r="E407" s="1" t="n">
        <v>46324</v>
      </c>
      <c r="F407" t="inlineStr">
        <is>
          <t>SKÅNE LÄN</t>
        </is>
      </c>
      <c r="G407" t="inlineStr">
        <is>
          <t>KRISTIANSTAD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44894</v>
      </c>
      <c r="E408" s="1" t="n">
        <v>46324</v>
      </c>
      <c r="F408" t="inlineStr">
        <is>
          <t>SKÅNE LÄN</t>
        </is>
      </c>
      <c r="G408" t="inlineStr">
        <is>
          <t>KRISTIANSTAD</t>
        </is>
      </c>
      <c r="H408" t="inlineStr">
        <is>
          <t>Kyrkan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46324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46324</v>
      </c>
      <c r="F410" t="inlineStr">
        <is>
          <t>SKÅNE LÄN</t>
        </is>
      </c>
      <c r="G410" t="inlineStr">
        <is>
          <t>KRISTIANSTAD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45985</v>
      </c>
      <c r="E411" s="1" t="n">
        <v>46324</v>
      </c>
      <c r="F411" t="inlineStr">
        <is>
          <t>SKÅNE LÄN</t>
        </is>
      </c>
      <c r="G411" t="inlineStr">
        <is>
          <t>KRISTIANSTAD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45077</v>
      </c>
      <c r="E412" s="1" t="n">
        <v>46324</v>
      </c>
      <c r="F412" t="inlineStr">
        <is>
          <t>SKÅNE LÄN</t>
        </is>
      </c>
      <c r="G412" t="inlineStr">
        <is>
          <t>KRISTIANSTAD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45077</v>
      </c>
      <c r="E413" s="1" t="n">
        <v>46324</v>
      </c>
      <c r="F413" t="inlineStr">
        <is>
          <t>SKÅNE LÄN</t>
        </is>
      </c>
      <c r="G413" t="inlineStr">
        <is>
          <t>KRISTIANSTAD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45987</v>
      </c>
      <c r="E414" s="1" t="n">
        <v>46324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46324</v>
      </c>
      <c r="F415" t="inlineStr">
        <is>
          <t>SKÅNE LÄN</t>
        </is>
      </c>
      <c r="G415" t="inlineStr">
        <is>
          <t>KRISTIANSTAD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46324</v>
      </c>
      <c r="F416" t="inlineStr">
        <is>
          <t>SKÅNE LÄN</t>
        </is>
      </c>
      <c r="G416" t="inlineStr">
        <is>
          <t>KRISTIANSTAD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45874</v>
      </c>
      <c r="E417" s="1" t="n">
        <v>46324</v>
      </c>
      <c r="F417" t="inlineStr">
        <is>
          <t>SKÅNE LÄN</t>
        </is>
      </c>
      <c r="G417" t="inlineStr">
        <is>
          <t>KRISTIANSTAD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46324</v>
      </c>
      <c r="F418" t="inlineStr">
        <is>
          <t>SKÅNE LÄN</t>
        </is>
      </c>
      <c r="G418" t="inlineStr">
        <is>
          <t>KRISTIANSTAD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45022</v>
      </c>
      <c r="E419" s="1" t="n">
        <v>46324</v>
      </c>
      <c r="F419" t="inlineStr">
        <is>
          <t>SKÅNE LÄN</t>
        </is>
      </c>
      <c r="G419" t="inlineStr">
        <is>
          <t>KRISTIANSTAD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45453</v>
      </c>
      <c r="E420" s="1" t="n">
        <v>46324</v>
      </c>
      <c r="F420" t="inlineStr">
        <is>
          <t>SKÅNE LÄN</t>
        </is>
      </c>
      <c r="G420" t="inlineStr">
        <is>
          <t>KRISTIANSTAD</t>
        </is>
      </c>
      <c r="H420" t="inlineStr">
        <is>
          <t>Sveaskog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59534-2025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46324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45887</v>
      </c>
      <c r="E422" s="1" t="n">
        <v>46324</v>
      </c>
      <c r="F422" t="inlineStr">
        <is>
          <t>SKÅNE LÄN</t>
        </is>
      </c>
      <c r="G422" t="inlineStr">
        <is>
          <t>KRISTIANSTAD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46324</v>
      </c>
      <c r="F423" t="inlineStr">
        <is>
          <t>SKÅNE LÄN</t>
        </is>
      </c>
      <c r="G423" t="inlineStr">
        <is>
          <t>KRISTIANSTAD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11786-2022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46324</v>
      </c>
      <c r="F424" t="inlineStr">
        <is>
          <t>SKÅNE LÄN</t>
        </is>
      </c>
      <c r="G424" t="inlineStr">
        <is>
          <t>KRISTIANSTAD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2472-2022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44579</v>
      </c>
      <c r="E425" s="1" t="n">
        <v>46324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45254</v>
      </c>
      <c r="E426" s="1" t="n">
        <v>46324</v>
      </c>
      <c r="F426" t="inlineStr">
        <is>
          <t>SKÅNE LÄN</t>
        </is>
      </c>
      <c r="G426" t="inlineStr">
        <is>
          <t>KRISTIANSTAD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46324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46324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46324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45989</v>
      </c>
      <c r="E430" s="1" t="n">
        <v>46324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44963</v>
      </c>
      <c r="E431" s="1" t="n">
        <v>46324</v>
      </c>
      <c r="F431" t="inlineStr">
        <is>
          <t>SKÅNE LÄN</t>
        </is>
      </c>
      <c r="G431" t="inlineStr">
        <is>
          <t>KRISTIANSTAD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45356</v>
      </c>
      <c r="E432" s="1" t="n">
        <v>46324</v>
      </c>
      <c r="F432" t="inlineStr">
        <is>
          <t>SKÅNE LÄN</t>
        </is>
      </c>
      <c r="G432" t="inlineStr">
        <is>
          <t>KRISTIANSTAD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46324</v>
      </c>
      <c r="F433" t="inlineStr">
        <is>
          <t>SKÅNE LÄN</t>
        </is>
      </c>
      <c r="G433" t="inlineStr">
        <is>
          <t>KRISTIANSTAD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45665</v>
      </c>
      <c r="E434" s="1" t="n">
        <v>46324</v>
      </c>
      <c r="F434" t="inlineStr">
        <is>
          <t>SKÅNE LÄN</t>
        </is>
      </c>
      <c r="G434" t="inlineStr">
        <is>
          <t>KRISTIANSTAD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62350-2023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45267</v>
      </c>
      <c r="E435" s="1" t="n">
        <v>46324</v>
      </c>
      <c r="F435" t="inlineStr">
        <is>
          <t>SKÅNE LÄN</t>
        </is>
      </c>
      <c r="G435" t="inlineStr">
        <is>
          <t>KRISTIANSTAD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46324</v>
      </c>
      <c r="F436" t="inlineStr">
        <is>
          <t>SKÅNE LÄN</t>
        </is>
      </c>
      <c r="G436" t="inlineStr">
        <is>
          <t>KRISTIANSTAD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42293-2023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45180</v>
      </c>
      <c r="E437" s="1" t="n">
        <v>46324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45379</v>
      </c>
      <c r="E438" s="1" t="n">
        <v>46324</v>
      </c>
      <c r="F438" t="inlineStr">
        <is>
          <t>SKÅNE LÄN</t>
        </is>
      </c>
      <c r="G438" t="inlineStr">
        <is>
          <t>KRISTIANSTAD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64844-2023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45282</v>
      </c>
      <c r="E439" s="1" t="n">
        <v>46324</v>
      </c>
      <c r="F439" t="inlineStr">
        <is>
          <t>SKÅNE LÄN</t>
        </is>
      </c>
      <c r="G439" t="inlineStr">
        <is>
          <t>KRISTIANSTAD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45465</v>
      </c>
      <c r="E440" s="1" t="n">
        <v>46324</v>
      </c>
      <c r="F440" t="inlineStr">
        <is>
          <t>SKÅNE LÄN</t>
        </is>
      </c>
      <c r="G440" t="inlineStr">
        <is>
          <t>KRISTIANSTAD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45300</v>
      </c>
      <c r="E441" s="1" t="n">
        <v>46324</v>
      </c>
      <c r="F441" t="inlineStr">
        <is>
          <t>SKÅNE LÄN</t>
        </is>
      </c>
      <c r="G441" t="inlineStr">
        <is>
          <t>KRISTIANSTAD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37983-2024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45544</v>
      </c>
      <c r="E442" s="1" t="n">
        <v>46324</v>
      </c>
      <c r="F442" t="inlineStr">
        <is>
          <t>SKÅNE LÄN</t>
        </is>
      </c>
      <c r="G442" t="inlineStr">
        <is>
          <t>KRISTIANSTAD</t>
        </is>
      </c>
      <c r="I442" t="n">
        <v>7.9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32021-2023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46324</v>
      </c>
      <c r="F443" t="inlineStr">
        <is>
          <t>SKÅNE LÄN</t>
        </is>
      </c>
      <c r="G443" t="inlineStr">
        <is>
          <t>KRISTIANSTAD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61557-2025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46324</v>
      </c>
      <c r="F444" t="inlineStr">
        <is>
          <t>SKÅNE LÄN</t>
        </is>
      </c>
      <c r="G444" t="inlineStr">
        <is>
          <t>KRISTIANSTAD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44961</v>
      </c>
      <c r="E445" s="1" t="n">
        <v>46324</v>
      </c>
      <c r="F445" t="inlineStr">
        <is>
          <t>SKÅNE LÄN</t>
        </is>
      </c>
      <c r="G445" t="inlineStr">
        <is>
          <t>KRISTIANSTAD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46324</v>
      </c>
      <c r="F446" t="inlineStr">
        <is>
          <t>SKÅNE LÄN</t>
        </is>
      </c>
      <c r="G446" t="inlineStr">
        <is>
          <t>KRISTIANSTAD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46324</v>
      </c>
      <c r="F447" t="inlineStr">
        <is>
          <t>SKÅNE LÄN</t>
        </is>
      </c>
      <c r="G447" t="inlineStr">
        <is>
          <t>KRISTIANSTAD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45343</v>
      </c>
      <c r="E448" s="1" t="n">
        <v>46324</v>
      </c>
      <c r="F448" t="inlineStr">
        <is>
          <t>SKÅNE LÄN</t>
        </is>
      </c>
      <c r="G448" t="inlineStr">
        <is>
          <t>KRISTIANSTAD</t>
        </is>
      </c>
      <c r="H448" t="inlineStr">
        <is>
          <t>Sveaskog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45846</v>
      </c>
      <c r="E449" s="1" t="n">
        <v>46324</v>
      </c>
      <c r="F449" t="inlineStr">
        <is>
          <t>SKÅNE LÄN</t>
        </is>
      </c>
      <c r="G449" t="inlineStr">
        <is>
          <t>KRISTIANSTAD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42092-2025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45903</v>
      </c>
      <c r="E450" s="1" t="n">
        <v>46324</v>
      </c>
      <c r="F450" t="inlineStr">
        <is>
          <t>SKÅNE LÄN</t>
        </is>
      </c>
      <c r="G450" t="inlineStr">
        <is>
          <t>KRISTIANSTAD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47235-2024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45586</v>
      </c>
      <c r="E451" s="1" t="n">
        <v>46324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45586</v>
      </c>
      <c r="E452" s="1" t="n">
        <v>46324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62539-2025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46007</v>
      </c>
      <c r="E453" s="1" t="n">
        <v>46324</v>
      </c>
      <c r="F453" t="inlineStr">
        <is>
          <t>SKÅNE LÄN</t>
        </is>
      </c>
      <c r="G453" t="inlineStr">
        <is>
          <t>KRISTIANSTAD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45693</v>
      </c>
      <c r="E454" s="1" t="n">
        <v>46324</v>
      </c>
      <c r="F454" t="inlineStr">
        <is>
          <t>SKÅNE LÄN</t>
        </is>
      </c>
      <c r="G454" t="inlineStr">
        <is>
          <t>KRISTIANSTAD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45465</v>
      </c>
      <c r="E455" s="1" t="n">
        <v>46324</v>
      </c>
      <c r="F455" t="inlineStr">
        <is>
          <t>SKÅNE LÄN</t>
        </is>
      </c>
      <c r="G455" t="inlineStr">
        <is>
          <t>KRISTIANSTAD</t>
        </is>
      </c>
      <c r="I455" t="n">
        <v>16.6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46324</v>
      </c>
      <c r="F456" t="inlineStr">
        <is>
          <t>SKÅNE LÄN</t>
        </is>
      </c>
      <c r="G456" t="inlineStr">
        <is>
          <t>KRISTIANSTAD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45763</v>
      </c>
      <c r="E457" s="1" t="n">
        <v>46324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45658-2024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46324</v>
      </c>
      <c r="F458" t="inlineStr">
        <is>
          <t>SKÅNE LÄN</t>
        </is>
      </c>
      <c r="G458" t="inlineStr">
        <is>
          <t>KRISTIANSTAD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62397-2022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44923</v>
      </c>
      <c r="E459" s="1" t="n">
        <v>46324</v>
      </c>
      <c r="F459" t="inlineStr">
        <is>
          <t>SKÅNE LÄN</t>
        </is>
      </c>
      <c r="G459" t="inlineStr">
        <is>
          <t>KRISTIANSTAD</t>
        </is>
      </c>
      <c r="I459" t="n">
        <v>12.6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38121-2025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46324</v>
      </c>
      <c r="F460" t="inlineStr">
        <is>
          <t>SKÅNE LÄN</t>
        </is>
      </c>
      <c r="G460" t="inlineStr">
        <is>
          <t>KRISTIANSTAD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45414</v>
      </c>
      <c r="E461" s="1" t="n">
        <v>46324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46793-2025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46324</v>
      </c>
      <c r="F462" t="inlineStr">
        <is>
          <t>SKÅNE LÄN</t>
        </is>
      </c>
      <c r="G462" t="inlineStr">
        <is>
          <t>KRISTIANSTAD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45334</v>
      </c>
      <c r="E463" s="1" t="n">
        <v>46324</v>
      </c>
      <c r="F463" t="inlineStr">
        <is>
          <t>SKÅNE LÄN</t>
        </is>
      </c>
      <c r="G463" t="inlineStr">
        <is>
          <t>KRISTIANSTAD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46324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45334</v>
      </c>
      <c r="E465" s="1" t="n">
        <v>46324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49143-2025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46324</v>
      </c>
      <c r="F466" t="inlineStr">
        <is>
          <t>SKÅNE LÄN</t>
        </is>
      </c>
      <c r="G466" t="inlineStr">
        <is>
          <t>KRISTIANSTAD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45490</v>
      </c>
      <c r="E467" s="1" t="n">
        <v>46324</v>
      </c>
      <c r="F467" t="inlineStr">
        <is>
          <t>SKÅNE LÄN</t>
        </is>
      </c>
      <c r="G467" t="inlineStr">
        <is>
          <t>KRISTIANSTAD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44972</v>
      </c>
      <c r="E468" s="1" t="n">
        <v>46324</v>
      </c>
      <c r="F468" t="inlineStr">
        <is>
          <t>SKÅNE LÄN</t>
        </is>
      </c>
      <c r="G468" t="inlineStr">
        <is>
          <t>KRISTIANSTAD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46324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19.7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14524-2022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44655</v>
      </c>
      <c r="E470" s="1" t="n">
        <v>46324</v>
      </c>
      <c r="F470" t="inlineStr">
        <is>
          <t>SKÅNE LÄN</t>
        </is>
      </c>
      <c r="G470" t="inlineStr">
        <is>
          <t>KRISTIANSTAD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45803</v>
      </c>
      <c r="E471" s="1" t="n">
        <v>46324</v>
      </c>
      <c r="F471" t="inlineStr">
        <is>
          <t>SKÅNE LÄN</t>
        </is>
      </c>
      <c r="G471" t="inlineStr">
        <is>
          <t>KRISTIANSTAD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45476</v>
      </c>
      <c r="E472" s="1" t="n">
        <v>46324</v>
      </c>
      <c r="F472" t="inlineStr">
        <is>
          <t>SKÅNE LÄN</t>
        </is>
      </c>
      <c r="G472" t="inlineStr">
        <is>
          <t>KRISTIANSTAD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45525</v>
      </c>
      <c r="E473" s="1" t="n">
        <v>46324</v>
      </c>
      <c r="F473" t="inlineStr">
        <is>
          <t>SKÅNE LÄN</t>
        </is>
      </c>
      <c r="G473" t="inlineStr">
        <is>
          <t>KRISTIANSTAD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45716</v>
      </c>
      <c r="E474" s="1" t="n">
        <v>46324</v>
      </c>
      <c r="F474" t="inlineStr">
        <is>
          <t>SKÅNE LÄN</t>
        </is>
      </c>
      <c r="G474" t="inlineStr">
        <is>
          <t>KRISTIANSTAD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46324</v>
      </c>
      <c r="F475" t="inlineStr">
        <is>
          <t>SKÅNE LÄN</t>
        </is>
      </c>
      <c r="G475" t="inlineStr">
        <is>
          <t>KRISTIANSTAD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45043</v>
      </c>
      <c r="E476" s="1" t="n">
        <v>46324</v>
      </c>
      <c r="F476" t="inlineStr">
        <is>
          <t>SKÅNE LÄN</t>
        </is>
      </c>
      <c r="G476" t="inlineStr">
        <is>
          <t>KRISTIANSTAD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46523-2023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46324</v>
      </c>
      <c r="F477" t="inlineStr">
        <is>
          <t>SKÅNE LÄN</t>
        </is>
      </c>
      <c r="G477" t="inlineStr">
        <is>
          <t>KRISTIANSTAD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46324</v>
      </c>
      <c r="F478" t="inlineStr">
        <is>
          <t>SKÅNE LÄN</t>
        </is>
      </c>
      <c r="G478" t="inlineStr">
        <is>
          <t>KRISTIANSTAD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46324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45405</v>
      </c>
      <c r="E480" s="1" t="n">
        <v>46324</v>
      </c>
      <c r="F480" t="inlineStr">
        <is>
          <t>SKÅNE LÄN</t>
        </is>
      </c>
      <c r="G480" t="inlineStr">
        <is>
          <t>KRISTIANSTAD</t>
        </is>
      </c>
      <c r="I480" t="n">
        <v>12.2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13820-2023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45007</v>
      </c>
      <c r="E481" s="1" t="n">
        <v>46324</v>
      </c>
      <c r="F481" t="inlineStr">
        <is>
          <t>SKÅNE LÄN</t>
        </is>
      </c>
      <c r="G481" t="inlineStr">
        <is>
          <t>KRISTIANSTAD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46324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45812</v>
      </c>
      <c r="E483" s="1" t="n">
        <v>46324</v>
      </c>
      <c r="F483" t="inlineStr">
        <is>
          <t>SKÅNE LÄN</t>
        </is>
      </c>
      <c r="G483" t="inlineStr">
        <is>
          <t>KRISTIANSTAD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2215-2026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46031</v>
      </c>
      <c r="E484" s="1" t="n">
        <v>46324</v>
      </c>
      <c r="F484" t="inlineStr">
        <is>
          <t>SKÅNE LÄN</t>
        </is>
      </c>
      <c r="G484" t="inlineStr">
        <is>
          <t>KRISTIANSTAD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46324</v>
      </c>
      <c r="F485" t="inlineStr">
        <is>
          <t>SKÅNE LÄN</t>
        </is>
      </c>
      <c r="G485" t="inlineStr">
        <is>
          <t>KRISTIANSTAD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46324</v>
      </c>
      <c r="F486" t="inlineStr">
        <is>
          <t>SKÅNE LÄN</t>
        </is>
      </c>
      <c r="G486" t="inlineStr">
        <is>
          <t>KRISTIANSTAD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46324</v>
      </c>
      <c r="F487" t="inlineStr">
        <is>
          <t>SKÅNE LÄN</t>
        </is>
      </c>
      <c r="G487" t="inlineStr">
        <is>
          <t>KRISTIANSTAD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46324</v>
      </c>
      <c r="F488" t="inlineStr">
        <is>
          <t>SKÅNE LÄN</t>
        </is>
      </c>
      <c r="G488" t="inlineStr">
        <is>
          <t>KRISTIANSTAD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46324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46324</v>
      </c>
      <c r="F490" t="inlineStr">
        <is>
          <t>SKÅNE LÄN</t>
        </is>
      </c>
      <c r="G490" t="inlineStr">
        <is>
          <t>KRISTIANSTAD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46324</v>
      </c>
      <c r="F491" t="inlineStr">
        <is>
          <t>SKÅNE LÄN</t>
        </is>
      </c>
      <c r="G491" t="inlineStr">
        <is>
          <t>KRISTIANSTAD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46324</v>
      </c>
      <c r="F492" t="inlineStr">
        <is>
          <t>SKÅNE LÄN</t>
        </is>
      </c>
      <c r="G492" t="inlineStr">
        <is>
          <t>KRISTIANSTAD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46324</v>
      </c>
      <c r="F493" t="inlineStr">
        <is>
          <t>SKÅNE LÄN</t>
        </is>
      </c>
      <c r="G493" t="inlineStr">
        <is>
          <t>KRISTIANSTAD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59302-2023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46324</v>
      </c>
      <c r="F494" t="inlineStr">
        <is>
          <t>SKÅNE LÄN</t>
        </is>
      </c>
      <c r="G494" t="inlineStr">
        <is>
          <t>KRISTIANSTAD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46181</v>
      </c>
      <c r="E495" s="1" t="n">
        <v>46324</v>
      </c>
      <c r="F495" t="inlineStr">
        <is>
          <t>SKÅNE LÄN</t>
        </is>
      </c>
      <c r="G495" t="inlineStr">
        <is>
          <t>KRISTIANSTAD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46324</v>
      </c>
      <c r="F496" t="inlineStr">
        <is>
          <t>SKÅNE LÄN</t>
        </is>
      </c>
      <c r="G496" t="inlineStr">
        <is>
          <t>KRISTIANSTAD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46324</v>
      </c>
      <c r="F497" t="inlineStr">
        <is>
          <t>SKÅNE LÄN</t>
        </is>
      </c>
      <c r="G497" t="inlineStr">
        <is>
          <t>KRISTIANSTAD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45707</v>
      </c>
      <c r="E498" s="1" t="n">
        <v>46324</v>
      </c>
      <c r="F498" t="inlineStr">
        <is>
          <t>SKÅNE LÄN</t>
        </is>
      </c>
      <c r="G498" t="inlineStr">
        <is>
          <t>KRISTIANSTAD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44767</v>
      </c>
      <c r="E499" s="1" t="n">
        <v>46324</v>
      </c>
      <c r="F499" t="inlineStr">
        <is>
          <t>SKÅNE LÄN</t>
        </is>
      </c>
      <c r="G499" t="inlineStr">
        <is>
          <t>KRISTIANSTAD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25450-2022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44732</v>
      </c>
      <c r="E500" s="1" t="n">
        <v>46324</v>
      </c>
      <c r="F500" t="inlineStr">
        <is>
          <t>SKÅNE LÄN</t>
        </is>
      </c>
      <c r="G500" t="inlineStr">
        <is>
          <t>KRISTIANSTAD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46324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45106</v>
      </c>
      <c r="E502" s="1" t="n">
        <v>46324</v>
      </c>
      <c r="F502" t="inlineStr">
        <is>
          <t>SKÅNE LÄN</t>
        </is>
      </c>
      <c r="G502" t="inlineStr">
        <is>
          <t>KRISTIANSTAD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46324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46324</v>
      </c>
      <c r="F504" t="inlineStr">
        <is>
          <t>SKÅNE LÄN</t>
        </is>
      </c>
      <c r="G504" t="inlineStr">
        <is>
          <t>KRISTIANSTAD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46324</v>
      </c>
      <c r="F505" t="inlineStr">
        <is>
          <t>SKÅNE LÄN</t>
        </is>
      </c>
      <c r="G505" t="inlineStr">
        <is>
          <t>KRISTIANSTAD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46324</v>
      </c>
      <c r="F506" t="inlineStr">
        <is>
          <t>SKÅNE LÄN</t>
        </is>
      </c>
      <c r="G506" t="inlineStr">
        <is>
          <t>KRISTIANSTAD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46324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45668</v>
      </c>
      <c r="E508" s="1" t="n">
        <v>46324</v>
      </c>
      <c r="F508" t="inlineStr">
        <is>
          <t>SKÅNE LÄN</t>
        </is>
      </c>
      <c r="G508" t="inlineStr">
        <is>
          <t>KRISTIANSTAD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46324</v>
      </c>
      <c r="F509" t="inlineStr">
        <is>
          <t>SKÅNE LÄN</t>
        </is>
      </c>
      <c r="G509" t="inlineStr">
        <is>
          <t>KRISTIANSTAD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41636-2025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45902</v>
      </c>
      <c r="E510" s="1" t="n">
        <v>46324</v>
      </c>
      <c r="F510" t="inlineStr">
        <is>
          <t>SKÅNE LÄN</t>
        </is>
      </c>
      <c r="G510" t="inlineStr">
        <is>
          <t>KRISTIANSTAD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45165</v>
      </c>
      <c r="E511" s="1" t="n">
        <v>46324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46324</v>
      </c>
      <c r="F512" t="inlineStr">
        <is>
          <t>SKÅNE LÄN</t>
        </is>
      </c>
      <c r="G512" t="inlineStr">
        <is>
          <t>KRISTIANSTAD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45149</v>
      </c>
      <c r="E513" s="1" t="n">
        <v>46324</v>
      </c>
      <c r="F513" t="inlineStr">
        <is>
          <t>SKÅNE LÄN</t>
        </is>
      </c>
      <c r="G513" t="inlineStr">
        <is>
          <t>KRISTIANSTAD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46324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57976-2023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45247</v>
      </c>
      <c r="E515" s="1" t="n">
        <v>46324</v>
      </c>
      <c r="F515" t="inlineStr">
        <is>
          <t>SKÅNE LÄN</t>
        </is>
      </c>
      <c r="G515" t="inlineStr">
        <is>
          <t>KRISTIANSTAD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8804-2025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45712</v>
      </c>
      <c r="E516" s="1" t="n">
        <v>46324</v>
      </c>
      <c r="F516" t="inlineStr">
        <is>
          <t>SKÅNE LÄN</t>
        </is>
      </c>
      <c r="G516" t="inlineStr">
        <is>
          <t>KRISTIANSTAD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45343</v>
      </c>
      <c r="E517" s="1" t="n">
        <v>46324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45310</v>
      </c>
      <c r="E518" s="1" t="n">
        <v>46324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45110</v>
      </c>
      <c r="E519" s="1" t="n">
        <v>46324</v>
      </c>
      <c r="F519" t="inlineStr">
        <is>
          <t>SKÅNE LÄN</t>
        </is>
      </c>
      <c r="G519" t="inlineStr">
        <is>
          <t>KRISTIANSTAD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46324</v>
      </c>
      <c r="F520" t="inlineStr">
        <is>
          <t>SKÅNE LÄN</t>
        </is>
      </c>
      <c r="G520" t="inlineStr">
        <is>
          <t>KRISTIANSTAD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44933</v>
      </c>
      <c r="E521" s="1" t="n">
        <v>46324</v>
      </c>
      <c r="F521" t="inlineStr">
        <is>
          <t>SKÅNE LÄN</t>
        </is>
      </c>
      <c r="G521" t="inlineStr">
        <is>
          <t>KRISTIANSTAD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45685</v>
      </c>
      <c r="E522" s="1" t="n">
        <v>46324</v>
      </c>
      <c r="F522" t="inlineStr">
        <is>
          <t>SKÅNE LÄN</t>
        </is>
      </c>
      <c r="G522" t="inlineStr">
        <is>
          <t>KRISTIANSTAD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46324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25671-2023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45089</v>
      </c>
      <c r="E524" s="1" t="n">
        <v>46324</v>
      </c>
      <c r="F524" t="inlineStr">
        <is>
          <t>SKÅNE LÄN</t>
        </is>
      </c>
      <c r="G524" t="inlineStr">
        <is>
          <t>KRISTIANSTAD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45173</v>
      </c>
      <c r="E525" s="1" t="n">
        <v>46324</v>
      </c>
      <c r="F525" t="inlineStr">
        <is>
          <t>SKÅNE LÄN</t>
        </is>
      </c>
      <c r="G525" t="inlineStr">
        <is>
          <t>KRISTIANSTAD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46324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45544</v>
      </c>
      <c r="E527" s="1" t="n">
        <v>46324</v>
      </c>
      <c r="F527" t="inlineStr">
        <is>
          <t>SKÅNE LÄN</t>
        </is>
      </c>
      <c r="G527" t="inlineStr">
        <is>
          <t>KRISTIANSTAD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45357</v>
      </c>
      <c r="E528" s="1" t="n">
        <v>46324</v>
      </c>
      <c r="F528" t="inlineStr">
        <is>
          <t>SKÅNE LÄN</t>
        </is>
      </c>
      <c r="G528" t="inlineStr">
        <is>
          <t>KRISTIANSTAD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63931-2023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45278</v>
      </c>
      <c r="E529" s="1" t="n">
        <v>46324</v>
      </c>
      <c r="F529" t="inlineStr">
        <is>
          <t>SKÅNE LÄN</t>
        </is>
      </c>
      <c r="G529" t="inlineStr">
        <is>
          <t>KRISTIANSTAD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63942-2023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46324</v>
      </c>
      <c r="F530" t="inlineStr">
        <is>
          <t>SKÅNE LÄN</t>
        </is>
      </c>
      <c r="G530" t="inlineStr">
        <is>
          <t>KRISTIANSTAD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31619-2024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45506</v>
      </c>
      <c r="E531" s="1" t="n">
        <v>46324</v>
      </c>
      <c r="F531" t="inlineStr">
        <is>
          <t>SKÅNE LÄN</t>
        </is>
      </c>
      <c r="G531" t="inlineStr">
        <is>
          <t>KRISTIANSTAD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45894</v>
      </c>
      <c r="E532" s="1" t="n">
        <v>46324</v>
      </c>
      <c r="F532" t="inlineStr">
        <is>
          <t>SKÅNE LÄN</t>
        </is>
      </c>
      <c r="G532" t="inlineStr">
        <is>
          <t>KRISTIANSTAD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45831</v>
      </c>
      <c r="E533" s="1" t="n">
        <v>46324</v>
      </c>
      <c r="F533" t="inlineStr">
        <is>
          <t>SKÅNE LÄN</t>
        </is>
      </c>
      <c r="G533" t="inlineStr">
        <is>
          <t>KRISTIANSTAD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46324</v>
      </c>
      <c r="F534" t="inlineStr">
        <is>
          <t>SKÅNE LÄN</t>
        </is>
      </c>
      <c r="G534" t="inlineStr">
        <is>
          <t>KRISTIANSTAD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46324</v>
      </c>
      <c r="F535" t="inlineStr">
        <is>
          <t>SKÅNE LÄN</t>
        </is>
      </c>
      <c r="G535" t="inlineStr">
        <is>
          <t>KRISTIANSTAD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39997-2025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45894</v>
      </c>
      <c r="E536" s="1" t="n">
        <v>46324</v>
      </c>
      <c r="F536" t="inlineStr">
        <is>
          <t>SKÅNE LÄN</t>
        </is>
      </c>
      <c r="G536" t="inlineStr">
        <is>
          <t>KRISTIANSTAD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46324</v>
      </c>
      <c r="F537" t="inlineStr">
        <is>
          <t>SKÅNE LÄN</t>
        </is>
      </c>
      <c r="G537" t="inlineStr">
        <is>
          <t>KRISTIANSTAD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46324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45141</v>
      </c>
      <c r="E539" s="1" t="n">
        <v>46324</v>
      </c>
      <c r="F539" t="inlineStr">
        <is>
          <t>SKÅNE LÄN</t>
        </is>
      </c>
      <c r="G539" t="inlineStr">
        <is>
          <t>KRISTIANSTAD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46324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49233-2022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44858</v>
      </c>
      <c r="E541" s="1" t="n">
        <v>46324</v>
      </c>
      <c r="F541" t="inlineStr">
        <is>
          <t>SKÅNE LÄN</t>
        </is>
      </c>
      <c r="G541" t="inlineStr">
        <is>
          <t>KRISTIANSTAD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46324</v>
      </c>
      <c r="F542" t="inlineStr">
        <is>
          <t>SKÅNE LÄN</t>
        </is>
      </c>
      <c r="G542" t="inlineStr">
        <is>
          <t>KRISTIANSTAD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45738</v>
      </c>
      <c r="E543" s="1" t="n">
        <v>46324</v>
      </c>
      <c r="F543" t="inlineStr">
        <is>
          <t>SKÅNE LÄN</t>
        </is>
      </c>
      <c r="G543" t="inlineStr">
        <is>
          <t>KRISTIANSTAD</t>
        </is>
      </c>
      <c r="I543" t="n">
        <v>11.3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45116</v>
      </c>
      <c r="E544" s="1" t="n">
        <v>46324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40423-2024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45555</v>
      </c>
      <c r="E545" s="1" t="n">
        <v>46324</v>
      </c>
      <c r="F545" t="inlineStr">
        <is>
          <t>SKÅNE LÄN</t>
        </is>
      </c>
      <c r="G545" t="inlineStr">
        <is>
          <t>KRISTIANSTAD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46324</v>
      </c>
      <c r="F546" t="inlineStr">
        <is>
          <t>SKÅNE LÄN</t>
        </is>
      </c>
      <c r="G546" t="inlineStr">
        <is>
          <t>KRISTIANSTAD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46324</v>
      </c>
      <c r="F547" t="inlineStr">
        <is>
          <t>SKÅNE LÄN</t>
        </is>
      </c>
      <c r="G547" t="inlineStr">
        <is>
          <t>KRISTIANSTAD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46324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46324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45121</v>
      </c>
      <c r="E550" s="1" t="n">
        <v>46324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46324</v>
      </c>
      <c r="F551" t="inlineStr">
        <is>
          <t>SKÅNE LÄN</t>
        </is>
      </c>
      <c r="G551" t="inlineStr">
        <is>
          <t>KRISTIANSTAD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45738</v>
      </c>
      <c r="E552" s="1" t="n">
        <v>46324</v>
      </c>
      <c r="F552" t="inlineStr">
        <is>
          <t>SKÅNE LÄN</t>
        </is>
      </c>
      <c r="G552" t="inlineStr">
        <is>
          <t>KRISTIANSTAD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45738</v>
      </c>
      <c r="E553" s="1" t="n">
        <v>46324</v>
      </c>
      <c r="F553" t="inlineStr">
        <is>
          <t>SKÅNE LÄN</t>
        </is>
      </c>
      <c r="G553" t="inlineStr">
        <is>
          <t>KRISTIANSTAD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42916-2024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45566</v>
      </c>
      <c r="E554" s="1" t="n">
        <v>46324</v>
      </c>
      <c r="F554" t="inlineStr">
        <is>
          <t>SKÅNE LÄN</t>
        </is>
      </c>
      <c r="G554" t="inlineStr">
        <is>
          <t>KRISTIANSTAD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45233</v>
      </c>
      <c r="E555" s="1" t="n">
        <v>46324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46324</v>
      </c>
      <c r="F556" t="inlineStr">
        <is>
          <t>SKÅNE LÄN</t>
        </is>
      </c>
      <c r="G556" t="inlineStr">
        <is>
          <t>KRISTIANSTAD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46324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9020-2024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45357</v>
      </c>
      <c r="E558" s="1" t="n">
        <v>46324</v>
      </c>
      <c r="F558" t="inlineStr">
        <is>
          <t>SKÅNE LÄN</t>
        </is>
      </c>
      <c r="G558" t="inlineStr">
        <is>
          <t>KRISTIANSTAD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46469-2024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45582</v>
      </c>
      <c r="E559" s="1" t="n">
        <v>46324</v>
      </c>
      <c r="F559" t="inlineStr">
        <is>
          <t>SKÅNE LÄN</t>
        </is>
      </c>
      <c r="G559" t="inlineStr">
        <is>
          <t>KRISTIANSTAD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46324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45260</v>
      </c>
      <c r="E561" s="1" t="n">
        <v>46324</v>
      </c>
      <c r="F561" t="inlineStr">
        <is>
          <t>SKÅNE LÄN</t>
        </is>
      </c>
      <c r="G561" t="inlineStr">
        <is>
          <t>KRISTIANSTAD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45622</v>
      </c>
      <c r="E562" s="1" t="n">
        <v>46324</v>
      </c>
      <c r="F562" t="inlineStr">
        <is>
          <t>SKÅNE LÄN</t>
        </is>
      </c>
      <c r="G562" t="inlineStr">
        <is>
          <t>KRISTIANSTAD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40419-2024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45555</v>
      </c>
      <c r="E563" s="1" t="n">
        <v>46324</v>
      </c>
      <c r="F563" t="inlineStr">
        <is>
          <t>SKÅNE LÄN</t>
        </is>
      </c>
      <c r="G563" t="inlineStr">
        <is>
          <t>KRISTIANSTAD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46095</v>
      </c>
      <c r="E564" s="1" t="n">
        <v>46324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44442-2023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46324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45387</v>
      </c>
      <c r="E566" s="1" t="n">
        <v>46324</v>
      </c>
      <c r="F566" t="inlineStr">
        <is>
          <t>SKÅNE LÄN</t>
        </is>
      </c>
      <c r="G566" t="inlineStr">
        <is>
          <t>KRISTIANSTAD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44938</v>
      </c>
      <c r="E567" s="1" t="n">
        <v>46324</v>
      </c>
      <c r="F567" t="inlineStr">
        <is>
          <t>SKÅNE LÄN</t>
        </is>
      </c>
      <c r="G567" t="inlineStr">
        <is>
          <t>KRISTIANSTAD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46324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45343</v>
      </c>
      <c r="E569" s="1" t="n">
        <v>46324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10971-2023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46324</v>
      </c>
      <c r="F570" t="inlineStr">
        <is>
          <t>SKÅNE LÄN</t>
        </is>
      </c>
      <c r="G570" t="inlineStr">
        <is>
          <t>KRISTIANSTAD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59625-2022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44907</v>
      </c>
      <c r="E571" s="1" t="n">
        <v>46324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50543-2024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45600</v>
      </c>
      <c r="E572" s="1" t="n">
        <v>46324</v>
      </c>
      <c r="F572" t="inlineStr">
        <is>
          <t>SKÅNE LÄN</t>
        </is>
      </c>
      <c r="G572" t="inlineStr">
        <is>
          <t>KRISTIANSTAD</t>
        </is>
      </c>
      <c r="I572" t="n">
        <v>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45121</v>
      </c>
      <c r="E573" s="1" t="n">
        <v>46324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63681-2023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45275</v>
      </c>
      <c r="E574" s="1" t="n">
        <v>46324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46324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46324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46324</v>
      </c>
      <c r="F577" t="inlineStr">
        <is>
          <t>SKÅNE LÄN</t>
        </is>
      </c>
      <c r="G577" t="inlineStr">
        <is>
          <t>KRISTIANSTAD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46324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46324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44694</v>
      </c>
      <c r="E580" s="1" t="n">
        <v>46324</v>
      </c>
      <c r="F580" t="inlineStr">
        <is>
          <t>SKÅNE LÄN</t>
        </is>
      </c>
      <c r="G580" t="inlineStr">
        <is>
          <t>KRISTIANSTAD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44946</v>
      </c>
      <c r="E581" s="1" t="n">
        <v>46324</v>
      </c>
      <c r="F581" t="inlineStr">
        <is>
          <t>SKÅNE LÄN</t>
        </is>
      </c>
      <c r="G581" t="inlineStr">
        <is>
          <t>KRISTIANSTAD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45121</v>
      </c>
      <c r="E582" s="1" t="n">
        <v>46324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13953-2025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45737</v>
      </c>
      <c r="E583" s="1" t="n">
        <v>46324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38000-2024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45544</v>
      </c>
      <c r="E584" s="1" t="n">
        <v>46324</v>
      </c>
      <c r="F584" t="inlineStr">
        <is>
          <t>SKÅNE LÄN</t>
        </is>
      </c>
      <c r="G584" t="inlineStr">
        <is>
          <t>KRISTIANSTAD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46214</v>
      </c>
      <c r="E585" s="1" t="n">
        <v>46324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20714-2025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45776</v>
      </c>
      <c r="E586" s="1" t="n">
        <v>46324</v>
      </c>
      <c r="F586" t="inlineStr">
        <is>
          <t>SKÅNE LÄN</t>
        </is>
      </c>
      <c r="G586" t="inlineStr">
        <is>
          <t>KRISTIANSTAD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35693-2024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45532</v>
      </c>
      <c r="E587" s="1" t="n">
        <v>46324</v>
      </c>
      <c r="F587" t="inlineStr">
        <is>
          <t>SKÅNE LÄN</t>
        </is>
      </c>
      <c r="G587" t="inlineStr">
        <is>
          <t>KRISTIANSTAD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16384-2026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46324</v>
      </c>
      <c r="F588" t="inlineStr">
        <is>
          <t>SKÅNE LÄN</t>
        </is>
      </c>
      <c r="G588" t="inlineStr">
        <is>
          <t>KRISTIANSTAD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31292-2026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46218</v>
      </c>
      <c r="E589" s="1" t="n">
        <v>46324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31219-2026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46217</v>
      </c>
      <c r="E590" s="1" t="n">
        <v>46324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21992-2024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45443</v>
      </c>
      <c r="E591" s="1" t="n">
        <v>46324</v>
      </c>
      <c r="F591" t="inlineStr">
        <is>
          <t>SKÅNE LÄN</t>
        </is>
      </c>
      <c r="G591" t="inlineStr">
        <is>
          <t>KRISTIANSTAD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31472-2026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46222</v>
      </c>
      <c r="E592" s="1" t="n">
        <v>46324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44538-2024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46324</v>
      </c>
      <c r="F593" t="inlineStr">
        <is>
          <t>SKÅNE LÄN</t>
        </is>
      </c>
      <c r="G593" t="inlineStr">
        <is>
          <t>KRISTIANSTAD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46120</v>
      </c>
      <c r="E594" s="1" t="n">
        <v>46324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46324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46324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46324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45414</v>
      </c>
      <c r="E598" s="1" t="n">
        <v>46324</v>
      </c>
      <c r="F598" t="inlineStr">
        <is>
          <t>SKÅNE LÄN</t>
        </is>
      </c>
      <c r="G598" t="inlineStr">
        <is>
          <t>KRISTIANSTAD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31486-2026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46324</v>
      </c>
      <c r="F599" t="inlineStr">
        <is>
          <t>SKÅNE LÄN</t>
        </is>
      </c>
      <c r="G599" t="inlineStr">
        <is>
          <t>KRISTIANSTAD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9002-2024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46324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46129</v>
      </c>
      <c r="E601" s="1" t="n">
        <v>46324</v>
      </c>
      <c r="F601" t="inlineStr">
        <is>
          <t>SKÅNE LÄN</t>
        </is>
      </c>
      <c r="G601" t="inlineStr">
        <is>
          <t>KRISTIANSTAD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45370</v>
      </c>
      <c r="E602" s="1" t="n">
        <v>46324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51248-2024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45603</v>
      </c>
      <c r="E603" s="1" t="n">
        <v>46324</v>
      </c>
      <c r="F603" t="inlineStr">
        <is>
          <t>SKÅNE LÄN</t>
        </is>
      </c>
      <c r="G603" t="inlineStr">
        <is>
          <t>KRISTIANSTAD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52176-2023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45217</v>
      </c>
      <c r="E604" s="1" t="n">
        <v>46324</v>
      </c>
      <c r="F604" t="inlineStr">
        <is>
          <t>SKÅNE LÄN</t>
        </is>
      </c>
      <c r="G604" t="inlineStr">
        <is>
          <t>KRISTIANSTAD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46324</v>
      </c>
      <c r="F605" t="inlineStr">
        <is>
          <t>SKÅNE LÄN</t>
        </is>
      </c>
      <c r="G605" t="inlineStr">
        <is>
          <t>KRISTIANSTAD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55961-2023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45233</v>
      </c>
      <c r="E606" s="1" t="n">
        <v>46324</v>
      </c>
      <c r="F606" t="inlineStr">
        <is>
          <t>SKÅNE LÄN</t>
        </is>
      </c>
      <c r="G606" t="inlineStr">
        <is>
          <t>KRISTIANSTAD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46324</v>
      </c>
      <c r="F607" t="inlineStr">
        <is>
          <t>SKÅNE LÄN</t>
        </is>
      </c>
      <c r="G607" t="inlineStr">
        <is>
          <t>KRISTIANSTAD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29854-2026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46324</v>
      </c>
      <c r="F608" t="inlineStr">
        <is>
          <t>SKÅNE LÄN</t>
        </is>
      </c>
      <c r="G608" t="inlineStr">
        <is>
          <t>KRISTIANSTAD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45700</v>
      </c>
      <c r="E609" s="1" t="n">
        <v>46324</v>
      </c>
      <c r="F609" t="inlineStr">
        <is>
          <t>SKÅNE LÄN</t>
        </is>
      </c>
      <c r="G609" t="inlineStr">
        <is>
          <t>KRISTIANSTAD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43321-2023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45183</v>
      </c>
      <c r="E610" s="1" t="n">
        <v>46324</v>
      </c>
      <c r="F610" t="inlineStr">
        <is>
          <t>SKÅNE LÄN</t>
        </is>
      </c>
      <c r="G610" t="inlineStr">
        <is>
          <t>KRISTIANSTAD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32990-2024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45517</v>
      </c>
      <c r="E611" s="1" t="n">
        <v>46324</v>
      </c>
      <c r="F611" t="inlineStr">
        <is>
          <t>SKÅNE LÄN</t>
        </is>
      </c>
      <c r="G611" t="inlineStr">
        <is>
          <t>KRISTIANSTAD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6349-2024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45338</v>
      </c>
      <c r="E612" s="1" t="n">
        <v>46324</v>
      </c>
      <c r="F612" t="inlineStr">
        <is>
          <t>SKÅNE LÄN</t>
        </is>
      </c>
      <c r="G612" t="inlineStr">
        <is>
          <t>KRISTIANSTAD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45244</v>
      </c>
      <c r="E613" s="1" t="n">
        <v>46324</v>
      </c>
      <c r="F613" t="inlineStr">
        <is>
          <t>SKÅNE LÄN</t>
        </is>
      </c>
      <c r="G613" t="inlineStr">
        <is>
          <t>KRISTIANSTAD</t>
        </is>
      </c>
      <c r="H613" t="inlineStr">
        <is>
          <t>Övriga Aktiebolag</t>
        </is>
      </c>
      <c r="I613" t="n">
        <v>8.9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10781-2022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44627</v>
      </c>
      <c r="E614" s="1" t="n">
        <v>46324</v>
      </c>
      <c r="F614" t="inlineStr">
        <is>
          <t>SKÅNE LÄN</t>
        </is>
      </c>
      <c r="G614" t="inlineStr">
        <is>
          <t>KRISTIANSTAD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46324</v>
      </c>
      <c r="F615" t="inlineStr">
        <is>
          <t>SKÅNE LÄN</t>
        </is>
      </c>
      <c r="G615" t="inlineStr">
        <is>
          <t>KRISTIANSTAD</t>
        </is>
      </c>
      <c r="H615" t="inlineStr">
        <is>
          <t>Övriga Aktiebolag</t>
        </is>
      </c>
      <c r="I615" t="n">
        <v>11.2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45461</v>
      </c>
      <c r="E616" s="1" t="n">
        <v>46324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53299-2023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45229</v>
      </c>
      <c r="E617" s="1" t="n">
        <v>46324</v>
      </c>
      <c r="F617" t="inlineStr">
        <is>
          <t>SKÅNE LÄN</t>
        </is>
      </c>
      <c r="G617" t="inlineStr">
        <is>
          <t>KRISTIANSTAD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45326</v>
      </c>
      <c r="E618" s="1" t="n">
        <v>46324</v>
      </c>
      <c r="F618" t="inlineStr">
        <is>
          <t>SKÅNE LÄN</t>
        </is>
      </c>
      <c r="G618" t="inlineStr">
        <is>
          <t>KRISTIANSTAD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20302-2026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46136</v>
      </c>
      <c r="E619" s="1" t="n">
        <v>46324</v>
      </c>
      <c r="F619" t="inlineStr">
        <is>
          <t>SKÅNE LÄN</t>
        </is>
      </c>
      <c r="G619" t="inlineStr">
        <is>
          <t>KRISTIANSTAD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44853</v>
      </c>
      <c r="E620" s="1" t="n">
        <v>46324</v>
      </c>
      <c r="F620" t="inlineStr">
        <is>
          <t>SKÅNE LÄN</t>
        </is>
      </c>
      <c r="G620" t="inlineStr">
        <is>
          <t>KRISTIANSTAD</t>
        </is>
      </c>
      <c r="H620" t="inlineStr">
        <is>
          <t>Kyrkan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45496</v>
      </c>
      <c r="E621" s="1" t="n">
        <v>46324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32015-2023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45119</v>
      </c>
      <c r="E622" s="1" t="n">
        <v>46324</v>
      </c>
      <c r="F622" t="inlineStr">
        <is>
          <t>SKÅNE LÄN</t>
        </is>
      </c>
      <c r="G622" t="inlineStr">
        <is>
          <t>KRISTIANSTAD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65097-2021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44513</v>
      </c>
      <c r="E623" s="1" t="n">
        <v>46324</v>
      </c>
      <c r="F623" t="inlineStr">
        <is>
          <t>SKÅNE LÄN</t>
        </is>
      </c>
      <c r="G623" t="inlineStr">
        <is>
          <t>KRISTIANSTAD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48217-2022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44853</v>
      </c>
      <c r="E624" s="1" t="n">
        <v>46324</v>
      </c>
      <c r="F624" t="inlineStr">
        <is>
          <t>SKÅNE LÄN</t>
        </is>
      </c>
      <c r="G624" t="inlineStr">
        <is>
          <t>KRISTIANSTAD</t>
        </is>
      </c>
      <c r="H624" t="inlineStr">
        <is>
          <t>Kyrkan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9794-2023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44984</v>
      </c>
      <c r="E625" s="1" t="n">
        <v>46324</v>
      </c>
      <c r="F625" t="inlineStr">
        <is>
          <t>SKÅNE LÄN</t>
        </is>
      </c>
      <c r="G625" t="inlineStr">
        <is>
          <t>KRISTIANSTAD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46324</v>
      </c>
      <c r="F626" t="inlineStr">
        <is>
          <t>SKÅNE LÄN</t>
        </is>
      </c>
      <c r="G626" t="inlineStr">
        <is>
          <t>KRISTIANSTAD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15887-2025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46324</v>
      </c>
      <c r="F627" t="inlineStr">
        <is>
          <t>SKÅNE LÄN</t>
        </is>
      </c>
      <c r="G627" t="inlineStr">
        <is>
          <t>KRISTIANSTAD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46284</v>
      </c>
      <c r="E628" s="1" t="n">
        <v>46324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46324</v>
      </c>
      <c r="F629" t="inlineStr">
        <is>
          <t>SKÅNE LÄN</t>
        </is>
      </c>
      <c r="G629" t="inlineStr">
        <is>
          <t>KRISTIANSTAD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35677-2024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45532</v>
      </c>
      <c r="E630" s="1" t="n">
        <v>46324</v>
      </c>
      <c r="F630" t="inlineStr">
        <is>
          <t>SKÅNE LÄN</t>
        </is>
      </c>
      <c r="G630" t="inlineStr">
        <is>
          <t>KRISTIANSTAD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35688-2024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45532</v>
      </c>
      <c r="E631" s="1" t="n">
        <v>46324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6347-2024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45338</v>
      </c>
      <c r="E632" s="1" t="n">
        <v>46324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45496-2024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45577</v>
      </c>
      <c r="E633" s="1" t="n">
        <v>46324</v>
      </c>
      <c r="F633" t="inlineStr">
        <is>
          <t>SKÅNE LÄN</t>
        </is>
      </c>
      <c r="G633" t="inlineStr">
        <is>
          <t>KRISTIANSTAD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46324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1228-2022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44572</v>
      </c>
      <c r="E635" s="1" t="n">
        <v>46324</v>
      </c>
      <c r="F635" t="inlineStr">
        <is>
          <t>SKÅNE LÄN</t>
        </is>
      </c>
      <c r="G635" t="inlineStr">
        <is>
          <t>KRISTIANSTAD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46287</v>
      </c>
      <c r="E636" s="1" t="n">
        <v>46324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12615-2023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45000</v>
      </c>
      <c r="E637" s="1" t="n">
        <v>46324</v>
      </c>
      <c r="F637" t="inlineStr">
        <is>
          <t>SKÅNE LÄN</t>
        </is>
      </c>
      <c r="G637" t="inlineStr">
        <is>
          <t>KRISTIANSTAD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45323</v>
      </c>
      <c r="E638" s="1" t="n">
        <v>46324</v>
      </c>
      <c r="F638" t="inlineStr">
        <is>
          <t>SKÅNE LÄN</t>
        </is>
      </c>
      <c r="G638" t="inlineStr">
        <is>
          <t>KRISTIANSTAD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46287</v>
      </c>
      <c r="E639" s="1" t="n">
        <v>46324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39409-2026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46288</v>
      </c>
      <c r="E640" s="1" t="n">
        <v>46324</v>
      </c>
      <c r="F640" t="inlineStr">
        <is>
          <t>SKÅNE LÄN</t>
        </is>
      </c>
      <c r="G640" t="inlineStr">
        <is>
          <t>KRISTIANSTAD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27529-2022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44742</v>
      </c>
      <c r="E641" s="1" t="n">
        <v>46324</v>
      </c>
      <c r="F641" t="inlineStr">
        <is>
          <t>SKÅNE LÄN</t>
        </is>
      </c>
      <c r="G641" t="inlineStr">
        <is>
          <t>KRISTIANSTAD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29199-2024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45482</v>
      </c>
      <c r="E642" s="1" t="n">
        <v>46324</v>
      </c>
      <c r="F642" t="inlineStr">
        <is>
          <t>SKÅNE LÄN</t>
        </is>
      </c>
      <c r="G642" t="inlineStr">
        <is>
          <t>KRISTIANSTAD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22277-2024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45446</v>
      </c>
      <c r="E643" s="1" t="n">
        <v>46324</v>
      </c>
      <c r="F643" t="inlineStr">
        <is>
          <t>SKÅNE LÄN</t>
        </is>
      </c>
      <c r="G643" t="inlineStr">
        <is>
          <t>KRISTIANSTAD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39231-2026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46324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33702-2026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46250</v>
      </c>
      <c r="E645" s="1" t="n">
        <v>46324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39935-2023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45168</v>
      </c>
      <c r="E646" s="1" t="n">
        <v>46324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44945</v>
      </c>
      <c r="E647" s="1" t="n">
        <v>46324</v>
      </c>
      <c r="F647" t="inlineStr">
        <is>
          <t>SKÅNE LÄN</t>
        </is>
      </c>
      <c r="G647" t="inlineStr">
        <is>
          <t>KRISTIANSTAD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20651-2026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46141</v>
      </c>
      <c r="E648" s="1" t="n">
        <v>46324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39743-2026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46290</v>
      </c>
      <c r="E649" s="1" t="n">
        <v>46324</v>
      </c>
      <c r="F649" t="inlineStr">
        <is>
          <t>SKÅNE LÄN</t>
        </is>
      </c>
      <c r="G649" t="inlineStr">
        <is>
          <t>KRISTIANSTAD</t>
        </is>
      </c>
      <c r="I649" t="n">
        <v>8.9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33701-2026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46250</v>
      </c>
      <c r="E650" s="1" t="n">
        <v>46324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28442-2024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45477</v>
      </c>
      <c r="E651" s="1" t="n">
        <v>46324</v>
      </c>
      <c r="F651" t="inlineStr">
        <is>
          <t>SKÅNE LÄN</t>
        </is>
      </c>
      <c r="G651" t="inlineStr">
        <is>
          <t>KRISTIANSTAD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45727</v>
      </c>
      <c r="E652" s="1" t="n">
        <v>46324</v>
      </c>
      <c r="F652" t="inlineStr">
        <is>
          <t>SKÅNE LÄN</t>
        </is>
      </c>
      <c r="G652" t="inlineStr">
        <is>
          <t>KRISTIANSTAD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24947-2023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45085</v>
      </c>
      <c r="E653" s="1" t="n">
        <v>46324</v>
      </c>
      <c r="F653" t="inlineStr">
        <is>
          <t>SKÅNE LÄN</t>
        </is>
      </c>
      <c r="G653" t="inlineStr">
        <is>
          <t>KRISTIANSTAD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39567-2022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44817</v>
      </c>
      <c r="E654" s="1" t="n">
        <v>46324</v>
      </c>
      <c r="F654" t="inlineStr">
        <is>
          <t>SKÅNE LÄN</t>
        </is>
      </c>
      <c r="G654" t="inlineStr">
        <is>
          <t>KRISTIANSTAD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44587</v>
      </c>
      <c r="E655" s="1" t="n">
        <v>46324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22074-2023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45069</v>
      </c>
      <c r="E656" s="1" t="n">
        <v>46324</v>
      </c>
      <c r="F656" t="inlineStr">
        <is>
          <t>SKÅNE LÄN</t>
        </is>
      </c>
      <c r="G656" t="inlineStr">
        <is>
          <t>KRISTIANSTAD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45015</v>
      </c>
      <c r="E657" s="1" t="n">
        <v>46324</v>
      </c>
      <c r="F657" t="inlineStr">
        <is>
          <t>SKÅNE LÄN</t>
        </is>
      </c>
      <c r="G657" t="inlineStr">
        <is>
          <t>KRISTIANSTAD</t>
        </is>
      </c>
      <c r="H657" t="inlineStr">
        <is>
          <t>Kyrkan</t>
        </is>
      </c>
      <c r="I657" t="n">
        <v>5.9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40835-2026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46324</v>
      </c>
      <c r="F658" t="inlineStr">
        <is>
          <t>SKÅNE LÄN</t>
        </is>
      </c>
      <c r="G658" t="inlineStr">
        <is>
          <t>KRISTIANSTAD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27561-2026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46190</v>
      </c>
      <c r="E659" s="1" t="n">
        <v>46324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10062-2024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45364</v>
      </c>
      <c r="E660" s="1" t="n">
        <v>46324</v>
      </c>
      <c r="F660" t="inlineStr">
        <is>
          <t>SKÅNE LÄN</t>
        </is>
      </c>
      <c r="G660" t="inlineStr">
        <is>
          <t>KRISTIANSTAD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46324</v>
      </c>
      <c r="F661" t="inlineStr">
        <is>
          <t>SKÅNE LÄN</t>
        </is>
      </c>
      <c r="G661" t="inlineStr">
        <is>
          <t>KRISTIANSTAD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40785-2026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46295</v>
      </c>
      <c r="E662" s="1" t="n">
        <v>46324</v>
      </c>
      <c r="F662" t="inlineStr">
        <is>
          <t>SKÅNE LÄN</t>
        </is>
      </c>
      <c r="G662" t="inlineStr">
        <is>
          <t>KRISTIANSTAD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46324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31374-2022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44774</v>
      </c>
      <c r="E664" s="1" t="n">
        <v>46324</v>
      </c>
      <c r="F664" t="inlineStr">
        <is>
          <t>SKÅNE LÄN</t>
        </is>
      </c>
      <c r="G664" t="inlineStr">
        <is>
          <t>KRISTIANSTAD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34293-2026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46253</v>
      </c>
      <c r="E665" s="1" t="n">
        <v>46324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34294-2026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46253</v>
      </c>
      <c r="E666" s="1" t="n">
        <v>46324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46324</v>
      </c>
      <c r="F667" t="inlineStr">
        <is>
          <t>SKÅNE LÄN</t>
        </is>
      </c>
      <c r="G667" t="inlineStr">
        <is>
          <t>KRISTIANSTAD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46324</v>
      </c>
      <c r="F668" t="inlineStr">
        <is>
          <t>SKÅNE LÄN</t>
        </is>
      </c>
      <c r="G668" t="inlineStr">
        <is>
          <t>KRISTIANSTAD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45485</v>
      </c>
      <c r="E669" s="1" t="n">
        <v>46324</v>
      </c>
      <c r="F669" t="inlineStr">
        <is>
          <t>SKÅNE LÄN</t>
        </is>
      </c>
      <c r="G669" t="inlineStr">
        <is>
          <t>KRISTIANSTAD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41082-2026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46300</v>
      </c>
      <c r="E670" s="1" t="n">
        <v>46324</v>
      </c>
      <c r="F670" t="inlineStr">
        <is>
          <t>SKÅNE LÄN</t>
        </is>
      </c>
      <c r="G670" t="inlineStr">
        <is>
          <t>KRISTIANSTAD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41087-2026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46300</v>
      </c>
      <c r="E671" s="1" t="n">
        <v>46324</v>
      </c>
      <c r="F671" t="inlineStr">
        <is>
          <t>SKÅNE LÄN</t>
        </is>
      </c>
      <c r="G671" t="inlineStr">
        <is>
          <t>KRISTIANSTAD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45119</v>
      </c>
      <c r="E672" s="1" t="n">
        <v>46324</v>
      </c>
      <c r="F672" t="inlineStr">
        <is>
          <t>SKÅNE LÄN</t>
        </is>
      </c>
      <c r="G672" t="inlineStr">
        <is>
          <t>KRISTIANSTAD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45121</v>
      </c>
      <c r="E673" s="1" t="n">
        <v>46324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46627-2024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45583</v>
      </c>
      <c r="E674" s="1" t="n">
        <v>46324</v>
      </c>
      <c r="F674" t="inlineStr">
        <is>
          <t>SKÅNE LÄN</t>
        </is>
      </c>
      <c r="G674" t="inlineStr">
        <is>
          <t>KRISTIANSTAD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46256</v>
      </c>
      <c r="E675" s="1" t="n">
        <v>46324</v>
      </c>
      <c r="F675" t="inlineStr">
        <is>
          <t>SKÅNE LÄN</t>
        </is>
      </c>
      <c r="G675" t="inlineStr">
        <is>
          <t>KRISTIANSTAD</t>
        </is>
      </c>
      <c r="I675" t="n">
        <v>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46515-2022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44847</v>
      </c>
      <c r="E676" s="1" t="n">
        <v>46324</v>
      </c>
      <c r="F676" t="inlineStr">
        <is>
          <t>SKÅNE LÄN</t>
        </is>
      </c>
      <c r="G676" t="inlineStr">
        <is>
          <t>KRISTIANSTAD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62295-2025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46006</v>
      </c>
      <c r="E677" s="1" t="n">
        <v>46324</v>
      </c>
      <c r="F677" t="inlineStr">
        <is>
          <t>SKÅNE LÄN</t>
        </is>
      </c>
      <c r="G677" t="inlineStr">
        <is>
          <t>KRISTIANSTAD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64626-2023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45281</v>
      </c>
      <c r="E678" s="1" t="n">
        <v>46324</v>
      </c>
      <c r="F678" t="inlineStr">
        <is>
          <t>SKÅNE LÄN</t>
        </is>
      </c>
      <c r="G678" t="inlineStr">
        <is>
          <t>KRISTIANSTAD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41092-2026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46300</v>
      </c>
      <c r="E679" s="1" t="n">
        <v>46324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41093-2026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46300</v>
      </c>
      <c r="E680" s="1" t="n">
        <v>46324</v>
      </c>
      <c r="F680" t="inlineStr">
        <is>
          <t>SKÅNE LÄN</t>
        </is>
      </c>
      <c r="G680" t="inlineStr">
        <is>
          <t>KRISTIANSTAD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41090-2026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46300</v>
      </c>
      <c r="E681" s="1" t="n">
        <v>46324</v>
      </c>
      <c r="F681" t="inlineStr">
        <is>
          <t>SKÅNE LÄN</t>
        </is>
      </c>
      <c r="G681" t="inlineStr">
        <is>
          <t>KRISTIANSTAD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40149-2024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45554</v>
      </c>
      <c r="E682" s="1" t="n">
        <v>46324</v>
      </c>
      <c r="F682" t="inlineStr">
        <is>
          <t>SKÅNE LÄN</t>
        </is>
      </c>
      <c r="G682" t="inlineStr">
        <is>
          <t>KRISTIANSTAD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46324</v>
      </c>
      <c r="F683" t="inlineStr">
        <is>
          <t>SKÅNE LÄN</t>
        </is>
      </c>
      <c r="G683" t="inlineStr">
        <is>
          <t>KRISTIANSTAD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45226</v>
      </c>
      <c r="E684" s="1" t="n">
        <v>46324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35158-2026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46260</v>
      </c>
      <c r="E685" s="1" t="n">
        <v>46324</v>
      </c>
      <c r="F685" t="inlineStr">
        <is>
          <t>SKÅNE LÄN</t>
        </is>
      </c>
      <c r="G685" t="inlineStr">
        <is>
          <t>KRISTIANSTAD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45668</v>
      </c>
      <c r="E686" s="1" t="n">
        <v>46324</v>
      </c>
      <c r="F686" t="inlineStr">
        <is>
          <t>SKÅNE LÄN</t>
        </is>
      </c>
      <c r="G686" t="inlineStr">
        <is>
          <t>KRISTIANSTAD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44855</v>
      </c>
      <c r="E687" s="1" t="n">
        <v>46324</v>
      </c>
      <c r="F687" t="inlineStr">
        <is>
          <t>SKÅNE LÄN</t>
        </is>
      </c>
      <c r="G687" t="inlineStr">
        <is>
          <t>KRISTIANSTAD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45098</v>
      </c>
      <c r="E688" s="1" t="n">
        <v>46324</v>
      </c>
      <c r="F688" t="inlineStr">
        <is>
          <t>SKÅNE LÄN</t>
        </is>
      </c>
      <c r="G688" t="inlineStr">
        <is>
          <t>KRISTIANSTAD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46324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36358-2023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46324</v>
      </c>
      <c r="F690" t="inlineStr">
        <is>
          <t>SKÅNE LÄN</t>
        </is>
      </c>
      <c r="G690" t="inlineStr">
        <is>
          <t>KRISTIANSTAD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39898-2023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45166</v>
      </c>
      <c r="E691" s="1" t="n">
        <v>46324</v>
      </c>
      <c r="F691" t="inlineStr">
        <is>
          <t>SKÅNE LÄN</t>
        </is>
      </c>
      <c r="G691" t="inlineStr">
        <is>
          <t>KRISTIANSTAD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27402-2026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46189</v>
      </c>
      <c r="E692" s="1" t="n">
        <v>46324</v>
      </c>
      <c r="F692" t="inlineStr">
        <is>
          <t>SKÅNE LÄN</t>
        </is>
      </c>
      <c r="G692" t="inlineStr">
        <is>
          <t>KRISTIANSTAD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60460-2023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45258</v>
      </c>
      <c r="E693" s="1" t="n">
        <v>46324</v>
      </c>
      <c r="F693" t="inlineStr">
        <is>
          <t>SKÅNE LÄN</t>
        </is>
      </c>
      <c r="G693" t="inlineStr">
        <is>
          <t>KRISTIANSTAD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5590-2022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44595</v>
      </c>
      <c r="E694" s="1" t="n">
        <v>46324</v>
      </c>
      <c r="F694" t="inlineStr">
        <is>
          <t>SKÅNE LÄN</t>
        </is>
      </c>
      <c r="G694" t="inlineStr">
        <is>
          <t>KRISTIANSTAD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45470</v>
      </c>
      <c r="E695" s="1" t="n">
        <v>46324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16131-2023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45027</v>
      </c>
      <c r="E696" s="1" t="n">
        <v>46324</v>
      </c>
      <c r="F696" t="inlineStr">
        <is>
          <t>SKÅNE LÄN</t>
        </is>
      </c>
      <c r="G696" t="inlineStr">
        <is>
          <t>KRISTIANSTAD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35022-2023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45144</v>
      </c>
      <c r="E697" s="1" t="n">
        <v>46324</v>
      </c>
      <c r="F697" t="inlineStr">
        <is>
          <t>SKÅNE LÄN</t>
        </is>
      </c>
      <c r="G697" t="inlineStr">
        <is>
          <t>KRISTIANSTAD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35023-2023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45144</v>
      </c>
      <c r="E698" s="1" t="n">
        <v>46324</v>
      </c>
      <c r="F698" t="inlineStr">
        <is>
          <t>SKÅNE LÄN</t>
        </is>
      </c>
      <c r="G698" t="inlineStr">
        <is>
          <t>KRISTIANSTAD</t>
        </is>
      </c>
      <c r="H698" t="inlineStr">
        <is>
          <t>Övriga Aktiebolag</t>
        </is>
      </c>
      <c r="I698" t="n">
        <v>15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45331</v>
      </c>
      <c r="E699" s="1" t="n">
        <v>46324</v>
      </c>
      <c r="F699" t="inlineStr">
        <is>
          <t>SKÅNE LÄN</t>
        </is>
      </c>
      <c r="G699" t="inlineStr">
        <is>
          <t>KRISTIANSTAD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6307-2024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45338</v>
      </c>
      <c r="E700" s="1" t="n">
        <v>46324</v>
      </c>
      <c r="F700" t="inlineStr">
        <is>
          <t>SKÅNE LÄN</t>
        </is>
      </c>
      <c r="G700" t="inlineStr">
        <is>
          <t>KRISTIANSTAD</t>
        </is>
      </c>
      <c r="H700" t="inlineStr">
        <is>
          <t>Övriga Aktiebolag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17024-2025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45755</v>
      </c>
      <c r="E701" s="1" t="n">
        <v>46324</v>
      </c>
      <c r="F701" t="inlineStr">
        <is>
          <t>SKÅNE LÄN</t>
        </is>
      </c>
      <c r="G701" t="inlineStr">
        <is>
          <t>KRISTIANSTAD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24583-2023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45083</v>
      </c>
      <c r="E702" s="1" t="n">
        <v>46324</v>
      </c>
      <c r="F702" t="inlineStr">
        <is>
          <t>SKÅNE LÄN</t>
        </is>
      </c>
      <c r="G702" t="inlineStr">
        <is>
          <t>KRISTIANSTAD</t>
        </is>
      </c>
      <c r="H702" t="inlineStr">
        <is>
          <t>Övriga Aktiebolag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17400-2023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45035</v>
      </c>
      <c r="E703" s="1" t="n">
        <v>46324</v>
      </c>
      <c r="F703" t="inlineStr">
        <is>
          <t>SKÅNE LÄN</t>
        </is>
      </c>
      <c r="G703" t="inlineStr">
        <is>
          <t>KRISTIANSTAD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60997-2024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45644</v>
      </c>
      <c r="E704" s="1" t="n">
        <v>46324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38021-2023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45159</v>
      </c>
      <c r="E705" s="1" t="n">
        <v>46324</v>
      </c>
      <c r="F705" t="inlineStr">
        <is>
          <t>SKÅNE LÄN</t>
        </is>
      </c>
      <c r="G705" t="inlineStr">
        <is>
          <t>KRISTIANSTAD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46308</v>
      </c>
      <c r="E706" s="1" t="n">
        <v>46324</v>
      </c>
      <c r="F706" t="inlineStr">
        <is>
          <t>SKÅNE LÄN</t>
        </is>
      </c>
      <c r="G706" t="inlineStr">
        <is>
          <t>KRISTIANSTAD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42572-2026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46308</v>
      </c>
      <c r="E707" s="1" t="n">
        <v>46324</v>
      </c>
      <c r="F707" t="inlineStr">
        <is>
          <t>SKÅNE LÄN</t>
        </is>
      </c>
      <c r="G707" t="inlineStr">
        <is>
          <t>KRISTIANSTAD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8512-2024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45355</v>
      </c>
      <c r="E708" s="1" t="n">
        <v>46324</v>
      </c>
      <c r="F708" t="inlineStr">
        <is>
          <t>SKÅNE LÄN</t>
        </is>
      </c>
      <c r="G708" t="inlineStr">
        <is>
          <t>KRISTIANSTAD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24579-2023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45083</v>
      </c>
      <c r="E709" s="1" t="n">
        <v>46324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47652-2023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45198</v>
      </c>
      <c r="E710" s="1" t="n">
        <v>46324</v>
      </c>
      <c r="F710" t="inlineStr">
        <is>
          <t>SKÅNE LÄN</t>
        </is>
      </c>
      <c r="G710" t="inlineStr">
        <is>
          <t>KRISTIANSTAD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72100-2021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44544</v>
      </c>
      <c r="E711" s="1" t="n">
        <v>46324</v>
      </c>
      <c r="F711" t="inlineStr">
        <is>
          <t>SKÅNE LÄN</t>
        </is>
      </c>
      <c r="G711" t="inlineStr">
        <is>
          <t>KRISTIANSTAD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32158-2024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45511</v>
      </c>
      <c r="E712" s="1" t="n">
        <v>46324</v>
      </c>
      <c r="F712" t="inlineStr">
        <is>
          <t>SKÅNE LÄN</t>
        </is>
      </c>
      <c r="G712" t="inlineStr">
        <is>
          <t>KRISTIANSTAD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45728-2022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44846</v>
      </c>
      <c r="E713" s="1" t="n">
        <v>46324</v>
      </c>
      <c r="F713" t="inlineStr">
        <is>
          <t>SKÅNE LÄN</t>
        </is>
      </c>
      <c r="G713" t="inlineStr">
        <is>
          <t>KRISTIANSTAD</t>
        </is>
      </c>
      <c r="H713" t="inlineStr">
        <is>
          <t>Övriga Aktiebolag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48173-2024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45589</v>
      </c>
      <c r="E714" s="1" t="n">
        <v>46324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45494-2024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45577</v>
      </c>
      <c r="E715" s="1" t="n">
        <v>46324</v>
      </c>
      <c r="F715" t="inlineStr">
        <is>
          <t>SKÅNE LÄN</t>
        </is>
      </c>
      <c r="G715" t="inlineStr">
        <is>
          <t>KRISTIANSTAD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45554</v>
      </c>
      <c r="E716" s="1" t="n">
        <v>46324</v>
      </c>
      <c r="F716" t="inlineStr">
        <is>
          <t>SKÅNE LÄN</t>
        </is>
      </c>
      <c r="G716" t="inlineStr">
        <is>
          <t>KRISTIANSTAD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35948-2024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45533</v>
      </c>
      <c r="E717" s="1" t="n">
        <v>46324</v>
      </c>
      <c r="F717" t="inlineStr">
        <is>
          <t>SKÅNE LÄN</t>
        </is>
      </c>
      <c r="G717" t="inlineStr">
        <is>
          <t>KRISTIANSTAD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12315-2025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46324</v>
      </c>
      <c r="F718" t="inlineStr">
        <is>
          <t>SKÅNE LÄN</t>
        </is>
      </c>
      <c r="G718" t="inlineStr">
        <is>
          <t>KRISTIANSTAD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46521-2023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46324</v>
      </c>
      <c r="F719" t="inlineStr">
        <is>
          <t>SKÅNE LÄN</t>
        </is>
      </c>
      <c r="G719" t="inlineStr">
        <is>
          <t>KRISTIANSTAD</t>
        </is>
      </c>
      <c r="I719" t="n">
        <v>10.3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46524-2023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45197</v>
      </c>
      <c r="E720" s="1" t="n">
        <v>46324</v>
      </c>
      <c r="F720" t="inlineStr">
        <is>
          <t>SKÅNE LÄN</t>
        </is>
      </c>
      <c r="G720" t="inlineStr">
        <is>
          <t>KRISTIANSTAD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36833-2026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46272</v>
      </c>
      <c r="E721" s="1" t="n">
        <v>46324</v>
      </c>
      <c r="F721" t="inlineStr">
        <is>
          <t>SKÅNE LÄN</t>
        </is>
      </c>
      <c r="G721" t="inlineStr">
        <is>
          <t>KRISTIANSTAD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36842-2026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46272</v>
      </c>
      <c r="E722" s="1" t="n">
        <v>46324</v>
      </c>
      <c r="F722" t="inlineStr">
        <is>
          <t>SKÅNE LÄN</t>
        </is>
      </c>
      <c r="G722" t="inlineStr">
        <is>
          <t>KRISTIANSTAD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36632-2026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46271</v>
      </c>
      <c r="E723" s="1" t="n">
        <v>46324</v>
      </c>
      <c r="F723" t="inlineStr">
        <is>
          <t>SKÅNE LÄN</t>
        </is>
      </c>
      <c r="G723" t="inlineStr">
        <is>
          <t>KRISTIANSTAD</t>
        </is>
      </c>
      <c r="H723" t="inlineStr">
        <is>
          <t>Övriga Aktiebolag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46271</v>
      </c>
      <c r="E724" s="1" t="n">
        <v>46324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46271</v>
      </c>
      <c r="E725" s="1" t="n">
        <v>46324</v>
      </c>
      <c r="F725" t="inlineStr">
        <is>
          <t>SKÅNE LÄN</t>
        </is>
      </c>
      <c r="G725" t="inlineStr">
        <is>
          <t>KRISTIANSTAD</t>
        </is>
      </c>
      <c r="H725" t="inlineStr">
        <is>
          <t>Övriga Aktiebolag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46271</v>
      </c>
      <c r="E726" s="1" t="n">
        <v>46324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28607-2023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45103</v>
      </c>
      <c r="E727" s="1" t="n">
        <v>46324</v>
      </c>
      <c r="F727" t="inlineStr">
        <is>
          <t>SKÅNE LÄN</t>
        </is>
      </c>
      <c r="G727" t="inlineStr">
        <is>
          <t>KRISTIANSTAD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46095-2023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45190</v>
      </c>
      <c r="E728" s="1" t="n">
        <v>46324</v>
      </c>
      <c r="F728" t="inlineStr">
        <is>
          <t>SKÅNE LÄN</t>
        </is>
      </c>
      <c r="G728" t="inlineStr">
        <is>
          <t>KRISTIANSTAD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10748-2023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44984</v>
      </c>
      <c r="E729" s="1" t="n">
        <v>46324</v>
      </c>
      <c r="F729" t="inlineStr">
        <is>
          <t>SKÅNE LÄN</t>
        </is>
      </c>
      <c r="G729" t="inlineStr">
        <is>
          <t>KRISTIANSTAD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49239-2022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44858</v>
      </c>
      <c r="E730" s="1" t="n">
        <v>46324</v>
      </c>
      <c r="F730" t="inlineStr">
        <is>
          <t>SKÅNE LÄN</t>
        </is>
      </c>
      <c r="G730" t="inlineStr">
        <is>
          <t>KRISTIANSTAD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43418-2026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46314</v>
      </c>
      <c r="E731" s="1" t="n">
        <v>46324</v>
      </c>
      <c r="F731" t="inlineStr">
        <is>
          <t>SKÅNE LÄN</t>
        </is>
      </c>
      <c r="G731" t="inlineStr">
        <is>
          <t>KRISTIANSTAD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54392-2023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45226</v>
      </c>
      <c r="E732" s="1" t="n">
        <v>46324</v>
      </c>
      <c r="F732" t="inlineStr">
        <is>
          <t>SKÅNE LÄN</t>
        </is>
      </c>
      <c r="G732" t="inlineStr">
        <is>
          <t>KRISTIANSTAD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36838-2026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46324</v>
      </c>
      <c r="F733" t="inlineStr">
        <is>
          <t>SKÅNE LÄN</t>
        </is>
      </c>
      <c r="G733" t="inlineStr">
        <is>
          <t>KRISTIANSTAD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43368-2026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46310</v>
      </c>
      <c r="E734" s="1" t="n">
        <v>46324</v>
      </c>
      <c r="F734" t="inlineStr">
        <is>
          <t>SKÅNE LÄN</t>
        </is>
      </c>
      <c r="G734" t="inlineStr">
        <is>
          <t>KRISTIANSTAD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36902-2026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46273</v>
      </c>
      <c r="E735" s="1" t="n">
        <v>46324</v>
      </c>
      <c r="F735" t="inlineStr">
        <is>
          <t>SKÅNE LÄN</t>
        </is>
      </c>
      <c r="G735" t="inlineStr">
        <is>
          <t>KRISTIANSTAD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44599</v>
      </c>
      <c r="E736" s="1" t="n">
        <v>46324</v>
      </c>
      <c r="F736" t="inlineStr">
        <is>
          <t>SKÅNE LÄN</t>
        </is>
      </c>
      <c r="G736" t="inlineStr">
        <is>
          <t>KRISTIANSTAD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45134</v>
      </c>
      <c r="E737" s="1" t="n">
        <v>46324</v>
      </c>
      <c r="F737" t="inlineStr">
        <is>
          <t>SKÅNE LÄN</t>
        </is>
      </c>
      <c r="G737" t="inlineStr">
        <is>
          <t>KRISTIANSTAD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53982-2022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44876</v>
      </c>
      <c r="E738" s="1" t="n">
        <v>46324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62156-2022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44915</v>
      </c>
      <c r="E739" s="1" t="n">
        <v>46324</v>
      </c>
      <c r="F739" t="inlineStr">
        <is>
          <t>SKÅNE LÄN</t>
        </is>
      </c>
      <c r="G739" t="inlineStr">
        <is>
          <t>KRISTIANSTAD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10464-2024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45366</v>
      </c>
      <c r="E740" s="1" t="n">
        <v>46324</v>
      </c>
      <c r="F740" t="inlineStr">
        <is>
          <t>SKÅNE LÄN</t>
        </is>
      </c>
      <c r="G740" t="inlineStr">
        <is>
          <t>KRISTIANSTAD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45315</v>
      </c>
      <c r="E741" s="1" t="n">
        <v>46324</v>
      </c>
      <c r="F741" t="inlineStr">
        <is>
          <t>SKÅNE LÄN</t>
        </is>
      </c>
      <c r="G741" t="inlineStr">
        <is>
          <t>KRISTIANSTAD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25803-2024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45467</v>
      </c>
      <c r="E742" s="1" t="n">
        <v>46324</v>
      </c>
      <c r="F742" t="inlineStr">
        <is>
          <t>SKÅNE LÄN</t>
        </is>
      </c>
      <c r="G742" t="inlineStr">
        <is>
          <t>KRISTIANSTAD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57979-2023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45247</v>
      </c>
      <c r="E743" s="1" t="n">
        <v>46324</v>
      </c>
      <c r="F743" t="inlineStr">
        <is>
          <t>SKÅNE LÄN</t>
        </is>
      </c>
      <c r="G743" t="inlineStr">
        <is>
          <t>KRISTIANSTAD</t>
        </is>
      </c>
      <c r="I743" t="n">
        <v>11.9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44995</v>
      </c>
      <c r="E744" s="1" t="n">
        <v>46324</v>
      </c>
      <c r="F744" t="inlineStr">
        <is>
          <t>SKÅNE LÄN</t>
        </is>
      </c>
      <c r="G744" t="inlineStr">
        <is>
          <t>KRISTIANSTAD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34719-2022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44795</v>
      </c>
      <c r="E745" s="1" t="n">
        <v>46324</v>
      </c>
      <c r="F745" t="inlineStr">
        <is>
          <t>SKÅNE LÄN</t>
        </is>
      </c>
      <c r="G745" t="inlineStr">
        <is>
          <t>KRISTIANSTAD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43448-2026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46314</v>
      </c>
      <c r="E746" s="1" t="n">
        <v>46324</v>
      </c>
      <c r="F746" t="inlineStr">
        <is>
          <t>SKÅNE LÄN</t>
        </is>
      </c>
      <c r="G746" t="inlineStr">
        <is>
          <t>KRISTIANSTAD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45002</v>
      </c>
      <c r="E747" s="1" t="n">
        <v>46324</v>
      </c>
      <c r="F747" t="inlineStr">
        <is>
          <t>SKÅNE LÄN</t>
        </is>
      </c>
      <c r="G747" t="inlineStr">
        <is>
          <t>KRISTIANSTAD</t>
        </is>
      </c>
      <c r="H747" t="inlineStr">
        <is>
          <t>Kyrkan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46276</v>
      </c>
      <c r="E748" s="1" t="n">
        <v>46324</v>
      </c>
      <c r="F748" t="inlineStr">
        <is>
          <t>SKÅNE LÄN</t>
        </is>
      </c>
      <c r="G748" t="inlineStr">
        <is>
          <t>KRISTIANSTAD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39558-2026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46289</v>
      </c>
      <c r="E749" s="1" t="n">
        <v>46324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17025-2025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45755</v>
      </c>
      <c r="E750" s="1" t="n">
        <v>46324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37571-2026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46276</v>
      </c>
      <c r="E751" s="1" t="n">
        <v>46324</v>
      </c>
      <c r="F751" t="inlineStr">
        <is>
          <t>SKÅNE LÄN</t>
        </is>
      </c>
      <c r="G751" t="inlineStr">
        <is>
          <t>KRISTIANSTAD</t>
        </is>
      </c>
      <c r="H751" t="inlineStr">
        <is>
          <t>Sveaskog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45328</v>
      </c>
      <c r="E752" s="1" t="n">
        <v>46324</v>
      </c>
      <c r="F752" t="inlineStr">
        <is>
          <t>SKÅNE LÄN</t>
        </is>
      </c>
      <c r="G752" t="inlineStr">
        <is>
          <t>KRISTIANSTAD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60474-2022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44904</v>
      </c>
      <c r="E753" s="1" t="n">
        <v>46324</v>
      </c>
      <c r="F753" t="inlineStr">
        <is>
          <t>SKÅNE LÄN</t>
        </is>
      </c>
      <c r="G753" t="inlineStr">
        <is>
          <t>KRISTIANSTAD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46504-2022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44847</v>
      </c>
      <c r="E754" s="1" t="n">
        <v>46324</v>
      </c>
      <c r="F754" t="inlineStr">
        <is>
          <t>SKÅNE LÄN</t>
        </is>
      </c>
      <c r="G754" t="inlineStr">
        <is>
          <t>KRISTIANSTAD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46276</v>
      </c>
      <c r="E755" s="1" t="n">
        <v>46324</v>
      </c>
      <c r="F755" t="inlineStr">
        <is>
          <t>SKÅNE LÄN</t>
        </is>
      </c>
      <c r="G755" t="inlineStr">
        <is>
          <t>KRISTIANSTAD</t>
        </is>
      </c>
      <c r="I755" t="n">
        <v>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46276</v>
      </c>
      <c r="E756" s="1" t="n">
        <v>46324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32849-2026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46244</v>
      </c>
      <c r="E757" s="1" t="n">
        <v>46324</v>
      </c>
      <c r="F757" t="inlineStr">
        <is>
          <t>SKÅNE LÄN</t>
        </is>
      </c>
      <c r="G757" t="inlineStr">
        <is>
          <t>KRISTIANSTAD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18735-2024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45426</v>
      </c>
      <c r="E758" s="1" t="n">
        <v>46324</v>
      </c>
      <c r="F758" t="inlineStr">
        <is>
          <t>SKÅNE LÄN</t>
        </is>
      </c>
      <c r="G758" t="inlineStr">
        <is>
          <t>KRISTIANSTAD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62066-2022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44918</v>
      </c>
      <c r="E759" s="1" t="n">
        <v>46324</v>
      </c>
      <c r="F759" t="inlineStr">
        <is>
          <t>SKÅNE LÄN</t>
        </is>
      </c>
      <c r="G759" t="inlineStr">
        <is>
          <t>KRISTIANSTAD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44457-2026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46321</v>
      </c>
      <c r="E760" s="1" t="n">
        <v>46324</v>
      </c>
      <c r="F760" t="inlineStr">
        <is>
          <t>SKÅNE LÄN</t>
        </is>
      </c>
      <c r="G760" t="inlineStr">
        <is>
          <t>KRISTIANSTAD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19532-2023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45049</v>
      </c>
      <c r="E761" s="1" t="n">
        <v>46324</v>
      </c>
      <c r="F761" t="inlineStr">
        <is>
          <t>SKÅNE LÄN</t>
        </is>
      </c>
      <c r="G761" t="inlineStr">
        <is>
          <t>KRISTIANSTAD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38072-2026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46280</v>
      </c>
      <c r="E762" s="1" t="n">
        <v>46324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13263-2024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45386</v>
      </c>
      <c r="E763" s="1" t="n">
        <v>46324</v>
      </c>
      <c r="F763" t="inlineStr">
        <is>
          <t>SKÅNE LÄN</t>
        </is>
      </c>
      <c r="G763" t="inlineStr">
        <is>
          <t>KRISTIANSTAD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12134-2024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45377</v>
      </c>
      <c r="E764" s="1" t="n">
        <v>46324</v>
      </c>
      <c r="F764" t="inlineStr">
        <is>
          <t>SKÅNE LÄN</t>
        </is>
      </c>
      <c r="G764" t="inlineStr">
        <is>
          <t>KRISTIANSTAD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13952-2025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45737</v>
      </c>
      <c r="E765" s="1" t="n">
        <v>46324</v>
      </c>
      <c r="F765" t="inlineStr">
        <is>
          <t>SKÅNE LÄN</t>
        </is>
      </c>
      <c r="G765" t="inlineStr">
        <is>
          <t>KRISTIANSTAD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13972-2025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45738</v>
      </c>
      <c r="E766" s="1" t="n">
        <v>46324</v>
      </c>
      <c r="F766" t="inlineStr">
        <is>
          <t>SKÅNE LÄN</t>
        </is>
      </c>
      <c r="G766" t="inlineStr">
        <is>
          <t>KRISTIANSTAD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44458-2026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46321</v>
      </c>
      <c r="E767" s="1" t="n">
        <v>46324</v>
      </c>
      <c r="F767" t="inlineStr">
        <is>
          <t>SKÅNE LÄN</t>
        </is>
      </c>
      <c r="G767" t="inlineStr">
        <is>
          <t>KRISTIANSTAD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42986-2026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46310</v>
      </c>
      <c r="E768" s="1" t="n">
        <v>46324</v>
      </c>
      <c r="F768" t="inlineStr">
        <is>
          <t>SKÅNE LÄN</t>
        </is>
      </c>
      <c r="G768" t="inlineStr">
        <is>
          <t>KRISTIANSTAD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8718-2021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44501</v>
      </c>
      <c r="E769" s="1" t="n">
        <v>46324</v>
      </c>
      <c r="F769" t="inlineStr">
        <is>
          <t>SKÅNE LÄN</t>
        </is>
      </c>
      <c r="G769" t="inlineStr">
        <is>
          <t>KRISTIANSTAD</t>
        </is>
      </c>
      <c r="I769" t="n">
        <v>20.4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45617</v>
      </c>
      <c r="E770" s="1" t="n">
        <v>46324</v>
      </c>
      <c r="F770" t="inlineStr">
        <is>
          <t>SKÅNE LÄN</t>
        </is>
      </c>
      <c r="G770" t="inlineStr">
        <is>
          <t>KRISTIANSTAD</t>
        </is>
      </c>
      <c r="I770" t="n">
        <v>15.6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558-2023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44970</v>
      </c>
      <c r="E771" s="1" t="n">
        <v>46324</v>
      </c>
      <c r="F771" t="inlineStr">
        <is>
          <t>SKÅNE LÄN</t>
        </is>
      </c>
      <c r="G771" t="inlineStr">
        <is>
          <t>KRISTIANSTAD</t>
        </is>
      </c>
      <c r="H771" t="inlineStr">
        <is>
          <t>Kyrkan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2174-2023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45089</v>
      </c>
      <c r="E772" s="1" t="n">
        <v>46324</v>
      </c>
      <c r="F772" t="inlineStr">
        <is>
          <t>SKÅNE LÄN</t>
        </is>
      </c>
      <c r="G772" t="inlineStr">
        <is>
          <t>KRISTIANSTAD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3004-2022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44713</v>
      </c>
      <c r="E773" s="1" t="n">
        <v>46324</v>
      </c>
      <c r="F773" t="inlineStr">
        <is>
          <t>SKÅNE LÄN</t>
        </is>
      </c>
      <c r="G773" t="inlineStr">
        <is>
          <t>KRISTIANSTAD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46324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46324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46324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46324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46324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46324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46324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46324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46324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2146-2022</t>
        </is>
      </c>
      <c r="B783" t="inlineStr">
        <is>
          <t>samrådsanmälan</t>
        </is>
      </c>
      <c r="C783" t="inlineStr">
        <is>
          <t>Skogsbilväg</t>
        </is>
      </c>
      <c r="D783" s="1" t="n">
        <v>44676</v>
      </c>
      <c r="E783" s="1" t="n">
        <v>46324</v>
      </c>
      <c r="F783" t="inlineStr">
        <is>
          <t>SKÅNE LÄN</t>
        </is>
      </c>
      <c r="G783" t="inlineStr">
        <is>
          <t>KRISTIANSTAD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46324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46324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46324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46324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46324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46324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46324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46324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46324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46324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46324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46324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46324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46324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46324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46324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2026-10-29T03:13:34Z</dcterms:modified>
</cp:coreProperties>
</file>