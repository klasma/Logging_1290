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45564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45564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45564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5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Bechsteins fladdermus
Bokkantlav
Bokvårtlav
Fransfladdermus
Liten lundlav
Fällmossa
Dvärgpipistrell
Större brunfladdermus
Vattenfladdermus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45564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30240-2024</t>
        </is>
      </c>
      <c r="B6" s="1" t="n">
        <v>45490</v>
      </c>
      <c r="C6" s="1" t="n">
        <v>45564</v>
      </c>
      <c r="D6" t="inlineStr">
        <is>
          <t>SKÅNE LÄN</t>
        </is>
      </c>
      <c r="E6" t="inlineStr">
        <is>
          <t>KRISTIANSTAD</t>
        </is>
      </c>
      <c r="G6" t="n">
        <v>8.699999999999999</v>
      </c>
      <c r="H6" t="n">
        <v>2</v>
      </c>
      <c r="I6" t="n">
        <v>7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Ask
Stor tratticka
Lundbräsma
Myskmadra
Piskbaronmossa
Skogsknipprot
Stor häxört
Tibast
Tvåblad</t>
        </is>
      </c>
      <c r="S6">
        <f>HYPERLINK("https://klasma.github.io/Logging_1290/artfynd/A 30240-2024 artfynd.xlsx", "A 30240-2024")</f>
        <v/>
      </c>
      <c r="T6">
        <f>HYPERLINK("https://klasma.github.io/Logging_1290/kartor/A 30240-2024 karta.png", "A 30240-2024")</f>
        <v/>
      </c>
      <c r="V6">
        <f>HYPERLINK("https://klasma.github.io/Logging_1290/klagomål/A 30240-2024 FSC-klagomål.docx", "A 30240-2024")</f>
        <v/>
      </c>
      <c r="W6">
        <f>HYPERLINK("https://klasma.github.io/Logging_1290/klagomålsmail/A 30240-2024 FSC-klagomål mail.docx", "A 30240-2024")</f>
        <v/>
      </c>
      <c r="X6">
        <f>HYPERLINK("https://klasma.github.io/Logging_1290/tillsyn/A 30240-2024 tillsynsbegäran.docx", "A 30240-2024")</f>
        <v/>
      </c>
      <c r="Y6">
        <f>HYPERLINK("https://klasma.github.io/Logging_1290/tillsynsmail/A 30240-2024 tillsynsbegäran mail.docx", "A 30240-2024")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45564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4</v>
      </c>
      <c r="I7" t="n">
        <v>0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Fältpiplärka
Tofsäxing
Hedblomster
Backtimjan
Hedsidenbi
Trädlärka
Törnskata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  <c r="Z7">
        <f>HYPERLINK("https://klasma.github.io/Logging_1290/fåglar/A 27942-2023 prioriterade fågelarter.docx", "A 27942-2023")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45564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33728-2020</t>
        </is>
      </c>
      <c r="B9" s="1" t="n">
        <v>44022</v>
      </c>
      <c r="C9" s="1" t="n">
        <v>45564</v>
      </c>
      <c r="D9" t="inlineStr">
        <is>
          <t>SKÅNE LÄN</t>
        </is>
      </c>
      <c r="E9" t="inlineStr">
        <is>
          <t>KRISTIANSTAD</t>
        </is>
      </c>
      <c r="F9" t="inlineStr">
        <is>
          <t>Övriga Aktiebolag</t>
        </is>
      </c>
      <c r="G9" t="n">
        <v>17.3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Crunoecia irrorata
Entita
Spillkråka
Talltita
Myskmadra
Mindre vattensalamander</t>
        </is>
      </c>
      <c r="S9">
        <f>HYPERLINK("https://klasma.github.io/Logging_1290/artfynd/A 33728-2020 artfynd.xlsx", "A 33728-2020")</f>
        <v/>
      </c>
      <c r="T9">
        <f>HYPERLINK("https://klasma.github.io/Logging_1290/kartor/A 33728-2020 karta.png", "A 33728-2020")</f>
        <v/>
      </c>
      <c r="V9">
        <f>HYPERLINK("https://klasma.github.io/Logging_1290/klagomål/A 33728-2020 FSC-klagomål.docx", "A 33728-2020")</f>
        <v/>
      </c>
      <c r="W9">
        <f>HYPERLINK("https://klasma.github.io/Logging_1290/klagomålsmail/A 33728-2020 FSC-klagomål mail.docx", "A 33728-2020")</f>
        <v/>
      </c>
      <c r="X9">
        <f>HYPERLINK("https://klasma.github.io/Logging_1290/tillsyn/A 33728-2020 tillsynsbegäran.docx", "A 33728-2020")</f>
        <v/>
      </c>
      <c r="Y9">
        <f>HYPERLINK("https://klasma.github.io/Logging_1290/tillsynsmail/A 33728-2020 tillsynsbegäran mail.docx", "A 33728-2020")</f>
        <v/>
      </c>
      <c r="Z9">
        <f>HYPERLINK("https://klasma.github.io/Logging_1290/fåglar/A 33728-2020 prioriterade fågelarter.docx", "A 33728-2020")</f>
        <v/>
      </c>
    </row>
    <row r="10" ht="15" customHeight="1">
      <c r="A10" t="inlineStr">
        <is>
          <t>A 22967-2021</t>
        </is>
      </c>
      <c r="B10" s="1" t="n">
        <v>44328</v>
      </c>
      <c r="C10" s="1" t="n">
        <v>45564</v>
      </c>
      <c r="D10" t="inlineStr">
        <is>
          <t>SKÅNE LÄN</t>
        </is>
      </c>
      <c r="E10" t="inlineStr">
        <is>
          <t>KRISTIANSTAD</t>
        </is>
      </c>
      <c r="G10" t="n">
        <v>3.1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Gullklöver
Gulsparv
Talltita
Järnsparv
Kungsfågel
Törnskata</t>
        </is>
      </c>
      <c r="S10">
        <f>HYPERLINK("https://klasma.github.io/Logging_1290/artfynd/A 22967-2021 artfynd.xlsx", "A 22967-2021")</f>
        <v/>
      </c>
      <c r="T10">
        <f>HYPERLINK("https://klasma.github.io/Logging_1290/kartor/A 22967-2021 karta.png", "A 22967-2021")</f>
        <v/>
      </c>
      <c r="V10">
        <f>HYPERLINK("https://klasma.github.io/Logging_1290/klagomål/A 22967-2021 FSC-klagomål.docx", "A 22967-2021")</f>
        <v/>
      </c>
      <c r="W10">
        <f>HYPERLINK("https://klasma.github.io/Logging_1290/klagomålsmail/A 22967-2021 FSC-klagomål mail.docx", "A 22967-2021")</f>
        <v/>
      </c>
      <c r="X10">
        <f>HYPERLINK("https://klasma.github.io/Logging_1290/tillsyn/A 22967-2021 tillsynsbegäran.docx", "A 22967-2021")</f>
        <v/>
      </c>
      <c r="Y10">
        <f>HYPERLINK("https://klasma.github.io/Logging_1290/tillsynsmail/A 22967-2021 tillsynsbegäran mail.docx", "A 22967-2021")</f>
        <v/>
      </c>
      <c r="Z10">
        <f>HYPERLINK("https://klasma.github.io/Logging_1290/fåglar/A 22967-2021 prioriterade fågelarter.docx", "A 22967-2021")</f>
        <v/>
      </c>
    </row>
    <row r="11" ht="15" customHeight="1">
      <c r="A11" t="inlineStr">
        <is>
          <t>A 52019-2021</t>
        </is>
      </c>
      <c r="B11" s="1" t="n">
        <v>44463</v>
      </c>
      <c r="C11" s="1" t="n">
        <v>45564</v>
      </c>
      <c r="D11" t="inlineStr">
        <is>
          <t>SKÅNE LÄN</t>
        </is>
      </c>
      <c r="E11" t="inlineStr">
        <is>
          <t>KRISTIANSTAD</t>
        </is>
      </c>
      <c r="G11" t="n">
        <v>7.6</v>
      </c>
      <c r="H11" t="n">
        <v>6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Entita
Grönsiska
Järnsparv
Kungsfågel
Skogsduva
Gullviva</t>
        </is>
      </c>
      <c r="S11">
        <f>HYPERLINK("https://klasma.github.io/Logging_1290/artfynd/A 52019-2021 artfynd.xlsx", "A 52019-2021")</f>
        <v/>
      </c>
      <c r="T11">
        <f>HYPERLINK("https://klasma.github.io/Logging_1290/kartor/A 52019-2021 karta.png", "A 52019-2021")</f>
        <v/>
      </c>
      <c r="V11">
        <f>HYPERLINK("https://klasma.github.io/Logging_1290/klagomål/A 52019-2021 FSC-klagomål.docx", "A 52019-2021")</f>
        <v/>
      </c>
      <c r="W11">
        <f>HYPERLINK("https://klasma.github.io/Logging_1290/klagomålsmail/A 52019-2021 FSC-klagomål mail.docx", "A 52019-2021")</f>
        <v/>
      </c>
      <c r="X11">
        <f>HYPERLINK("https://klasma.github.io/Logging_1290/tillsyn/A 52019-2021 tillsynsbegäran.docx", "A 52019-2021")</f>
        <v/>
      </c>
      <c r="Y11">
        <f>HYPERLINK("https://klasma.github.io/Logging_1290/tillsynsmail/A 52019-2021 tillsynsbegäran mail.docx", "A 52019-2021")</f>
        <v/>
      </c>
      <c r="Z11">
        <f>HYPERLINK("https://klasma.github.io/Logging_1290/fåglar/A 52019-2021 prioriterade fågelarter.docx", "A 52019-2021")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45564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23366-2019</t>
        </is>
      </c>
      <c r="B13" s="1" t="n">
        <v>43593</v>
      </c>
      <c r="C13" s="1" t="n">
        <v>45564</v>
      </c>
      <c r="D13" t="inlineStr">
        <is>
          <t>SKÅNE LÄN</t>
        </is>
      </c>
      <c r="E13" t="inlineStr">
        <is>
          <t>KRISTIANSTAD</t>
        </is>
      </c>
      <c r="F13" t="inlineStr">
        <is>
          <t>Kommuner</t>
        </is>
      </c>
      <c r="G13" t="n">
        <v>2.1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Hedblomster
Svartfläckig blåvinge
Ängsmetallvinge</t>
        </is>
      </c>
      <c r="S13">
        <f>HYPERLINK("https://klasma.github.io/Logging_1290/artfynd/A 23366-2019 artfynd.xlsx", "A 23366-2019")</f>
        <v/>
      </c>
      <c r="T13">
        <f>HYPERLINK("https://klasma.github.io/Logging_1290/kartor/A 23366-2019 karta.png", "A 23366-2019")</f>
        <v/>
      </c>
      <c r="V13">
        <f>HYPERLINK("https://klasma.github.io/Logging_1290/klagomål/A 23366-2019 FSC-klagomål.docx", "A 23366-2019")</f>
        <v/>
      </c>
      <c r="W13">
        <f>HYPERLINK("https://klasma.github.io/Logging_1290/klagomålsmail/A 23366-2019 FSC-klagomål mail.docx", "A 23366-2019")</f>
        <v/>
      </c>
      <c r="X13">
        <f>HYPERLINK("https://klasma.github.io/Logging_1290/tillsyn/A 23366-2019 tillsynsbegäran.docx", "A 23366-2019")</f>
        <v/>
      </c>
      <c r="Y13">
        <f>HYPERLINK("https://klasma.github.io/Logging_1290/tillsynsmail/A 23366-2019 tillsynsbegäran mail.docx", "A 23366-2019")</f>
        <v/>
      </c>
    </row>
    <row r="14" ht="15" customHeight="1">
      <c r="A14" t="inlineStr">
        <is>
          <t>A 30682-2020</t>
        </is>
      </c>
      <c r="B14" s="1" t="n">
        <v>44008</v>
      </c>
      <c r="C14" s="1" t="n">
        <v>45564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0.9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Stortapetserarbi
Ängsmetallvinge</t>
        </is>
      </c>
      <c r="S14">
        <f>HYPERLINK("https://klasma.github.io/Logging_1290/artfynd/A 30682-2020 artfynd.xlsx", "A 30682-2020")</f>
        <v/>
      </c>
      <c r="T14">
        <f>HYPERLINK("https://klasma.github.io/Logging_1290/kartor/A 30682-2020 karta.png", "A 30682-2020")</f>
        <v/>
      </c>
      <c r="V14">
        <f>HYPERLINK("https://klasma.github.io/Logging_1290/klagomål/A 30682-2020 FSC-klagomål.docx", "A 30682-2020")</f>
        <v/>
      </c>
      <c r="W14">
        <f>HYPERLINK("https://klasma.github.io/Logging_1290/klagomålsmail/A 30682-2020 FSC-klagomål mail.docx", "A 30682-2020")</f>
        <v/>
      </c>
      <c r="X14">
        <f>HYPERLINK("https://klasma.github.io/Logging_1290/tillsyn/A 30682-2020 tillsynsbegäran.docx", "A 30682-2020")</f>
        <v/>
      </c>
      <c r="Y14">
        <f>HYPERLINK("https://klasma.github.io/Logging_1290/tillsynsmail/A 30682-2020 tillsynsbegäran mail.docx", "A 30682-2020")</f>
        <v/>
      </c>
    </row>
    <row r="15" ht="15" customHeight="1">
      <c r="A15" t="inlineStr">
        <is>
          <t>A 22968-2021</t>
        </is>
      </c>
      <c r="B15" s="1" t="n">
        <v>44328</v>
      </c>
      <c r="C15" s="1" t="n">
        <v>45564</v>
      </c>
      <c r="D15" t="inlineStr">
        <is>
          <t>SKÅNE LÄN</t>
        </is>
      </c>
      <c r="E15" t="inlineStr">
        <is>
          <t>KRISTIANSTAD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Prakttagging
Tallticka
Grönsiska</t>
        </is>
      </c>
      <c r="S15">
        <f>HYPERLINK("https://klasma.github.io/Logging_1290/artfynd/A 22968-2021 artfynd.xlsx", "A 22968-2021")</f>
        <v/>
      </c>
      <c r="T15">
        <f>HYPERLINK("https://klasma.github.io/Logging_1290/kartor/A 22968-2021 karta.png", "A 22968-2021")</f>
        <v/>
      </c>
      <c r="V15">
        <f>HYPERLINK("https://klasma.github.io/Logging_1290/klagomål/A 22968-2021 FSC-klagomål.docx", "A 22968-2021")</f>
        <v/>
      </c>
      <c r="W15">
        <f>HYPERLINK("https://klasma.github.io/Logging_1290/klagomålsmail/A 22968-2021 FSC-klagomål mail.docx", "A 22968-2021")</f>
        <v/>
      </c>
      <c r="X15">
        <f>HYPERLINK("https://klasma.github.io/Logging_1290/tillsyn/A 22968-2021 tillsynsbegäran.docx", "A 22968-2021")</f>
        <v/>
      </c>
      <c r="Y15">
        <f>HYPERLINK("https://klasma.github.io/Logging_1290/tillsynsmail/A 22968-2021 tillsynsbegäran mail.docx", "A 22968-2021")</f>
        <v/>
      </c>
      <c r="Z15">
        <f>HYPERLINK("https://klasma.github.io/Logging_1290/fåglar/A 22968-2021 prioriterade fågelarter.docx", "A 22968-2021")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45564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45564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54542-2021</t>
        </is>
      </c>
      <c r="B18" s="1" t="n">
        <v>44473</v>
      </c>
      <c r="C18" s="1" t="n">
        <v>45564</v>
      </c>
      <c r="D18" t="inlineStr">
        <is>
          <t>SKÅNE LÄN</t>
        </is>
      </c>
      <c r="E18" t="inlineStr">
        <is>
          <t>KRISTIANSTAD</t>
        </is>
      </c>
      <c r="G18" t="n">
        <v>9.6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Havsörn
Tallticka
Grovticka</t>
        </is>
      </c>
      <c r="S18">
        <f>HYPERLINK("https://klasma.github.io/Logging_1290/artfynd/A 54542-2021 artfynd.xlsx", "A 54542-2021")</f>
        <v/>
      </c>
      <c r="T18">
        <f>HYPERLINK("https://klasma.github.io/Logging_1290/kartor/A 54542-2021 karta.png", "A 54542-2021")</f>
        <v/>
      </c>
      <c r="V18">
        <f>HYPERLINK("https://klasma.github.io/Logging_1290/klagomål/A 54542-2021 FSC-klagomål.docx", "A 54542-2021")</f>
        <v/>
      </c>
      <c r="W18">
        <f>HYPERLINK("https://klasma.github.io/Logging_1290/klagomålsmail/A 54542-2021 FSC-klagomål mail.docx", "A 54542-2021")</f>
        <v/>
      </c>
      <c r="X18">
        <f>HYPERLINK("https://klasma.github.io/Logging_1290/tillsyn/A 54542-2021 tillsynsbegäran.docx", "A 54542-2021")</f>
        <v/>
      </c>
      <c r="Y18">
        <f>HYPERLINK("https://klasma.github.io/Logging_1290/tillsynsmail/A 54542-2021 tillsynsbegäran mail.docx", "A 54542-2021")</f>
        <v/>
      </c>
      <c r="Z18">
        <f>HYPERLINK("https://klasma.github.io/Logging_1290/fåglar/A 54542-2021 prioriterade fågelarter.docx", "A 54542-2021")</f>
        <v/>
      </c>
    </row>
    <row r="19" ht="15" customHeight="1">
      <c r="A19" t="inlineStr">
        <is>
          <t>A 40509-2022</t>
        </is>
      </c>
      <c r="B19" s="1" t="n">
        <v>44823</v>
      </c>
      <c r="C19" s="1" t="n">
        <v>45564</v>
      </c>
      <c r="D19" t="inlineStr">
        <is>
          <t>SKÅNE LÄN</t>
        </is>
      </c>
      <c r="E19" t="inlineStr">
        <is>
          <t>KRISTIANSTAD</t>
        </is>
      </c>
      <c r="F19" t="inlineStr">
        <is>
          <t>Sveaskog</t>
        </is>
      </c>
      <c r="G19" t="n">
        <v>1.8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Småvänderot
Skogslysing
Svart trolldruva</t>
        </is>
      </c>
      <c r="S19">
        <f>HYPERLINK("https://klasma.github.io/Logging_1290/artfynd/A 40509-2022 artfynd.xlsx", "A 40509-2022")</f>
        <v/>
      </c>
      <c r="T19">
        <f>HYPERLINK("https://klasma.github.io/Logging_1290/kartor/A 40509-2022 karta.png", "A 40509-2022")</f>
        <v/>
      </c>
      <c r="V19">
        <f>HYPERLINK("https://klasma.github.io/Logging_1290/klagomål/A 40509-2022 FSC-klagomål.docx", "A 40509-2022")</f>
        <v/>
      </c>
      <c r="W19">
        <f>HYPERLINK("https://klasma.github.io/Logging_1290/klagomålsmail/A 40509-2022 FSC-klagomål mail.docx", "A 40509-2022")</f>
        <v/>
      </c>
      <c r="X19">
        <f>HYPERLINK("https://klasma.github.io/Logging_1290/tillsyn/A 40509-2022 tillsynsbegäran.docx", "A 40509-2022")</f>
        <v/>
      </c>
      <c r="Y19">
        <f>HYPERLINK("https://klasma.github.io/Logging_1290/tillsynsmail/A 40509-2022 tillsynsbegäran mail.docx", "A 40509-2022")</f>
        <v/>
      </c>
    </row>
    <row r="20" ht="15" customHeight="1">
      <c r="A20" t="inlineStr">
        <is>
          <t>A 12576-2023</t>
        </is>
      </c>
      <c r="B20" s="1" t="n">
        <v>45000</v>
      </c>
      <c r="C20" s="1" t="n">
        <v>45564</v>
      </c>
      <c r="D20" t="inlineStr">
        <is>
          <t>SKÅNE LÄN</t>
        </is>
      </c>
      <c r="E20" t="inlineStr">
        <is>
          <t>KRISTIANSTAD</t>
        </is>
      </c>
      <c r="G20" t="n">
        <v>5.8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Bukspolsnäcka
Lamellsnäcka
Tandsnäcka</t>
        </is>
      </c>
      <c r="S20">
        <f>HYPERLINK("https://klasma.github.io/Logging_1290/artfynd/A 12576-2023 artfynd.xlsx", "A 12576-2023")</f>
        <v/>
      </c>
      <c r="T20">
        <f>HYPERLINK("https://klasma.github.io/Logging_1290/kartor/A 12576-2023 karta.png", "A 12576-2023")</f>
        <v/>
      </c>
      <c r="V20">
        <f>HYPERLINK("https://klasma.github.io/Logging_1290/klagomål/A 12576-2023 FSC-klagomål.docx", "A 12576-2023")</f>
        <v/>
      </c>
      <c r="W20">
        <f>HYPERLINK("https://klasma.github.io/Logging_1290/klagomålsmail/A 12576-2023 FSC-klagomål mail.docx", "A 12576-2023")</f>
        <v/>
      </c>
      <c r="X20">
        <f>HYPERLINK("https://klasma.github.io/Logging_1290/tillsyn/A 12576-2023 tillsynsbegäran.docx", "A 12576-2023")</f>
        <v/>
      </c>
      <c r="Y20">
        <f>HYPERLINK("https://klasma.github.io/Logging_1290/tillsynsmail/A 12576-2023 tillsynsbegäran mail.docx", "A 12576-2023")</f>
        <v/>
      </c>
    </row>
    <row r="21" ht="15" customHeight="1">
      <c r="A21" t="inlineStr">
        <is>
          <t>A 38703-2023</t>
        </is>
      </c>
      <c r="B21" s="1" t="n">
        <v>45163</v>
      </c>
      <c r="C21" s="1" t="n">
        <v>45564</v>
      </c>
      <c r="D21" t="inlineStr">
        <is>
          <t>SKÅNE LÄN</t>
        </is>
      </c>
      <c r="E21" t="inlineStr">
        <is>
          <t>KRISTIANSTAD</t>
        </is>
      </c>
      <c r="G21" t="n">
        <v>7.6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Backtimjan
Spillkråka
Törnskata</t>
        </is>
      </c>
      <c r="S21">
        <f>HYPERLINK("https://klasma.github.io/Logging_1290/artfynd/A 38703-2023 artfynd.xlsx", "A 38703-2023")</f>
        <v/>
      </c>
      <c r="T21">
        <f>HYPERLINK("https://klasma.github.io/Logging_1290/kartor/A 38703-2023 karta.png", "A 38703-2023")</f>
        <v/>
      </c>
      <c r="V21">
        <f>HYPERLINK("https://klasma.github.io/Logging_1290/klagomål/A 38703-2023 FSC-klagomål.docx", "A 38703-2023")</f>
        <v/>
      </c>
      <c r="W21">
        <f>HYPERLINK("https://klasma.github.io/Logging_1290/klagomålsmail/A 38703-2023 FSC-klagomål mail.docx", "A 38703-2023")</f>
        <v/>
      </c>
      <c r="X21">
        <f>HYPERLINK("https://klasma.github.io/Logging_1290/tillsyn/A 38703-2023 tillsynsbegäran.docx", "A 38703-2023")</f>
        <v/>
      </c>
      <c r="Y21">
        <f>HYPERLINK("https://klasma.github.io/Logging_1290/tillsynsmail/A 38703-2023 tillsynsbegäran mail.docx", "A 38703-2023")</f>
        <v/>
      </c>
      <c r="Z21">
        <f>HYPERLINK("https://klasma.github.io/Logging_1290/fåglar/A 38703-2023 prioriterade fågelarter.docx", "A 38703-2023")</f>
        <v/>
      </c>
    </row>
    <row r="22" ht="15" customHeight="1">
      <c r="A22" t="inlineStr">
        <is>
          <t>A 2888-2024</t>
        </is>
      </c>
      <c r="B22" s="1" t="n">
        <v>45315</v>
      </c>
      <c r="C22" s="1" t="n">
        <v>45564</v>
      </c>
      <c r="D22" t="inlineStr">
        <is>
          <t>SKÅNE LÄN</t>
        </is>
      </c>
      <c r="E22" t="inlineStr">
        <is>
          <t>KRISTIANSTAD</t>
        </is>
      </c>
      <c r="G22" t="n">
        <v>10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Flenörtskapuschongfly
Kransrams
Stor häxört</t>
        </is>
      </c>
      <c r="S22">
        <f>HYPERLINK("https://klasma.github.io/Logging_1290/artfynd/A 2888-2024 artfynd.xlsx", "A 2888-2024")</f>
        <v/>
      </c>
      <c r="T22">
        <f>HYPERLINK("https://klasma.github.io/Logging_1290/kartor/A 2888-2024 karta.png", "A 2888-2024")</f>
        <v/>
      </c>
      <c r="V22">
        <f>HYPERLINK("https://klasma.github.io/Logging_1290/klagomål/A 2888-2024 FSC-klagomål.docx", "A 2888-2024")</f>
        <v/>
      </c>
      <c r="W22">
        <f>HYPERLINK("https://klasma.github.io/Logging_1290/klagomålsmail/A 2888-2024 FSC-klagomål mail.docx", "A 2888-2024")</f>
        <v/>
      </c>
      <c r="X22">
        <f>HYPERLINK("https://klasma.github.io/Logging_1290/tillsyn/A 2888-2024 tillsynsbegäran.docx", "A 2888-2024")</f>
        <v/>
      </c>
      <c r="Y22">
        <f>HYPERLINK("https://klasma.github.io/Logging_1290/tillsynsmail/A 2888-2024 tillsynsbegäran mail.docx", "A 2888-2024")</f>
        <v/>
      </c>
    </row>
    <row r="23" ht="15" customHeight="1">
      <c r="A23" t="inlineStr">
        <is>
          <t>A 21117-2021</t>
        </is>
      </c>
      <c r="B23" s="1" t="n">
        <v>44319</v>
      </c>
      <c r="C23" s="1" t="n">
        <v>45564</v>
      </c>
      <c r="D23" t="inlineStr">
        <is>
          <t>SKÅNE LÄN</t>
        </is>
      </c>
      <c r="E23" t="inlineStr">
        <is>
          <t>KRISTIANSTAD</t>
        </is>
      </c>
      <c r="G23" t="n">
        <v>22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Revlummer</t>
        </is>
      </c>
      <c r="S23">
        <f>HYPERLINK("https://klasma.github.io/Logging_1290/artfynd/A 21117-2021 artfynd.xlsx", "A 21117-2021")</f>
        <v/>
      </c>
      <c r="T23">
        <f>HYPERLINK("https://klasma.github.io/Logging_1290/kartor/A 21117-2021 karta.png", "A 21117-2021")</f>
        <v/>
      </c>
      <c r="V23">
        <f>HYPERLINK("https://klasma.github.io/Logging_1290/klagomål/A 21117-2021 FSC-klagomål.docx", "A 21117-2021")</f>
        <v/>
      </c>
      <c r="W23">
        <f>HYPERLINK("https://klasma.github.io/Logging_1290/klagomålsmail/A 21117-2021 FSC-klagomål mail.docx", "A 21117-2021")</f>
        <v/>
      </c>
      <c r="X23">
        <f>HYPERLINK("https://klasma.github.io/Logging_1290/tillsyn/A 21117-2021 tillsynsbegäran.docx", "A 21117-2021")</f>
        <v/>
      </c>
      <c r="Y23">
        <f>HYPERLINK("https://klasma.github.io/Logging_1290/tillsynsmail/A 21117-2021 tillsynsbegäran mail.docx", "A 21117-2021")</f>
        <v/>
      </c>
    </row>
    <row r="24" ht="15" customHeight="1">
      <c r="A24" t="inlineStr">
        <is>
          <t>A 52010-2021</t>
        </is>
      </c>
      <c r="B24" s="1" t="n">
        <v>44463</v>
      </c>
      <c r="C24" s="1" t="n">
        <v>45564</v>
      </c>
      <c r="D24" t="inlineStr">
        <is>
          <t>SKÅNE LÄN</t>
        </is>
      </c>
      <c r="E24" t="inlineStr">
        <is>
          <t>KRISTIANSTAD</t>
        </is>
      </c>
      <c r="G24" t="n">
        <v>2.9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Grönsångare
Gullviva</t>
        </is>
      </c>
      <c r="S24">
        <f>HYPERLINK("https://klasma.github.io/Logging_1290/artfynd/A 52010-2021 artfynd.xlsx", "A 52010-2021")</f>
        <v/>
      </c>
      <c r="T24">
        <f>HYPERLINK("https://klasma.github.io/Logging_1290/kartor/A 52010-2021 karta.png", "A 52010-2021")</f>
        <v/>
      </c>
      <c r="V24">
        <f>HYPERLINK("https://klasma.github.io/Logging_1290/klagomål/A 52010-2021 FSC-klagomål.docx", "A 52010-2021")</f>
        <v/>
      </c>
      <c r="W24">
        <f>HYPERLINK("https://klasma.github.io/Logging_1290/klagomålsmail/A 52010-2021 FSC-klagomål mail.docx", "A 52010-2021")</f>
        <v/>
      </c>
      <c r="X24">
        <f>HYPERLINK("https://klasma.github.io/Logging_1290/tillsyn/A 52010-2021 tillsynsbegäran.docx", "A 52010-2021")</f>
        <v/>
      </c>
      <c r="Y24">
        <f>HYPERLINK("https://klasma.github.io/Logging_1290/tillsynsmail/A 52010-2021 tillsynsbegäran mail.docx", "A 52010-2021")</f>
        <v/>
      </c>
      <c r="Z24">
        <f>HYPERLINK("https://klasma.github.io/Logging_1290/fåglar/A 52010-2021 prioriterade fågelarter.docx", "A 52010-2021")</f>
        <v/>
      </c>
    </row>
    <row r="25" ht="15" customHeight="1">
      <c r="A25" t="inlineStr">
        <is>
          <t>A 59690-2021</t>
        </is>
      </c>
      <c r="B25" s="1" t="n">
        <v>44494</v>
      </c>
      <c r="C25" s="1" t="n">
        <v>45564</v>
      </c>
      <c r="D25" t="inlineStr">
        <is>
          <t>SKÅNE LÄN</t>
        </is>
      </c>
      <c r="E25" t="inlineStr">
        <is>
          <t>KRISTIANSTAD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Lundvårlök
Grönvit nattviol</t>
        </is>
      </c>
      <c r="S25">
        <f>HYPERLINK("https://klasma.github.io/Logging_1290/artfynd/A 59690-2021 artfynd.xlsx", "A 59690-2021")</f>
        <v/>
      </c>
      <c r="T25">
        <f>HYPERLINK("https://klasma.github.io/Logging_1290/kartor/A 59690-2021 karta.png", "A 59690-2021")</f>
        <v/>
      </c>
      <c r="V25">
        <f>HYPERLINK("https://klasma.github.io/Logging_1290/klagomål/A 59690-2021 FSC-klagomål.docx", "A 59690-2021")</f>
        <v/>
      </c>
      <c r="W25">
        <f>HYPERLINK("https://klasma.github.io/Logging_1290/klagomålsmail/A 59690-2021 FSC-klagomål mail.docx", "A 59690-2021")</f>
        <v/>
      </c>
      <c r="X25">
        <f>HYPERLINK("https://klasma.github.io/Logging_1290/tillsyn/A 59690-2021 tillsynsbegäran.docx", "A 59690-2021")</f>
        <v/>
      </c>
      <c r="Y25">
        <f>HYPERLINK("https://klasma.github.io/Logging_1290/tillsynsmail/A 59690-2021 tillsynsbegäran mail.docx", "A 59690-2021")</f>
        <v/>
      </c>
    </row>
    <row r="26" ht="15" customHeight="1">
      <c r="A26" t="inlineStr">
        <is>
          <t>A 30842-2022</t>
        </is>
      </c>
      <c r="B26" s="1" t="n">
        <v>44767</v>
      </c>
      <c r="C26" s="1" t="n">
        <v>45564</v>
      </c>
      <c r="D26" t="inlineStr">
        <is>
          <t>SKÅNE LÄN</t>
        </is>
      </c>
      <c r="E26" t="inlineStr">
        <is>
          <t>KRISTIANSTAD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Småvänderot
Större vattensalamander</t>
        </is>
      </c>
      <c r="S26">
        <f>HYPERLINK("https://klasma.github.io/Logging_1290/artfynd/A 30842-2022 artfynd.xlsx", "A 30842-2022")</f>
        <v/>
      </c>
      <c r="T26">
        <f>HYPERLINK("https://klasma.github.io/Logging_1290/kartor/A 30842-2022 karta.png", "A 30842-2022")</f>
        <v/>
      </c>
      <c r="V26">
        <f>HYPERLINK("https://klasma.github.io/Logging_1290/klagomål/A 30842-2022 FSC-klagomål.docx", "A 30842-2022")</f>
        <v/>
      </c>
      <c r="W26">
        <f>HYPERLINK("https://klasma.github.io/Logging_1290/klagomålsmail/A 30842-2022 FSC-klagomål mail.docx", "A 30842-2022")</f>
        <v/>
      </c>
      <c r="X26">
        <f>HYPERLINK("https://klasma.github.io/Logging_1290/tillsyn/A 30842-2022 tillsynsbegäran.docx", "A 30842-2022")</f>
        <v/>
      </c>
      <c r="Y26">
        <f>HYPERLINK("https://klasma.github.io/Logging_1290/tillsynsmail/A 30842-2022 tillsynsbegäran mail.docx", "A 30842-2022")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45564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45564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33364-2023</t>
        </is>
      </c>
      <c r="B29" s="1" t="n">
        <v>45128</v>
      </c>
      <c r="C29" s="1" t="n">
        <v>45564</v>
      </c>
      <c r="D29" t="inlineStr">
        <is>
          <t>SKÅNE LÄN</t>
        </is>
      </c>
      <c r="E29" t="inlineStr">
        <is>
          <t>KRISTIANSTAD</t>
        </is>
      </c>
      <c r="G29" t="n">
        <v>4.9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Västlig hakmossa
Större vattensalamander</t>
        </is>
      </c>
      <c r="S29">
        <f>HYPERLINK("https://klasma.github.io/Logging_1290/artfynd/A 33364-2023 artfynd.xlsx", "A 33364-2023")</f>
        <v/>
      </c>
      <c r="T29">
        <f>HYPERLINK("https://klasma.github.io/Logging_1290/kartor/A 33364-2023 karta.png", "A 33364-2023")</f>
        <v/>
      </c>
      <c r="V29">
        <f>HYPERLINK("https://klasma.github.io/Logging_1290/klagomål/A 33364-2023 FSC-klagomål.docx", "A 33364-2023")</f>
        <v/>
      </c>
      <c r="W29">
        <f>HYPERLINK("https://klasma.github.io/Logging_1290/klagomålsmail/A 33364-2023 FSC-klagomål mail.docx", "A 33364-2023")</f>
        <v/>
      </c>
      <c r="X29">
        <f>HYPERLINK("https://klasma.github.io/Logging_1290/tillsyn/A 33364-2023 tillsynsbegäran.docx", "A 33364-2023")</f>
        <v/>
      </c>
      <c r="Y29">
        <f>HYPERLINK("https://klasma.github.io/Logging_1290/tillsynsmail/A 33364-2023 tillsynsbegäran mail.docx", "A 33364-2023")</f>
        <v/>
      </c>
    </row>
    <row r="30" ht="15" customHeight="1">
      <c r="A30" t="inlineStr">
        <is>
          <t>A 44585-2023</t>
        </is>
      </c>
      <c r="B30" s="1" t="n">
        <v>45189</v>
      </c>
      <c r="C30" s="1" t="n">
        <v>45564</v>
      </c>
      <c r="D30" t="inlineStr">
        <is>
          <t>SKÅNE LÄN</t>
        </is>
      </c>
      <c r="E30" t="inlineStr">
        <is>
          <t>KRISTIANSTAD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Piskbaronmossa
Kopparödla</t>
        </is>
      </c>
      <c r="S30">
        <f>HYPERLINK("https://klasma.github.io/Logging_1290/artfynd/A 44585-2023 artfynd.xlsx", "A 44585-2023")</f>
        <v/>
      </c>
      <c r="T30">
        <f>HYPERLINK("https://klasma.github.io/Logging_1290/kartor/A 44585-2023 karta.png", "A 44585-2023")</f>
        <v/>
      </c>
      <c r="V30">
        <f>HYPERLINK("https://klasma.github.io/Logging_1290/klagomål/A 44585-2023 FSC-klagomål.docx", "A 44585-2023")</f>
        <v/>
      </c>
      <c r="W30">
        <f>HYPERLINK("https://klasma.github.io/Logging_1290/klagomålsmail/A 44585-2023 FSC-klagomål mail.docx", "A 44585-2023")</f>
        <v/>
      </c>
      <c r="X30">
        <f>HYPERLINK("https://klasma.github.io/Logging_1290/tillsyn/A 44585-2023 tillsynsbegäran.docx", "A 44585-2023")</f>
        <v/>
      </c>
      <c r="Y30">
        <f>HYPERLINK("https://klasma.github.io/Logging_1290/tillsynsmail/A 44585-2023 tillsynsbegäran mail.docx", "A 44585-2023")</f>
        <v/>
      </c>
    </row>
    <row r="31" ht="15" customHeight="1">
      <c r="A31" t="inlineStr">
        <is>
          <t>A 1415-2024</t>
        </is>
      </c>
      <c r="B31" s="1" t="n">
        <v>45303</v>
      </c>
      <c r="C31" s="1" t="n">
        <v>45564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3.1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Liten stinksvamp
Rutbläcksvamp</t>
        </is>
      </c>
      <c r="S31">
        <f>HYPERLINK("https://klasma.github.io/Logging_1290/artfynd/A 1415-2024 artfynd.xlsx", "A 1415-2024")</f>
        <v/>
      </c>
      <c r="T31">
        <f>HYPERLINK("https://klasma.github.io/Logging_1290/kartor/A 1415-2024 karta.png", "A 1415-2024")</f>
        <v/>
      </c>
      <c r="V31">
        <f>HYPERLINK("https://klasma.github.io/Logging_1290/klagomål/A 1415-2024 FSC-klagomål.docx", "A 1415-2024")</f>
        <v/>
      </c>
      <c r="W31">
        <f>HYPERLINK("https://klasma.github.io/Logging_1290/klagomålsmail/A 1415-2024 FSC-klagomål mail.docx", "A 1415-2024")</f>
        <v/>
      </c>
      <c r="X31">
        <f>HYPERLINK("https://klasma.github.io/Logging_1290/tillsyn/A 1415-2024 tillsynsbegäran.docx", "A 1415-2024")</f>
        <v/>
      </c>
      <c r="Y31">
        <f>HYPERLINK("https://klasma.github.io/Logging_1290/tillsynsmail/A 1415-2024 tillsynsbegäran mail.docx", "A 1415-2024")</f>
        <v/>
      </c>
    </row>
    <row r="32" ht="15" customHeight="1">
      <c r="A32" t="inlineStr">
        <is>
          <t>A 10017-2024</t>
        </is>
      </c>
      <c r="B32" s="1" t="n">
        <v>45363</v>
      </c>
      <c r="C32" s="1" t="n">
        <v>45564</v>
      </c>
      <c r="D32" t="inlineStr">
        <is>
          <t>SKÅNE LÄN</t>
        </is>
      </c>
      <c r="E32" t="inlineStr">
        <is>
          <t>KRISTIANSTAD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Ögonpyrola</t>
        </is>
      </c>
      <c r="S32">
        <f>HYPERLINK("https://klasma.github.io/Logging_1290/artfynd/A 10017-2024 artfynd.xlsx", "A 10017-2024")</f>
        <v/>
      </c>
      <c r="T32">
        <f>HYPERLINK("https://klasma.github.io/Logging_1290/kartor/A 10017-2024 karta.png", "A 10017-2024")</f>
        <v/>
      </c>
      <c r="V32">
        <f>HYPERLINK("https://klasma.github.io/Logging_1290/klagomål/A 10017-2024 FSC-klagomål.docx", "A 10017-2024")</f>
        <v/>
      </c>
      <c r="W32">
        <f>HYPERLINK("https://klasma.github.io/Logging_1290/klagomålsmail/A 10017-2024 FSC-klagomål mail.docx", "A 10017-2024")</f>
        <v/>
      </c>
      <c r="X32">
        <f>HYPERLINK("https://klasma.github.io/Logging_1290/tillsyn/A 10017-2024 tillsynsbegäran.docx", "A 10017-2024")</f>
        <v/>
      </c>
      <c r="Y32">
        <f>HYPERLINK("https://klasma.github.io/Logging_1290/tillsynsmail/A 10017-2024 tillsynsbegäran mail.docx", "A 10017-2024")</f>
        <v/>
      </c>
    </row>
    <row r="33" ht="15" customHeight="1">
      <c r="A33" t="inlineStr">
        <is>
          <t>A 25058-2024</t>
        </is>
      </c>
      <c r="B33" s="1" t="n">
        <v>45462</v>
      </c>
      <c r="C33" s="1" t="n">
        <v>45564</v>
      </c>
      <c r="D33" t="inlineStr">
        <is>
          <t>SKÅNE LÄN</t>
        </is>
      </c>
      <c r="E33" t="inlineStr">
        <is>
          <t>KRISTIANSTAD</t>
        </is>
      </c>
      <c r="G33" t="n">
        <v>5.2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Lundvårlök
Grönvit nattviol</t>
        </is>
      </c>
      <c r="S33">
        <f>HYPERLINK("https://klasma.github.io/Logging_1290/artfynd/A 25058-2024 artfynd.xlsx", "A 25058-2024")</f>
        <v/>
      </c>
      <c r="T33">
        <f>HYPERLINK("https://klasma.github.io/Logging_1290/kartor/A 25058-2024 karta.png", "A 25058-2024")</f>
        <v/>
      </c>
      <c r="V33">
        <f>HYPERLINK("https://klasma.github.io/Logging_1290/klagomål/A 25058-2024 FSC-klagomål.docx", "A 25058-2024")</f>
        <v/>
      </c>
      <c r="W33">
        <f>HYPERLINK("https://klasma.github.io/Logging_1290/klagomålsmail/A 25058-2024 FSC-klagomål mail.docx", "A 25058-2024")</f>
        <v/>
      </c>
      <c r="X33">
        <f>HYPERLINK("https://klasma.github.io/Logging_1290/tillsyn/A 25058-2024 tillsynsbegäran.docx", "A 25058-2024")</f>
        <v/>
      </c>
      <c r="Y33">
        <f>HYPERLINK("https://klasma.github.io/Logging_1290/tillsynsmail/A 25058-2024 tillsynsbegäran mail.docx", "A 25058-2024")</f>
        <v/>
      </c>
    </row>
    <row r="34" ht="15" customHeight="1">
      <c r="A34" t="inlineStr">
        <is>
          <t>A 30246-2024</t>
        </is>
      </c>
      <c r="B34" s="1" t="n">
        <v>45490</v>
      </c>
      <c r="C34" s="1" t="n">
        <v>45564</v>
      </c>
      <c r="D34" t="inlineStr">
        <is>
          <t>SKÅNE LÄN</t>
        </is>
      </c>
      <c r="E34" t="inlineStr">
        <is>
          <t>KRISTIANSTAD</t>
        </is>
      </c>
      <c r="G34" t="n">
        <v>8.699999999999999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Desmeknopp
Spillkråka</t>
        </is>
      </c>
      <c r="S34">
        <f>HYPERLINK("https://klasma.github.io/Logging_1290/artfynd/A 30246-2024 artfynd.xlsx", "A 30246-2024")</f>
        <v/>
      </c>
      <c r="T34">
        <f>HYPERLINK("https://klasma.github.io/Logging_1290/kartor/A 30246-2024 karta.png", "A 30246-2024")</f>
        <v/>
      </c>
      <c r="V34">
        <f>HYPERLINK("https://klasma.github.io/Logging_1290/klagomål/A 30246-2024 FSC-klagomål.docx", "A 30246-2024")</f>
        <v/>
      </c>
      <c r="W34">
        <f>HYPERLINK("https://klasma.github.io/Logging_1290/klagomålsmail/A 30246-2024 FSC-klagomål mail.docx", "A 30246-2024")</f>
        <v/>
      </c>
      <c r="X34">
        <f>HYPERLINK("https://klasma.github.io/Logging_1290/tillsyn/A 30246-2024 tillsynsbegäran.docx", "A 30246-2024")</f>
        <v/>
      </c>
      <c r="Y34">
        <f>HYPERLINK("https://klasma.github.io/Logging_1290/tillsynsmail/A 30246-2024 tillsynsbegäran mail.docx", "A 30246-2024")</f>
        <v/>
      </c>
      <c r="Z34">
        <f>HYPERLINK("https://klasma.github.io/Logging_1290/fåglar/A 30246-2024 prioriterade fågelarter.docx", "A 30246-2024")</f>
        <v/>
      </c>
    </row>
    <row r="35" ht="15" customHeight="1">
      <c r="A35" t="inlineStr">
        <is>
          <t>A 38678-2019</t>
        </is>
      </c>
      <c r="B35" s="1" t="n">
        <v>43684</v>
      </c>
      <c r="C35" s="1" t="n">
        <v>45564</v>
      </c>
      <c r="D35" t="inlineStr">
        <is>
          <t>SKÅNE LÄN</t>
        </is>
      </c>
      <c r="E35" t="inlineStr">
        <is>
          <t>KRISTIANSTAD</t>
        </is>
      </c>
      <c r="G35" t="n">
        <v>2.5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HYPERLINK("https://klasma.github.io/Logging_1290/artfynd/A 38678-2019 artfynd.xlsx", "A 38678-2019")</f>
        <v/>
      </c>
      <c r="T35">
        <f>HYPERLINK("https://klasma.github.io/Logging_1290/kartor/A 38678-2019 karta.png", "A 38678-2019")</f>
        <v/>
      </c>
      <c r="V35">
        <f>HYPERLINK("https://klasma.github.io/Logging_1290/klagomål/A 38678-2019 FSC-klagomål.docx", "A 38678-2019")</f>
        <v/>
      </c>
      <c r="W35">
        <f>HYPERLINK("https://klasma.github.io/Logging_1290/klagomålsmail/A 38678-2019 FSC-klagomål mail.docx", "A 38678-2019")</f>
        <v/>
      </c>
      <c r="X35">
        <f>HYPERLINK("https://klasma.github.io/Logging_1290/tillsyn/A 38678-2019 tillsynsbegäran.docx", "A 38678-2019")</f>
        <v/>
      </c>
      <c r="Y35">
        <f>HYPERLINK("https://klasma.github.io/Logging_1290/tillsynsmail/A 38678-2019 tillsynsbegäran mail.docx", "A 38678-2019")</f>
        <v/>
      </c>
    </row>
    <row r="36" ht="15" customHeight="1">
      <c r="A36" t="inlineStr">
        <is>
          <t>A 46680-2019</t>
        </is>
      </c>
      <c r="B36" s="1" t="n">
        <v>43717</v>
      </c>
      <c r="C36" s="1" t="n">
        <v>45564</v>
      </c>
      <c r="D36" t="inlineStr">
        <is>
          <t>SKÅNE LÄN</t>
        </is>
      </c>
      <c r="E36" t="inlineStr">
        <is>
          <t>KRISTIANSTAD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46680-2019 artfynd.xlsx", "A 46680-2019")</f>
        <v/>
      </c>
      <c r="T36">
        <f>HYPERLINK("https://klasma.github.io/Logging_1290/kartor/A 46680-2019 karta.png", "A 46680-2019")</f>
        <v/>
      </c>
      <c r="V36">
        <f>HYPERLINK("https://klasma.github.io/Logging_1290/klagomål/A 46680-2019 FSC-klagomål.docx", "A 46680-2019")</f>
        <v/>
      </c>
      <c r="W36">
        <f>HYPERLINK("https://klasma.github.io/Logging_1290/klagomålsmail/A 46680-2019 FSC-klagomål mail.docx", "A 46680-2019")</f>
        <v/>
      </c>
      <c r="X36">
        <f>HYPERLINK("https://klasma.github.io/Logging_1290/tillsyn/A 46680-2019 tillsynsbegäran.docx", "A 46680-2019")</f>
        <v/>
      </c>
      <c r="Y36">
        <f>HYPERLINK("https://klasma.github.io/Logging_1290/tillsynsmail/A 46680-2019 tillsynsbegäran mail.docx", "A 46680-2019")</f>
        <v/>
      </c>
    </row>
    <row r="37" ht="15" customHeight="1">
      <c r="A37" t="inlineStr">
        <is>
          <t>A 30687-2020</t>
        </is>
      </c>
      <c r="B37" s="1" t="n">
        <v>44008</v>
      </c>
      <c r="C37" s="1" t="n">
        <v>45564</v>
      </c>
      <c r="D37" t="inlineStr">
        <is>
          <t>SKÅNE LÄN</t>
        </is>
      </c>
      <c r="E37" t="inlineStr">
        <is>
          <t>KRISTIANSTAD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Stortapetserarbi</t>
        </is>
      </c>
      <c r="S37">
        <f>HYPERLINK("https://klasma.github.io/Logging_1290/artfynd/A 30687-2020 artfynd.xlsx", "A 30687-2020")</f>
        <v/>
      </c>
      <c r="T37">
        <f>HYPERLINK("https://klasma.github.io/Logging_1290/kartor/A 30687-2020 karta.png", "A 30687-2020")</f>
        <v/>
      </c>
      <c r="V37">
        <f>HYPERLINK("https://klasma.github.io/Logging_1290/klagomål/A 30687-2020 FSC-klagomål.docx", "A 30687-2020")</f>
        <v/>
      </c>
      <c r="W37">
        <f>HYPERLINK("https://klasma.github.io/Logging_1290/klagomålsmail/A 30687-2020 FSC-klagomål mail.docx", "A 30687-2020")</f>
        <v/>
      </c>
      <c r="X37">
        <f>HYPERLINK("https://klasma.github.io/Logging_1290/tillsyn/A 30687-2020 tillsynsbegäran.docx", "A 30687-2020")</f>
        <v/>
      </c>
      <c r="Y37">
        <f>HYPERLINK("https://klasma.github.io/Logging_1290/tillsynsmail/A 30687-2020 tillsynsbegäran mail.docx", "A 30687-2020")</f>
        <v/>
      </c>
    </row>
    <row r="38" ht="15" customHeight="1">
      <c r="A38" t="inlineStr">
        <is>
          <t>A 42615-2020</t>
        </is>
      </c>
      <c r="B38" s="1" t="n">
        <v>44076</v>
      </c>
      <c r="C38" s="1" t="n">
        <v>45564</v>
      </c>
      <c r="D38" t="inlineStr">
        <is>
          <t>SKÅNE LÄN</t>
        </is>
      </c>
      <c r="E38" t="inlineStr">
        <is>
          <t>KRISTIANSTAD</t>
        </is>
      </c>
      <c r="G38" t="n">
        <v>7.5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Lamellsnäcka</t>
        </is>
      </c>
      <c r="S38">
        <f>HYPERLINK("https://klasma.github.io/Logging_1290/artfynd/A 42615-2020 artfynd.xlsx", "A 42615-2020")</f>
        <v/>
      </c>
      <c r="T38">
        <f>HYPERLINK("https://klasma.github.io/Logging_1290/kartor/A 42615-2020 karta.png", "A 42615-2020")</f>
        <v/>
      </c>
      <c r="V38">
        <f>HYPERLINK("https://klasma.github.io/Logging_1290/klagomål/A 42615-2020 FSC-klagomål.docx", "A 42615-2020")</f>
        <v/>
      </c>
      <c r="W38">
        <f>HYPERLINK("https://klasma.github.io/Logging_1290/klagomålsmail/A 42615-2020 FSC-klagomål mail.docx", "A 42615-2020")</f>
        <v/>
      </c>
      <c r="X38">
        <f>HYPERLINK("https://klasma.github.io/Logging_1290/tillsyn/A 42615-2020 tillsynsbegäran.docx", "A 42615-2020")</f>
        <v/>
      </c>
      <c r="Y38">
        <f>HYPERLINK("https://klasma.github.io/Logging_1290/tillsynsmail/A 42615-2020 tillsynsbegäran mail.docx", "A 42615-2020")</f>
        <v/>
      </c>
    </row>
    <row r="39" ht="15" customHeight="1">
      <c r="A39" t="inlineStr">
        <is>
          <t>A 21568-2021</t>
        </is>
      </c>
      <c r="B39" s="1" t="n">
        <v>44314</v>
      </c>
      <c r="C39" s="1" t="n">
        <v>45564</v>
      </c>
      <c r="D39" t="inlineStr">
        <is>
          <t>SKÅNE LÄN</t>
        </is>
      </c>
      <c r="E39" t="inlineStr">
        <is>
          <t>KRISTIANSTAD</t>
        </is>
      </c>
      <c r="G39" t="n">
        <v>18.4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21568-2021 artfynd.xlsx", "A 21568-2021")</f>
        <v/>
      </c>
      <c r="T39">
        <f>HYPERLINK("https://klasma.github.io/Logging_1290/kartor/A 21568-2021 karta.png", "A 21568-2021")</f>
        <v/>
      </c>
      <c r="V39">
        <f>HYPERLINK("https://klasma.github.io/Logging_1290/klagomål/A 21568-2021 FSC-klagomål.docx", "A 21568-2021")</f>
        <v/>
      </c>
      <c r="W39">
        <f>HYPERLINK("https://klasma.github.io/Logging_1290/klagomålsmail/A 21568-2021 FSC-klagomål mail.docx", "A 21568-2021")</f>
        <v/>
      </c>
      <c r="X39">
        <f>HYPERLINK("https://klasma.github.io/Logging_1290/tillsyn/A 21568-2021 tillsynsbegäran.docx", "A 21568-2021")</f>
        <v/>
      </c>
      <c r="Y39">
        <f>HYPERLINK("https://klasma.github.io/Logging_1290/tillsynsmail/A 21568-2021 tillsynsbegäran mail.docx", "A 21568-2021")</f>
        <v/>
      </c>
    </row>
    <row r="40" ht="15" customHeight="1">
      <c r="A40" t="inlineStr">
        <is>
          <t>A 22549-2021</t>
        </is>
      </c>
      <c r="B40" s="1" t="n">
        <v>44327</v>
      </c>
      <c r="C40" s="1" t="n">
        <v>45564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Lövgroda</t>
        </is>
      </c>
      <c r="S40">
        <f>HYPERLINK("https://klasma.github.io/Logging_1290/artfynd/A 22549-2021 artfynd.xlsx", "A 22549-2021")</f>
        <v/>
      </c>
      <c r="T40">
        <f>HYPERLINK("https://klasma.github.io/Logging_1290/kartor/A 22549-2021 karta.png", "A 22549-2021")</f>
        <v/>
      </c>
      <c r="V40">
        <f>HYPERLINK("https://klasma.github.io/Logging_1290/klagomål/A 22549-2021 FSC-klagomål.docx", "A 22549-2021")</f>
        <v/>
      </c>
      <c r="W40">
        <f>HYPERLINK("https://klasma.github.io/Logging_1290/klagomålsmail/A 22549-2021 FSC-klagomål mail.docx", "A 22549-2021")</f>
        <v/>
      </c>
      <c r="X40">
        <f>HYPERLINK("https://klasma.github.io/Logging_1290/tillsyn/A 22549-2021 tillsynsbegäran.docx", "A 22549-2021")</f>
        <v/>
      </c>
      <c r="Y40">
        <f>HYPERLINK("https://klasma.github.io/Logging_1290/tillsynsmail/A 22549-2021 tillsynsbegäran mail.docx", "A 22549-2021")</f>
        <v/>
      </c>
    </row>
    <row r="41" ht="15" customHeight="1">
      <c r="A41" t="inlineStr">
        <is>
          <t>A 22965-2021</t>
        </is>
      </c>
      <c r="B41" s="1" t="n">
        <v>44328</v>
      </c>
      <c r="C41" s="1" t="n">
        <v>45564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HYPERLINK("https://klasma.github.io/Logging_1290/artfynd/A 22965-2021 artfynd.xlsx", "A 22965-2021")</f>
        <v/>
      </c>
      <c r="T41">
        <f>HYPERLINK("https://klasma.github.io/Logging_1290/kartor/A 22965-2021 karta.png", "A 22965-2021")</f>
        <v/>
      </c>
      <c r="V41">
        <f>HYPERLINK("https://klasma.github.io/Logging_1290/klagomål/A 22965-2021 FSC-klagomål.docx", "A 22965-2021")</f>
        <v/>
      </c>
      <c r="W41">
        <f>HYPERLINK("https://klasma.github.io/Logging_1290/klagomålsmail/A 22965-2021 FSC-klagomål mail.docx", "A 22965-2021")</f>
        <v/>
      </c>
      <c r="X41">
        <f>HYPERLINK("https://klasma.github.io/Logging_1290/tillsyn/A 22965-2021 tillsynsbegäran.docx", "A 22965-2021")</f>
        <v/>
      </c>
      <c r="Y41">
        <f>HYPERLINK("https://klasma.github.io/Logging_1290/tillsynsmail/A 22965-2021 tillsynsbegäran mail.docx", "A 22965-2021")</f>
        <v/>
      </c>
      <c r="Z41">
        <f>HYPERLINK("https://klasma.github.io/Logging_1290/fåglar/A 22965-2021 prioriterade fågelarter.docx", "A 22965-2021")</f>
        <v/>
      </c>
    </row>
    <row r="42" ht="15" customHeight="1">
      <c r="A42" t="inlineStr">
        <is>
          <t>A 11750-2022</t>
        </is>
      </c>
      <c r="B42" s="1" t="n">
        <v>44634</v>
      </c>
      <c r="C42" s="1" t="n">
        <v>45564</v>
      </c>
      <c r="D42" t="inlineStr">
        <is>
          <t>SKÅNE LÄN</t>
        </is>
      </c>
      <c r="E42" t="inlineStr">
        <is>
          <t>KRISTIANSTAD</t>
        </is>
      </c>
      <c r="G42" t="n">
        <v>1.8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Sanddådra</t>
        </is>
      </c>
      <c r="S42">
        <f>HYPERLINK("https://klasma.github.io/Logging_1290/artfynd/A 11750-2022 artfynd.xlsx", "A 11750-2022")</f>
        <v/>
      </c>
      <c r="T42">
        <f>HYPERLINK("https://klasma.github.io/Logging_1290/kartor/A 11750-2022 karta.png", "A 11750-2022")</f>
        <v/>
      </c>
      <c r="V42">
        <f>HYPERLINK("https://klasma.github.io/Logging_1290/klagomål/A 11750-2022 FSC-klagomål.docx", "A 11750-2022")</f>
        <v/>
      </c>
      <c r="W42">
        <f>HYPERLINK("https://klasma.github.io/Logging_1290/klagomålsmail/A 11750-2022 FSC-klagomål mail.docx", "A 11750-2022")</f>
        <v/>
      </c>
      <c r="X42">
        <f>HYPERLINK("https://klasma.github.io/Logging_1290/tillsyn/A 11750-2022 tillsynsbegäran.docx", "A 11750-2022")</f>
        <v/>
      </c>
      <c r="Y42">
        <f>HYPERLINK("https://klasma.github.io/Logging_1290/tillsynsmail/A 11750-2022 tillsynsbegäran mail.docx", "A 11750-2022")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45564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41004-2022</t>
        </is>
      </c>
      <c r="B44" s="1" t="n">
        <v>44825</v>
      </c>
      <c r="C44" s="1" t="n">
        <v>45564</v>
      </c>
      <c r="D44" t="inlineStr">
        <is>
          <t>SKÅNE LÄN</t>
        </is>
      </c>
      <c r="E44" t="inlineStr">
        <is>
          <t>KRISTIANSTAD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Skogsbräsma</t>
        </is>
      </c>
      <c r="S44">
        <f>HYPERLINK("https://klasma.github.io/Logging_1290/artfynd/A 41004-2022 artfynd.xlsx", "A 41004-2022")</f>
        <v/>
      </c>
      <c r="T44">
        <f>HYPERLINK("https://klasma.github.io/Logging_1290/kartor/A 41004-2022 karta.png", "A 41004-2022")</f>
        <v/>
      </c>
      <c r="V44">
        <f>HYPERLINK("https://klasma.github.io/Logging_1290/klagomål/A 41004-2022 FSC-klagomål.docx", "A 41004-2022")</f>
        <v/>
      </c>
      <c r="W44">
        <f>HYPERLINK("https://klasma.github.io/Logging_1290/klagomålsmail/A 41004-2022 FSC-klagomål mail.docx", "A 41004-2022")</f>
        <v/>
      </c>
      <c r="X44">
        <f>HYPERLINK("https://klasma.github.io/Logging_1290/tillsyn/A 41004-2022 tillsynsbegäran.docx", "A 41004-2022")</f>
        <v/>
      </c>
      <c r="Y44">
        <f>HYPERLINK("https://klasma.github.io/Logging_1290/tillsynsmail/A 41004-2022 tillsynsbegäran mail.docx", "A 41004-2022")</f>
        <v/>
      </c>
    </row>
    <row r="45" ht="15" customHeight="1">
      <c r="A45" t="inlineStr">
        <is>
          <t>A 41275-2022</t>
        </is>
      </c>
      <c r="B45" s="1" t="n">
        <v>44826</v>
      </c>
      <c r="C45" s="1" t="n">
        <v>45564</v>
      </c>
      <c r="D45" t="inlineStr">
        <is>
          <t>SKÅNE LÄN</t>
        </is>
      </c>
      <c r="E45" t="inlineStr">
        <is>
          <t>KRISTIANSTAD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Praktnejlika</t>
        </is>
      </c>
      <c r="S45">
        <f>HYPERLINK("https://klasma.github.io/Logging_1290/artfynd/A 41275-2022 artfynd.xlsx", "A 41275-2022")</f>
        <v/>
      </c>
      <c r="T45">
        <f>HYPERLINK("https://klasma.github.io/Logging_1290/kartor/A 41275-2022 karta.png", "A 41275-2022")</f>
        <v/>
      </c>
      <c r="V45">
        <f>HYPERLINK("https://klasma.github.io/Logging_1290/klagomål/A 41275-2022 FSC-klagomål.docx", "A 41275-2022")</f>
        <v/>
      </c>
      <c r="W45">
        <f>HYPERLINK("https://klasma.github.io/Logging_1290/klagomålsmail/A 41275-2022 FSC-klagomål mail.docx", "A 41275-2022")</f>
        <v/>
      </c>
      <c r="X45">
        <f>HYPERLINK("https://klasma.github.io/Logging_1290/tillsyn/A 41275-2022 tillsynsbegäran.docx", "A 41275-2022")</f>
        <v/>
      </c>
      <c r="Y45">
        <f>HYPERLINK("https://klasma.github.io/Logging_1290/tillsynsmail/A 41275-2022 tillsynsbegäran mail.docx", "A 41275-2022")</f>
        <v/>
      </c>
    </row>
    <row r="46" ht="15" customHeight="1">
      <c r="A46" t="inlineStr">
        <is>
          <t>A 61885-2022</t>
        </is>
      </c>
      <c r="B46" s="1" t="n">
        <v>44917</v>
      </c>
      <c r="C46" s="1" t="n">
        <v>45564</v>
      </c>
      <c r="D46" t="inlineStr">
        <is>
          <t>SKÅNE LÄN</t>
        </is>
      </c>
      <c r="E46" t="inlineStr">
        <is>
          <t>KRISTIANSTAD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Koralltaggsvamp</t>
        </is>
      </c>
      <c r="S46">
        <f>HYPERLINK("https://klasma.github.io/Logging_1290/artfynd/A 61885-2022 artfynd.xlsx", "A 61885-2022")</f>
        <v/>
      </c>
      <c r="T46">
        <f>HYPERLINK("https://klasma.github.io/Logging_1290/kartor/A 61885-2022 karta.png", "A 61885-2022")</f>
        <v/>
      </c>
      <c r="V46">
        <f>HYPERLINK("https://klasma.github.io/Logging_1290/klagomål/A 61885-2022 FSC-klagomål.docx", "A 61885-2022")</f>
        <v/>
      </c>
      <c r="W46">
        <f>HYPERLINK("https://klasma.github.io/Logging_1290/klagomålsmail/A 61885-2022 FSC-klagomål mail.docx", "A 61885-2022")</f>
        <v/>
      </c>
      <c r="X46">
        <f>HYPERLINK("https://klasma.github.io/Logging_1290/tillsyn/A 61885-2022 tillsynsbegäran.docx", "A 61885-2022")</f>
        <v/>
      </c>
      <c r="Y46">
        <f>HYPERLINK("https://klasma.github.io/Logging_1290/tillsynsmail/A 61885-2022 tillsynsbegäran mail.docx", "A 61885-2022")</f>
        <v/>
      </c>
    </row>
    <row r="47" ht="15" customHeight="1">
      <c r="A47" t="inlineStr">
        <is>
          <t>A 62065-2022</t>
        </is>
      </c>
      <c r="B47" s="1" t="n">
        <v>44918</v>
      </c>
      <c r="C47" s="1" t="n">
        <v>45564</v>
      </c>
      <c r="D47" t="inlineStr">
        <is>
          <t>SKÅNE LÄN</t>
        </is>
      </c>
      <c r="E47" t="inlineStr">
        <is>
          <t>KRISTIANSTAD</t>
        </is>
      </c>
      <c r="G47" t="n">
        <v>0.8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Myrvapenfluga</t>
        </is>
      </c>
      <c r="S47">
        <f>HYPERLINK("https://klasma.github.io/Logging_1290/artfynd/A 62065-2022 artfynd.xlsx", "A 62065-2022")</f>
        <v/>
      </c>
      <c r="T47">
        <f>HYPERLINK("https://klasma.github.io/Logging_1290/kartor/A 62065-2022 karta.png", "A 62065-2022")</f>
        <v/>
      </c>
      <c r="V47">
        <f>HYPERLINK("https://klasma.github.io/Logging_1290/klagomål/A 62065-2022 FSC-klagomål.docx", "A 62065-2022")</f>
        <v/>
      </c>
      <c r="W47">
        <f>HYPERLINK("https://klasma.github.io/Logging_1290/klagomålsmail/A 62065-2022 FSC-klagomål mail.docx", "A 62065-2022")</f>
        <v/>
      </c>
      <c r="X47">
        <f>HYPERLINK("https://klasma.github.io/Logging_1290/tillsyn/A 62065-2022 tillsynsbegäran.docx", "A 62065-2022")</f>
        <v/>
      </c>
      <c r="Y47">
        <f>HYPERLINK("https://klasma.github.io/Logging_1290/tillsynsmail/A 62065-2022 tillsynsbegäran mail.docx", "A 62065-2022")</f>
        <v/>
      </c>
    </row>
    <row r="48" ht="15" customHeight="1">
      <c r="A48" t="inlineStr">
        <is>
          <t>A 62067-2022</t>
        </is>
      </c>
      <c r="B48" s="1" t="n">
        <v>44918</v>
      </c>
      <c r="C48" s="1" t="n">
        <v>45564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Plattad jordtunga</t>
        </is>
      </c>
      <c r="S48">
        <f>HYPERLINK("https://klasma.github.io/Logging_1290/artfynd/A 62067-2022 artfynd.xlsx", "A 62067-2022")</f>
        <v/>
      </c>
      <c r="T48">
        <f>HYPERLINK("https://klasma.github.io/Logging_1290/kartor/A 62067-2022 karta.png", "A 62067-2022")</f>
        <v/>
      </c>
      <c r="V48">
        <f>HYPERLINK("https://klasma.github.io/Logging_1290/klagomål/A 62067-2022 FSC-klagomål.docx", "A 62067-2022")</f>
        <v/>
      </c>
      <c r="W48">
        <f>HYPERLINK("https://klasma.github.io/Logging_1290/klagomålsmail/A 62067-2022 FSC-klagomål mail.docx", "A 62067-2022")</f>
        <v/>
      </c>
      <c r="X48">
        <f>HYPERLINK("https://klasma.github.io/Logging_1290/tillsyn/A 62067-2022 tillsynsbegäran.docx", "A 62067-2022")</f>
        <v/>
      </c>
      <c r="Y48">
        <f>HYPERLINK("https://klasma.github.io/Logging_1290/tillsynsmail/A 62067-2022 tillsynsbegäran mail.docx", "A 62067-2022")</f>
        <v/>
      </c>
    </row>
    <row r="49" ht="15" customHeight="1">
      <c r="A49" t="inlineStr">
        <is>
          <t>A 26965-2023</t>
        </is>
      </c>
      <c r="B49" s="1" t="n">
        <v>45093</v>
      </c>
      <c r="C49" s="1" t="n">
        <v>45564</v>
      </c>
      <c r="D49" t="inlineStr">
        <is>
          <t>SKÅNE LÄN</t>
        </is>
      </c>
      <c r="E49" t="inlineStr">
        <is>
          <t>KRISTIANSTAD</t>
        </is>
      </c>
      <c r="F49" t="inlineStr">
        <is>
          <t>Sveaskog</t>
        </is>
      </c>
      <c r="G49" t="n">
        <v>9.9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Sjötåtel</t>
        </is>
      </c>
      <c r="S49">
        <f>HYPERLINK("https://klasma.github.io/Logging_1290/artfynd/A 26965-2023 artfynd.xlsx", "A 26965-2023")</f>
        <v/>
      </c>
      <c r="T49">
        <f>HYPERLINK("https://klasma.github.io/Logging_1290/kartor/A 26965-2023 karta.png", "A 26965-2023")</f>
        <v/>
      </c>
      <c r="V49">
        <f>HYPERLINK("https://klasma.github.io/Logging_1290/klagomål/A 26965-2023 FSC-klagomål.docx", "A 26965-2023")</f>
        <v/>
      </c>
      <c r="W49">
        <f>HYPERLINK("https://klasma.github.io/Logging_1290/klagomålsmail/A 26965-2023 FSC-klagomål mail.docx", "A 26965-2023")</f>
        <v/>
      </c>
      <c r="X49">
        <f>HYPERLINK("https://klasma.github.io/Logging_1290/tillsyn/A 26965-2023 tillsynsbegäran.docx", "A 26965-2023")</f>
        <v/>
      </c>
      <c r="Y49">
        <f>HYPERLINK("https://klasma.github.io/Logging_1290/tillsynsmail/A 26965-2023 tillsynsbegäran mail.docx", "A 26965-2023")</f>
        <v/>
      </c>
    </row>
    <row r="50" ht="15" customHeight="1">
      <c r="A50" t="inlineStr">
        <is>
          <t>A 29183-2023</t>
        </is>
      </c>
      <c r="B50" s="1" t="n">
        <v>45105</v>
      </c>
      <c r="C50" s="1" t="n">
        <v>45564</v>
      </c>
      <c r="D50" t="inlineStr">
        <is>
          <t>SKÅNE LÄN</t>
        </is>
      </c>
      <c r="E50" t="inlineStr">
        <is>
          <t>KRISTIANSTAD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29183-2023 artfynd.xlsx", "A 29183-2023")</f>
        <v/>
      </c>
      <c r="T50">
        <f>HYPERLINK("https://klasma.github.io/Logging_1290/kartor/A 29183-2023 karta.png", "A 29183-2023")</f>
        <v/>
      </c>
      <c r="V50">
        <f>HYPERLINK("https://klasma.github.io/Logging_1290/klagomål/A 29183-2023 FSC-klagomål.docx", "A 29183-2023")</f>
        <v/>
      </c>
      <c r="W50">
        <f>HYPERLINK("https://klasma.github.io/Logging_1290/klagomålsmail/A 29183-2023 FSC-klagomål mail.docx", "A 29183-2023")</f>
        <v/>
      </c>
      <c r="X50">
        <f>HYPERLINK("https://klasma.github.io/Logging_1290/tillsyn/A 29183-2023 tillsynsbegäran.docx", "A 29183-2023")</f>
        <v/>
      </c>
      <c r="Y50">
        <f>HYPERLINK("https://klasma.github.io/Logging_1290/tillsynsmail/A 29183-2023 tillsynsbegäran mail.docx", "A 29183-2023")</f>
        <v/>
      </c>
    </row>
    <row r="51" ht="15" customHeight="1">
      <c r="A51" t="inlineStr">
        <is>
          <t>A 29683-2023</t>
        </is>
      </c>
      <c r="B51" s="1" t="n">
        <v>45107</v>
      </c>
      <c r="C51" s="1" t="n">
        <v>45564</v>
      </c>
      <c r="D51" t="inlineStr">
        <is>
          <t>SKÅNE LÄN</t>
        </is>
      </c>
      <c r="E51" t="inlineStr">
        <is>
          <t>KRISTIANSTAD</t>
        </is>
      </c>
      <c r="G51" t="n">
        <v>7.4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29683-2023 artfynd.xlsx", "A 29683-2023")</f>
        <v/>
      </c>
      <c r="T51">
        <f>HYPERLINK("https://klasma.github.io/Logging_1290/kartor/A 29683-2023 karta.png", "A 29683-2023")</f>
        <v/>
      </c>
      <c r="V51">
        <f>HYPERLINK("https://klasma.github.io/Logging_1290/klagomål/A 29683-2023 FSC-klagomål.docx", "A 29683-2023")</f>
        <v/>
      </c>
      <c r="W51">
        <f>HYPERLINK("https://klasma.github.io/Logging_1290/klagomålsmail/A 29683-2023 FSC-klagomål mail.docx", "A 29683-2023")</f>
        <v/>
      </c>
      <c r="X51">
        <f>HYPERLINK("https://klasma.github.io/Logging_1290/tillsyn/A 29683-2023 tillsynsbegäran.docx", "A 29683-2023")</f>
        <v/>
      </c>
      <c r="Y51">
        <f>HYPERLINK("https://klasma.github.io/Logging_1290/tillsynsmail/A 29683-2023 tillsynsbegäran mail.docx", "A 29683-2023")</f>
        <v/>
      </c>
    </row>
    <row r="52" ht="15" customHeight="1">
      <c r="A52" t="inlineStr">
        <is>
          <t>A 46870-2023</t>
        </is>
      </c>
      <c r="B52" s="1" t="n">
        <v>45200</v>
      </c>
      <c r="C52" s="1" t="n">
        <v>45564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HYPERLINK("https://klasma.github.io/Logging_1290/artfynd/A 46870-2023 artfynd.xlsx", "A 46870-2023")</f>
        <v/>
      </c>
      <c r="T52">
        <f>HYPERLINK("https://klasma.github.io/Logging_1290/kartor/A 46870-2023 karta.png", "A 46870-2023")</f>
        <v/>
      </c>
      <c r="V52">
        <f>HYPERLINK("https://klasma.github.io/Logging_1290/klagomål/A 46870-2023 FSC-klagomål.docx", "A 46870-2023")</f>
        <v/>
      </c>
      <c r="W52">
        <f>HYPERLINK("https://klasma.github.io/Logging_1290/klagomålsmail/A 46870-2023 FSC-klagomål mail.docx", "A 46870-2023")</f>
        <v/>
      </c>
      <c r="X52">
        <f>HYPERLINK("https://klasma.github.io/Logging_1290/tillsyn/A 46870-2023 tillsynsbegäran.docx", "A 46870-2023")</f>
        <v/>
      </c>
      <c r="Y52">
        <f>HYPERLINK("https://klasma.github.io/Logging_1290/tillsynsmail/A 46870-2023 tillsynsbegäran mail.docx", "A 46870-2023")</f>
        <v/>
      </c>
    </row>
    <row r="53" ht="15" customHeight="1">
      <c r="A53" t="inlineStr">
        <is>
          <t>A 62349-2023</t>
        </is>
      </c>
      <c r="B53" s="1" t="n">
        <v>45267</v>
      </c>
      <c r="C53" s="1" t="n">
        <v>45564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HYPERLINK("https://klasma.github.io/Logging_1290/artfynd/A 62349-2023 artfynd.xlsx", "A 62349-2023")</f>
        <v/>
      </c>
      <c r="T53">
        <f>HYPERLINK("https://klasma.github.io/Logging_1290/kartor/A 62349-2023 karta.png", "A 62349-2023")</f>
        <v/>
      </c>
      <c r="V53">
        <f>HYPERLINK("https://klasma.github.io/Logging_1290/klagomål/A 62349-2023 FSC-klagomål.docx", "A 62349-2023")</f>
        <v/>
      </c>
      <c r="W53">
        <f>HYPERLINK("https://klasma.github.io/Logging_1290/klagomålsmail/A 62349-2023 FSC-klagomål mail.docx", "A 62349-2023")</f>
        <v/>
      </c>
      <c r="X53">
        <f>HYPERLINK("https://klasma.github.io/Logging_1290/tillsyn/A 62349-2023 tillsynsbegäran.docx", "A 62349-2023")</f>
        <v/>
      </c>
      <c r="Y53">
        <f>HYPERLINK("https://klasma.github.io/Logging_1290/tillsynsmail/A 62349-2023 tillsynsbegäran mail.docx", "A 62349-2023")</f>
        <v/>
      </c>
      <c r="Z53">
        <f>HYPERLINK("https://klasma.github.io/Logging_1290/fåglar/A 62349-2023 prioriterade fågelarter.docx", "A 62349-2023")</f>
        <v/>
      </c>
    </row>
    <row r="54" ht="15" customHeight="1">
      <c r="A54" t="inlineStr">
        <is>
          <t>A 1188-2024</t>
        </is>
      </c>
      <c r="B54" s="1" t="n">
        <v>45302</v>
      </c>
      <c r="C54" s="1" t="n">
        <v>45564</v>
      </c>
      <c r="D54" t="inlineStr">
        <is>
          <t>SKÅNE LÄN</t>
        </is>
      </c>
      <c r="E54" t="inlineStr">
        <is>
          <t>KRISTIANSTAD</t>
        </is>
      </c>
      <c r="G54" t="n">
        <v>6.1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HYPERLINK("https://klasma.github.io/Logging_1290/artfynd/A 1188-2024 artfynd.xlsx", "A 1188-2024")</f>
        <v/>
      </c>
      <c r="T54">
        <f>HYPERLINK("https://klasma.github.io/Logging_1290/kartor/A 1188-2024 karta.png", "A 1188-2024")</f>
        <v/>
      </c>
      <c r="V54">
        <f>HYPERLINK("https://klasma.github.io/Logging_1290/klagomål/A 1188-2024 FSC-klagomål.docx", "A 1188-2024")</f>
        <v/>
      </c>
      <c r="W54">
        <f>HYPERLINK("https://klasma.github.io/Logging_1290/klagomålsmail/A 1188-2024 FSC-klagomål mail.docx", "A 1188-2024")</f>
        <v/>
      </c>
      <c r="X54">
        <f>HYPERLINK("https://klasma.github.io/Logging_1290/tillsyn/A 1188-2024 tillsynsbegäran.docx", "A 1188-2024")</f>
        <v/>
      </c>
      <c r="Y54">
        <f>HYPERLINK("https://klasma.github.io/Logging_1290/tillsynsmail/A 1188-2024 tillsynsbegäran mail.docx", "A 1188-2024")</f>
        <v/>
      </c>
    </row>
    <row r="55" ht="15" customHeight="1">
      <c r="A55" t="inlineStr">
        <is>
          <t>A 1418-2024</t>
        </is>
      </c>
      <c r="B55" s="1" t="n">
        <v>45303</v>
      </c>
      <c r="C55" s="1" t="n">
        <v>45564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Gropticka</t>
        </is>
      </c>
      <c r="S55">
        <f>HYPERLINK("https://klasma.github.io/Logging_1290/artfynd/A 1418-2024 artfynd.xlsx", "A 1418-2024")</f>
        <v/>
      </c>
      <c r="T55">
        <f>HYPERLINK("https://klasma.github.io/Logging_1290/kartor/A 1418-2024 karta.png", "A 1418-2024")</f>
        <v/>
      </c>
      <c r="V55">
        <f>HYPERLINK("https://klasma.github.io/Logging_1290/klagomål/A 1418-2024 FSC-klagomål.docx", "A 1418-2024")</f>
        <v/>
      </c>
      <c r="W55">
        <f>HYPERLINK("https://klasma.github.io/Logging_1290/klagomålsmail/A 1418-2024 FSC-klagomål mail.docx", "A 1418-2024")</f>
        <v/>
      </c>
      <c r="X55">
        <f>HYPERLINK("https://klasma.github.io/Logging_1290/tillsyn/A 1418-2024 tillsynsbegäran.docx", "A 1418-2024")</f>
        <v/>
      </c>
      <c r="Y55">
        <f>HYPERLINK("https://klasma.github.io/Logging_1290/tillsynsmail/A 1418-2024 tillsynsbegäran mail.docx", "A 1418-2024")</f>
        <v/>
      </c>
    </row>
    <row r="56" ht="15" customHeight="1">
      <c r="A56" t="inlineStr">
        <is>
          <t>A 3954-2024</t>
        </is>
      </c>
      <c r="B56" s="1" t="n">
        <v>45322</v>
      </c>
      <c r="C56" s="1" t="n">
        <v>45564</v>
      </c>
      <c r="D56" t="inlineStr">
        <is>
          <t>SKÅNE LÄN</t>
        </is>
      </c>
      <c r="E56" t="inlineStr">
        <is>
          <t>KRISTIANSTAD</t>
        </is>
      </c>
      <c r="G56" t="n">
        <v>1.2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HYPERLINK("https://klasma.github.io/Logging_1290/artfynd/A 3954-2024 artfynd.xlsx", "A 3954-2024")</f>
        <v/>
      </c>
      <c r="T56">
        <f>HYPERLINK("https://klasma.github.io/Logging_1290/kartor/A 3954-2024 karta.png", "A 3954-2024")</f>
        <v/>
      </c>
      <c r="V56">
        <f>HYPERLINK("https://klasma.github.io/Logging_1290/klagomål/A 3954-2024 FSC-klagomål.docx", "A 3954-2024")</f>
        <v/>
      </c>
      <c r="W56">
        <f>HYPERLINK("https://klasma.github.io/Logging_1290/klagomålsmail/A 3954-2024 FSC-klagomål mail.docx", "A 3954-2024")</f>
        <v/>
      </c>
      <c r="X56">
        <f>HYPERLINK("https://klasma.github.io/Logging_1290/tillsyn/A 3954-2024 tillsynsbegäran.docx", "A 3954-2024")</f>
        <v/>
      </c>
      <c r="Y56">
        <f>HYPERLINK("https://klasma.github.io/Logging_1290/tillsynsmail/A 3954-2024 tillsynsbegäran mail.docx", "A 3954-2024")</f>
        <v/>
      </c>
    </row>
    <row r="57" ht="15" customHeight="1">
      <c r="A57" t="inlineStr">
        <is>
          <t>A 6245-2024</t>
        </is>
      </c>
      <c r="B57" s="1" t="n">
        <v>45337</v>
      </c>
      <c r="C57" s="1" t="n">
        <v>45564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Flenörtskapuschongfly</t>
        </is>
      </c>
      <c r="S57">
        <f>HYPERLINK("https://klasma.github.io/Logging_1290/artfynd/A 6245-2024 artfynd.xlsx", "A 6245-2024")</f>
        <v/>
      </c>
      <c r="T57">
        <f>HYPERLINK("https://klasma.github.io/Logging_1290/kartor/A 6245-2024 karta.png", "A 6245-2024")</f>
        <v/>
      </c>
      <c r="V57">
        <f>HYPERLINK("https://klasma.github.io/Logging_1290/klagomål/A 6245-2024 FSC-klagomål.docx", "A 6245-2024")</f>
        <v/>
      </c>
      <c r="W57">
        <f>HYPERLINK("https://klasma.github.io/Logging_1290/klagomålsmail/A 6245-2024 FSC-klagomål mail.docx", "A 6245-2024")</f>
        <v/>
      </c>
      <c r="X57">
        <f>HYPERLINK("https://klasma.github.io/Logging_1290/tillsyn/A 6245-2024 tillsynsbegäran.docx", "A 6245-2024")</f>
        <v/>
      </c>
      <c r="Y57">
        <f>HYPERLINK("https://klasma.github.io/Logging_1290/tillsynsmail/A 6245-2024 tillsynsbegäran mail.docx", "A 6245-2024")</f>
        <v/>
      </c>
    </row>
    <row r="58" ht="15" customHeight="1">
      <c r="A58" t="inlineStr">
        <is>
          <t>A 25761-2024</t>
        </is>
      </c>
      <c r="B58" s="1" t="n">
        <v>45465</v>
      </c>
      <c r="C58" s="1" t="n">
        <v>45564</v>
      </c>
      <c r="D58" t="inlineStr">
        <is>
          <t>SKÅNE LÄN</t>
        </is>
      </c>
      <c r="E58" t="inlineStr">
        <is>
          <t>KRISTIANSTAD</t>
        </is>
      </c>
      <c r="G58" t="n">
        <v>2.8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HYPERLINK("https://klasma.github.io/Logging_1290/artfynd/A 25761-2024 artfynd.xlsx", "A 25761-2024")</f>
        <v/>
      </c>
      <c r="T58">
        <f>HYPERLINK("https://klasma.github.io/Logging_1290/kartor/A 25761-2024 karta.png", "A 25761-2024")</f>
        <v/>
      </c>
      <c r="V58">
        <f>HYPERLINK("https://klasma.github.io/Logging_1290/klagomål/A 25761-2024 FSC-klagomål.docx", "A 25761-2024")</f>
        <v/>
      </c>
      <c r="W58">
        <f>HYPERLINK("https://klasma.github.io/Logging_1290/klagomålsmail/A 25761-2024 FSC-klagomål mail.docx", "A 25761-2024")</f>
        <v/>
      </c>
      <c r="X58">
        <f>HYPERLINK("https://klasma.github.io/Logging_1290/tillsyn/A 25761-2024 tillsynsbegäran.docx", "A 25761-2024")</f>
        <v/>
      </c>
      <c r="Y58">
        <f>HYPERLINK("https://klasma.github.io/Logging_1290/tillsynsmail/A 25761-2024 tillsynsbegäran mail.docx", "A 25761-2024")</f>
        <v/>
      </c>
    </row>
    <row r="59" ht="15" customHeight="1">
      <c r="A59" t="inlineStr">
        <is>
          <t>A 28429-2024</t>
        </is>
      </c>
      <c r="B59" s="1" t="n">
        <v>45477</v>
      </c>
      <c r="C59" s="1" t="n">
        <v>45564</v>
      </c>
      <c r="D59" t="inlineStr">
        <is>
          <t>SKÅNE LÄN</t>
        </is>
      </c>
      <c r="E59" t="inlineStr">
        <is>
          <t>KRISTIANSTAD</t>
        </is>
      </c>
      <c r="G59" t="n">
        <v>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Knölspindel</t>
        </is>
      </c>
      <c r="S59">
        <f>HYPERLINK("https://klasma.github.io/Logging_1290/artfynd/A 28429-2024 artfynd.xlsx", "A 28429-2024")</f>
        <v/>
      </c>
      <c r="T59">
        <f>HYPERLINK("https://klasma.github.io/Logging_1290/kartor/A 28429-2024 karta.png", "A 28429-2024")</f>
        <v/>
      </c>
      <c r="V59">
        <f>HYPERLINK("https://klasma.github.io/Logging_1290/klagomål/A 28429-2024 FSC-klagomål.docx", "A 28429-2024")</f>
        <v/>
      </c>
      <c r="W59">
        <f>HYPERLINK("https://klasma.github.io/Logging_1290/klagomålsmail/A 28429-2024 FSC-klagomål mail.docx", "A 28429-2024")</f>
        <v/>
      </c>
      <c r="X59">
        <f>HYPERLINK("https://klasma.github.io/Logging_1290/tillsyn/A 28429-2024 tillsynsbegäran.docx", "A 28429-2024")</f>
        <v/>
      </c>
      <c r="Y59">
        <f>HYPERLINK("https://klasma.github.io/Logging_1290/tillsynsmail/A 28429-2024 tillsynsbegäran mail.docx", "A 28429-2024")</f>
        <v/>
      </c>
    </row>
    <row r="60" ht="15" customHeight="1">
      <c r="A60" t="inlineStr">
        <is>
          <t>A 28342-2024</t>
        </is>
      </c>
      <c r="B60" s="1" t="n">
        <v>45477</v>
      </c>
      <c r="C60" s="1" t="n">
        <v>45564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28342-2024 artfynd.xlsx", "A 28342-2024")</f>
        <v/>
      </c>
      <c r="T60">
        <f>HYPERLINK("https://klasma.github.io/Logging_1290/kartor/A 28342-2024 karta.png", "A 28342-2024")</f>
        <v/>
      </c>
      <c r="V60">
        <f>HYPERLINK("https://klasma.github.io/Logging_1290/klagomål/A 28342-2024 FSC-klagomål.docx", "A 28342-2024")</f>
        <v/>
      </c>
      <c r="W60">
        <f>HYPERLINK("https://klasma.github.io/Logging_1290/klagomålsmail/A 28342-2024 FSC-klagomål mail.docx", "A 28342-2024")</f>
        <v/>
      </c>
      <c r="X60">
        <f>HYPERLINK("https://klasma.github.io/Logging_1290/tillsyn/A 28342-2024 tillsynsbegäran.docx", "A 28342-2024")</f>
        <v/>
      </c>
      <c r="Y60">
        <f>HYPERLINK("https://klasma.github.io/Logging_1290/tillsynsmail/A 28342-2024 tillsynsbegäran mail.docx", "A 28342-2024")</f>
        <v/>
      </c>
    </row>
    <row r="61" ht="15" customHeight="1">
      <c r="A61" t="inlineStr">
        <is>
          <t>A 30526-2024</t>
        </is>
      </c>
      <c r="B61" s="1" t="n">
        <v>45492</v>
      </c>
      <c r="C61" s="1" t="n">
        <v>45564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Dvärgjohannesört</t>
        </is>
      </c>
      <c r="S61">
        <f>HYPERLINK("https://klasma.github.io/Logging_1290/artfynd/A 30526-2024 artfynd.xlsx", "A 30526-2024")</f>
        <v/>
      </c>
      <c r="T61">
        <f>HYPERLINK("https://klasma.github.io/Logging_1290/kartor/A 30526-2024 karta.png", "A 30526-2024")</f>
        <v/>
      </c>
      <c r="V61">
        <f>HYPERLINK("https://klasma.github.io/Logging_1290/klagomål/A 30526-2024 FSC-klagomål.docx", "A 30526-2024")</f>
        <v/>
      </c>
      <c r="W61">
        <f>HYPERLINK("https://klasma.github.io/Logging_1290/klagomålsmail/A 30526-2024 FSC-klagomål mail.docx", "A 30526-2024")</f>
        <v/>
      </c>
      <c r="X61">
        <f>HYPERLINK("https://klasma.github.io/Logging_1290/tillsyn/A 30526-2024 tillsynsbegäran.docx", "A 30526-2024")</f>
        <v/>
      </c>
      <c r="Y61">
        <f>HYPERLINK("https://klasma.github.io/Logging_1290/tillsynsmail/A 30526-2024 tillsynsbegäran mail.docx", "A 30526-2024")</f>
        <v/>
      </c>
    </row>
    <row r="62" ht="15" customHeight="1">
      <c r="A62" t="inlineStr">
        <is>
          <t>A 31620-2024</t>
        </is>
      </c>
      <c r="B62" s="1" t="n">
        <v>45506</v>
      </c>
      <c r="C62" s="1" t="n">
        <v>45564</v>
      </c>
      <c r="D62" t="inlineStr">
        <is>
          <t>SKÅNE LÄN</t>
        </is>
      </c>
      <c r="E62" t="inlineStr">
        <is>
          <t>KRISTIANSTAD</t>
        </is>
      </c>
      <c r="G62" t="n">
        <v>0.5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31620-2024 artfynd.xlsx", "A 31620-2024")</f>
        <v/>
      </c>
      <c r="T62">
        <f>HYPERLINK("https://klasma.github.io/Logging_1290/kartor/A 31620-2024 karta.png", "A 31620-2024")</f>
        <v/>
      </c>
      <c r="V62">
        <f>HYPERLINK("https://klasma.github.io/Logging_1290/klagomål/A 31620-2024 FSC-klagomål.docx", "A 31620-2024")</f>
        <v/>
      </c>
      <c r="W62">
        <f>HYPERLINK("https://klasma.github.io/Logging_1290/klagomålsmail/A 31620-2024 FSC-klagomål mail.docx", "A 31620-2024")</f>
        <v/>
      </c>
      <c r="X62">
        <f>HYPERLINK("https://klasma.github.io/Logging_1290/tillsyn/A 31620-2024 tillsynsbegäran.docx", "A 31620-2024")</f>
        <v/>
      </c>
      <c r="Y62">
        <f>HYPERLINK("https://klasma.github.io/Logging_1290/tillsynsmail/A 31620-2024 tillsynsbegäran mail.docx", "A 31620-2024")</f>
        <v/>
      </c>
    </row>
    <row r="63" ht="15" customHeight="1">
      <c r="A63" t="inlineStr">
        <is>
          <t>A 32101-2024</t>
        </is>
      </c>
      <c r="B63" s="1" t="n">
        <v>45511</v>
      </c>
      <c r="C63" s="1" t="n">
        <v>45564</v>
      </c>
      <c r="D63" t="inlineStr">
        <is>
          <t>SKÅNE LÄN</t>
        </is>
      </c>
      <c r="E63" t="inlineStr">
        <is>
          <t>KRISTIANSTAD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HYPERLINK("https://klasma.github.io/Logging_1290/artfynd/A 32101-2024 artfynd.xlsx", "A 32101-2024")</f>
        <v/>
      </c>
      <c r="T63">
        <f>HYPERLINK("https://klasma.github.io/Logging_1290/kartor/A 32101-2024 karta.png", "A 32101-2024")</f>
        <v/>
      </c>
      <c r="V63">
        <f>HYPERLINK("https://klasma.github.io/Logging_1290/klagomål/A 32101-2024 FSC-klagomål.docx", "A 32101-2024")</f>
        <v/>
      </c>
      <c r="W63">
        <f>HYPERLINK("https://klasma.github.io/Logging_1290/klagomålsmail/A 32101-2024 FSC-klagomål mail.docx", "A 32101-2024")</f>
        <v/>
      </c>
      <c r="X63">
        <f>HYPERLINK("https://klasma.github.io/Logging_1290/tillsyn/A 32101-2024 tillsynsbegäran.docx", "A 32101-2024")</f>
        <v/>
      </c>
      <c r="Y63">
        <f>HYPERLINK("https://klasma.github.io/Logging_1290/tillsynsmail/A 32101-2024 tillsynsbegäran mail.docx", "A 32101-2024")</f>
        <v/>
      </c>
    </row>
    <row r="64" ht="15" customHeight="1">
      <c r="A64" t="inlineStr">
        <is>
          <t>A 18260-2019</t>
        </is>
      </c>
      <c r="B64" s="1" t="n">
        <v>43557</v>
      </c>
      <c r="C64" s="1" t="n">
        <v>45564</v>
      </c>
      <c r="D64" t="inlineStr">
        <is>
          <t>SKÅNE LÄN</t>
        </is>
      </c>
      <c r="E64" t="inlineStr">
        <is>
          <t>KRISTIANSTAD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18412-2019</t>
        </is>
      </c>
      <c r="B65" s="1" t="n">
        <v>43559</v>
      </c>
      <c r="C65" s="1" t="n">
        <v>45564</v>
      </c>
      <c r="D65" t="inlineStr">
        <is>
          <t>SKÅNE LÄN</t>
        </is>
      </c>
      <c r="E65" t="inlineStr">
        <is>
          <t>KRISTIANSTAD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19183-2019</t>
        </is>
      </c>
      <c r="B66" s="1" t="n">
        <v>43564</v>
      </c>
      <c r="C66" s="1" t="n">
        <v>45564</v>
      </c>
      <c r="D66" t="inlineStr">
        <is>
          <t>SKÅNE LÄN</t>
        </is>
      </c>
      <c r="E66" t="inlineStr">
        <is>
          <t>KRISTIANSTAD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19327-2019</t>
        </is>
      </c>
      <c r="B67" s="1" t="n">
        <v>43565</v>
      </c>
      <c r="C67" s="1" t="n">
        <v>45564</v>
      </c>
      <c r="D67" t="inlineStr">
        <is>
          <t>SKÅNE LÄN</t>
        </is>
      </c>
      <c r="E67" t="inlineStr">
        <is>
          <t>KRISTIANSTAD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19596-2019</t>
        </is>
      </c>
      <c r="B68" s="1" t="n">
        <v>43565</v>
      </c>
      <c r="C68" s="1" t="n">
        <v>45564</v>
      </c>
      <c r="D68" t="inlineStr">
        <is>
          <t>SKÅNE LÄN</t>
        </is>
      </c>
      <c r="E68" t="inlineStr">
        <is>
          <t>KRISTIANSTAD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19508-2019</t>
        </is>
      </c>
      <c r="B69" s="1" t="n">
        <v>43565</v>
      </c>
      <c r="C69" s="1" t="n">
        <v>45564</v>
      </c>
      <c r="D69" t="inlineStr">
        <is>
          <t>SKÅNE LÄN</t>
        </is>
      </c>
      <c r="E69" t="inlineStr">
        <is>
          <t>KRISTIANSTAD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19661-2019</t>
        </is>
      </c>
      <c r="B70" s="1" t="n">
        <v>43566</v>
      </c>
      <c r="C70" s="1" t="n">
        <v>45564</v>
      </c>
      <c r="D70" t="inlineStr">
        <is>
          <t>SKÅNE LÄN</t>
        </is>
      </c>
      <c r="E70" t="inlineStr">
        <is>
          <t>KRISTIANSTAD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19664-2019</t>
        </is>
      </c>
      <c r="B71" s="1" t="n">
        <v>43566</v>
      </c>
      <c r="C71" s="1" t="n">
        <v>45564</v>
      </c>
      <c r="D71" t="inlineStr">
        <is>
          <t>SKÅNE LÄN</t>
        </is>
      </c>
      <c r="E71" t="inlineStr">
        <is>
          <t>KRISTIANSTAD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20332-2019</t>
        </is>
      </c>
      <c r="B72" s="1" t="n">
        <v>43571</v>
      </c>
      <c r="C72" s="1" t="n">
        <v>45564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20530-2019</t>
        </is>
      </c>
      <c r="B73" s="1" t="n">
        <v>43572</v>
      </c>
      <c r="C73" s="1" t="n">
        <v>45564</v>
      </c>
      <c r="D73" t="inlineStr">
        <is>
          <t>SKÅNE LÄN</t>
        </is>
      </c>
      <c r="E73" t="inlineStr">
        <is>
          <t>KRISTIANSTAD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21578-2019</t>
        </is>
      </c>
      <c r="B74" s="1" t="n">
        <v>43580</v>
      </c>
      <c r="C74" s="1" t="n">
        <v>45564</v>
      </c>
      <c r="D74" t="inlineStr">
        <is>
          <t>SKÅNE LÄN</t>
        </is>
      </c>
      <c r="E74" t="inlineStr">
        <is>
          <t>KRISTIANSTAD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21982-2019</t>
        </is>
      </c>
      <c r="B75" s="1" t="n">
        <v>43584</v>
      </c>
      <c r="C75" s="1" t="n">
        <v>45564</v>
      </c>
      <c r="D75" t="inlineStr">
        <is>
          <t>SKÅNE LÄN</t>
        </is>
      </c>
      <c r="E75" t="inlineStr">
        <is>
          <t>KRISTIANSTAD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24086-2019</t>
        </is>
      </c>
      <c r="B76" s="1" t="n">
        <v>43598</v>
      </c>
      <c r="C76" s="1" t="n">
        <v>45564</v>
      </c>
      <c r="D76" t="inlineStr">
        <is>
          <t>SKÅNE LÄN</t>
        </is>
      </c>
      <c r="E76" t="inlineStr">
        <is>
          <t>KRISTIANSTAD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24083-2019</t>
        </is>
      </c>
      <c r="B77" s="1" t="n">
        <v>43598</v>
      </c>
      <c r="C77" s="1" t="n">
        <v>45564</v>
      </c>
      <c r="D77" t="inlineStr">
        <is>
          <t>SKÅNE LÄN</t>
        </is>
      </c>
      <c r="E77" t="inlineStr">
        <is>
          <t>KRISTIANSTAD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26698-2019</t>
        </is>
      </c>
      <c r="B78" s="1" t="n">
        <v>43607</v>
      </c>
      <c r="C78" s="1" t="n">
        <v>45564</v>
      </c>
      <c r="D78" t="inlineStr">
        <is>
          <t>SKÅNE LÄN</t>
        </is>
      </c>
      <c r="E78" t="inlineStr">
        <is>
          <t>KRISTIANSTAD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32841-2019</t>
        </is>
      </c>
      <c r="B79" s="1" t="n">
        <v>43648</v>
      </c>
      <c r="C79" s="1" t="n">
        <v>45564</v>
      </c>
      <c r="D79" t="inlineStr">
        <is>
          <t>SKÅNE LÄN</t>
        </is>
      </c>
      <c r="E79" t="inlineStr">
        <is>
          <t>KRISTIANSTAD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32790-2019</t>
        </is>
      </c>
      <c r="B80" s="1" t="n">
        <v>43648</v>
      </c>
      <c r="C80" s="1" t="n">
        <v>45564</v>
      </c>
      <c r="D80" t="inlineStr">
        <is>
          <t>SKÅNE LÄN</t>
        </is>
      </c>
      <c r="E80" t="inlineStr">
        <is>
          <t>KRISTIANSTAD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32839-2019</t>
        </is>
      </c>
      <c r="B81" s="1" t="n">
        <v>43648</v>
      </c>
      <c r="C81" s="1" t="n">
        <v>45564</v>
      </c>
      <c r="D81" t="inlineStr">
        <is>
          <t>SKÅNE LÄN</t>
        </is>
      </c>
      <c r="E81" t="inlineStr">
        <is>
          <t>KRISTIANSTAD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36156-2019</t>
        </is>
      </c>
      <c r="B82" s="1" t="n">
        <v>43668</v>
      </c>
      <c r="C82" s="1" t="n">
        <v>45564</v>
      </c>
      <c r="D82" t="inlineStr">
        <is>
          <t>SKÅNE LÄN</t>
        </is>
      </c>
      <c r="E82" t="inlineStr">
        <is>
          <t>KRISTIANSTAD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36288-2019</t>
        </is>
      </c>
      <c r="B83" s="1" t="n">
        <v>43669</v>
      </c>
      <c r="C83" s="1" t="n">
        <v>45564</v>
      </c>
      <c r="D83" t="inlineStr">
        <is>
          <t>SKÅNE LÄN</t>
        </is>
      </c>
      <c r="E83" t="inlineStr">
        <is>
          <t>KRISTIANSTAD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36362-2019</t>
        </is>
      </c>
      <c r="B84" s="1" t="n">
        <v>43670</v>
      </c>
      <c r="C84" s="1" t="n">
        <v>45564</v>
      </c>
      <c r="D84" t="inlineStr">
        <is>
          <t>SKÅNE LÄN</t>
        </is>
      </c>
      <c r="E84" t="inlineStr">
        <is>
          <t>KRISTIANSTAD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37836-2019</t>
        </is>
      </c>
      <c r="B85" s="1" t="n">
        <v>43682</v>
      </c>
      <c r="C85" s="1" t="n">
        <v>45564</v>
      </c>
      <c r="D85" t="inlineStr">
        <is>
          <t>SKÅNE LÄN</t>
        </is>
      </c>
      <c r="E85" t="inlineStr">
        <is>
          <t>KRISTIANSTAD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37871-2019</t>
        </is>
      </c>
      <c r="B86" s="1" t="n">
        <v>43682</v>
      </c>
      <c r="C86" s="1" t="n">
        <v>45564</v>
      </c>
      <c r="D86" t="inlineStr">
        <is>
          <t>SKÅNE LÄN</t>
        </is>
      </c>
      <c r="E86" t="inlineStr">
        <is>
          <t>KRISTIANSTAD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39790-2019</t>
        </is>
      </c>
      <c r="B87" s="1" t="n">
        <v>43689</v>
      </c>
      <c r="C87" s="1" t="n">
        <v>45564</v>
      </c>
      <c r="D87" t="inlineStr">
        <is>
          <t>SKÅNE LÄN</t>
        </is>
      </c>
      <c r="E87" t="inlineStr">
        <is>
          <t>KRISTIANSTAD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40847-2019</t>
        </is>
      </c>
      <c r="B88" s="1" t="n">
        <v>43692</v>
      </c>
      <c r="C88" s="1" t="n">
        <v>45564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41164-2019</t>
        </is>
      </c>
      <c r="B89" s="1" t="n">
        <v>43693</v>
      </c>
      <c r="C89" s="1" t="n">
        <v>45564</v>
      </c>
      <c r="D89" t="inlineStr">
        <is>
          <t>SKÅNE LÄN</t>
        </is>
      </c>
      <c r="E89" t="inlineStr">
        <is>
          <t>KRISTIANSTAD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41878-2019</t>
        </is>
      </c>
      <c r="B90" s="1" t="n">
        <v>43700</v>
      </c>
      <c r="C90" s="1" t="n">
        <v>45564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44800-2019</t>
        </is>
      </c>
      <c r="B91" s="1" t="n">
        <v>43712</v>
      </c>
      <c r="C91" s="1" t="n">
        <v>45564</v>
      </c>
      <c r="D91" t="inlineStr">
        <is>
          <t>SKÅNE LÄN</t>
        </is>
      </c>
      <c r="E91" t="inlineStr">
        <is>
          <t>KRISTIANSTAD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45213-2019</t>
        </is>
      </c>
      <c r="B92" s="1" t="n">
        <v>43713</v>
      </c>
      <c r="C92" s="1" t="n">
        <v>45564</v>
      </c>
      <c r="D92" t="inlineStr">
        <is>
          <t>SKÅNE LÄN</t>
        </is>
      </c>
      <c r="E92" t="inlineStr">
        <is>
          <t>KRISTIANSTAD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45799-2019</t>
        </is>
      </c>
      <c r="B93" s="1" t="n">
        <v>43717</v>
      </c>
      <c r="C93" s="1" t="n">
        <v>45564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46298-2019</t>
        </is>
      </c>
      <c r="B94" s="1" t="n">
        <v>43718</v>
      </c>
      <c r="C94" s="1" t="n">
        <v>45564</v>
      </c>
      <c r="D94" t="inlineStr">
        <is>
          <t>SKÅNE LÄN</t>
        </is>
      </c>
      <c r="E94" t="inlineStr">
        <is>
          <t>KRISTIANSTAD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46403-2019</t>
        </is>
      </c>
      <c r="B95" s="1" t="n">
        <v>43719</v>
      </c>
      <c r="C95" s="1" t="n">
        <v>45564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47757-2019</t>
        </is>
      </c>
      <c r="B96" s="1" t="n">
        <v>43724</v>
      </c>
      <c r="C96" s="1" t="n">
        <v>45564</v>
      </c>
      <c r="D96" t="inlineStr">
        <is>
          <t>SKÅNE LÄN</t>
        </is>
      </c>
      <c r="E96" t="inlineStr">
        <is>
          <t>KRISTIANSTAD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51052-2019</t>
        </is>
      </c>
      <c r="B97" s="1" t="n">
        <v>43739</v>
      </c>
      <c r="C97" s="1" t="n">
        <v>45564</v>
      </c>
      <c r="D97" t="inlineStr">
        <is>
          <t>SKÅNE LÄN</t>
        </is>
      </c>
      <c r="E97" t="inlineStr">
        <is>
          <t>KRISTIANSTAD</t>
        </is>
      </c>
      <c r="F97" t="inlineStr">
        <is>
          <t>Övriga Aktiebolag</t>
        </is>
      </c>
      <c r="G97" t="n">
        <v>17.8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51745-2019</t>
        </is>
      </c>
      <c r="B98" s="1" t="n">
        <v>43741</v>
      </c>
      <c r="C98" s="1" t="n">
        <v>45564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52997-2019</t>
        </is>
      </c>
      <c r="B99" s="1" t="n">
        <v>43747</v>
      </c>
      <c r="C99" s="1" t="n">
        <v>45564</v>
      </c>
      <c r="D99" t="inlineStr">
        <is>
          <t>SKÅNE LÄN</t>
        </is>
      </c>
      <c r="E99" t="inlineStr">
        <is>
          <t>KRISTIANSTAD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52978-2019</t>
        </is>
      </c>
      <c r="B100" s="1" t="n">
        <v>43747</v>
      </c>
      <c r="C100" s="1" t="n">
        <v>45564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10.5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59293-2019</t>
        </is>
      </c>
      <c r="B101" s="1" t="n">
        <v>43773</v>
      </c>
      <c r="C101" s="1" t="n">
        <v>45564</v>
      </c>
      <c r="D101" t="inlineStr">
        <is>
          <t>SKÅNE LÄN</t>
        </is>
      </c>
      <c r="E101" t="inlineStr">
        <is>
          <t>KRISTIANSTAD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59946-2019</t>
        </is>
      </c>
      <c r="B102" s="1" t="n">
        <v>43775</v>
      </c>
      <c r="C102" s="1" t="n">
        <v>45564</v>
      </c>
      <c r="D102" t="inlineStr">
        <is>
          <t>SKÅNE LÄN</t>
        </is>
      </c>
      <c r="E102" t="inlineStr">
        <is>
          <t>KRISTIANSTAD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64957-2019</t>
        </is>
      </c>
      <c r="B103" s="1" t="n">
        <v>43795</v>
      </c>
      <c r="C103" s="1" t="n">
        <v>45564</v>
      </c>
      <c r="D103" t="inlineStr">
        <is>
          <t>SKÅNE LÄN</t>
        </is>
      </c>
      <c r="E103" t="inlineStr">
        <is>
          <t>KRISTIANSTAD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64949-2019</t>
        </is>
      </c>
      <c r="B104" s="1" t="n">
        <v>43801</v>
      </c>
      <c r="C104" s="1" t="n">
        <v>45564</v>
      </c>
      <c r="D104" t="inlineStr">
        <is>
          <t>SKÅNE LÄN</t>
        </is>
      </c>
      <c r="E104" t="inlineStr">
        <is>
          <t>KRISTIANSTAD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65603-2019</t>
        </is>
      </c>
      <c r="B105" s="1" t="n">
        <v>43804</v>
      </c>
      <c r="C105" s="1" t="n">
        <v>45564</v>
      </c>
      <c r="D105" t="inlineStr">
        <is>
          <t>SKÅNE LÄN</t>
        </is>
      </c>
      <c r="E105" t="inlineStr">
        <is>
          <t>KRISTIANSTAD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66782-2019</t>
        </is>
      </c>
      <c r="B106" s="1" t="n">
        <v>43804</v>
      </c>
      <c r="C106" s="1" t="n">
        <v>45564</v>
      </c>
      <c r="D106" t="inlineStr">
        <is>
          <t>SKÅNE LÄN</t>
        </is>
      </c>
      <c r="E106" t="inlineStr">
        <is>
          <t>KRISTIANSTAD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67147-2019</t>
        </is>
      </c>
      <c r="B107" s="1" t="n">
        <v>43811</v>
      </c>
      <c r="C107" s="1" t="n">
        <v>45564</v>
      </c>
      <c r="D107" t="inlineStr">
        <is>
          <t>SKÅNE LÄN</t>
        </is>
      </c>
      <c r="E107" t="inlineStr">
        <is>
          <t>KRISTIANSTAD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67195-2019</t>
        </is>
      </c>
      <c r="B108" s="1" t="n">
        <v>43811</v>
      </c>
      <c r="C108" s="1" t="n">
        <v>45564</v>
      </c>
      <c r="D108" t="inlineStr">
        <is>
          <t>SKÅNE LÄN</t>
        </is>
      </c>
      <c r="E108" t="inlineStr">
        <is>
          <t>KRISTIANSTAD</t>
        </is>
      </c>
      <c r="G108" t="n">
        <v>17.9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67347-2019</t>
        </is>
      </c>
      <c r="B109" s="1" t="n">
        <v>43812</v>
      </c>
      <c r="C109" s="1" t="n">
        <v>45564</v>
      </c>
      <c r="D109" t="inlineStr">
        <is>
          <t>SKÅNE LÄN</t>
        </is>
      </c>
      <c r="E109" t="inlineStr">
        <is>
          <t>KRISTIANSTAD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67970-2019</t>
        </is>
      </c>
      <c r="B110" s="1" t="n">
        <v>43816</v>
      </c>
      <c r="C110" s="1" t="n">
        <v>45564</v>
      </c>
      <c r="D110" t="inlineStr">
        <is>
          <t>SKÅNE LÄN</t>
        </is>
      </c>
      <c r="E110" t="inlineStr">
        <is>
          <t>KRISTIANSTAD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67968-2019</t>
        </is>
      </c>
      <c r="B111" s="1" t="n">
        <v>43816</v>
      </c>
      <c r="C111" s="1" t="n">
        <v>45564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842-2020</t>
        </is>
      </c>
      <c r="B112" s="1" t="n">
        <v>43818</v>
      </c>
      <c r="C112" s="1" t="n">
        <v>45564</v>
      </c>
      <c r="D112" t="inlineStr">
        <is>
          <t>SKÅNE LÄN</t>
        </is>
      </c>
      <c r="E112" t="inlineStr">
        <is>
          <t>KRISTIANSTAD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851-2020</t>
        </is>
      </c>
      <c r="B113" s="1" t="n">
        <v>43818</v>
      </c>
      <c r="C113" s="1" t="n">
        <v>45564</v>
      </c>
      <c r="D113" t="inlineStr">
        <is>
          <t>SKÅNE LÄN</t>
        </is>
      </c>
      <c r="E113" t="inlineStr">
        <is>
          <t>KRISTIANSTAD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1249-2020</t>
        </is>
      </c>
      <c r="B114" s="1" t="n">
        <v>43840</v>
      </c>
      <c r="C114" s="1" t="n">
        <v>45564</v>
      </c>
      <c r="D114" t="inlineStr">
        <is>
          <t>SKÅNE LÄN</t>
        </is>
      </c>
      <c r="E114" t="inlineStr">
        <is>
          <t>KRISTIANSTAD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3624-2020</t>
        </is>
      </c>
      <c r="B115" s="1" t="n">
        <v>43845</v>
      </c>
      <c r="C115" s="1" t="n">
        <v>45564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3573-2020</t>
        </is>
      </c>
      <c r="B116" s="1" t="n">
        <v>43845</v>
      </c>
      <c r="C116" s="1" t="n">
        <v>45564</v>
      </c>
      <c r="D116" t="inlineStr">
        <is>
          <t>SKÅNE LÄN</t>
        </is>
      </c>
      <c r="E116" t="inlineStr">
        <is>
          <t>KRISTIANSTAD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5177-2020</t>
        </is>
      </c>
      <c r="B117" s="1" t="n">
        <v>43860</v>
      </c>
      <c r="C117" s="1" t="n">
        <v>45564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6143-2020</t>
        </is>
      </c>
      <c r="B118" s="1" t="n">
        <v>43865</v>
      </c>
      <c r="C118" s="1" t="n">
        <v>45564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7085-2020</t>
        </is>
      </c>
      <c r="B119" s="1" t="n">
        <v>43868</v>
      </c>
      <c r="C119" s="1" t="n">
        <v>45564</v>
      </c>
      <c r="D119" t="inlineStr">
        <is>
          <t>SKÅNE LÄN</t>
        </is>
      </c>
      <c r="E119" t="inlineStr">
        <is>
          <t>KRISTIANSTAD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6928-2020</t>
        </is>
      </c>
      <c r="B120" s="1" t="n">
        <v>43868</v>
      </c>
      <c r="C120" s="1" t="n">
        <v>45564</v>
      </c>
      <c r="D120" t="inlineStr">
        <is>
          <t>SKÅNE LÄN</t>
        </is>
      </c>
      <c r="E120" t="inlineStr">
        <is>
          <t>KRISTIANSTAD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7578-2020</t>
        </is>
      </c>
      <c r="B121" s="1" t="n">
        <v>43872</v>
      </c>
      <c r="C121" s="1" t="n">
        <v>45564</v>
      </c>
      <c r="D121" t="inlineStr">
        <is>
          <t>SKÅNE LÄN</t>
        </is>
      </c>
      <c r="E121" t="inlineStr">
        <is>
          <t>KRISTIANSTAD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8946-2020</t>
        </is>
      </c>
      <c r="B122" s="1" t="n">
        <v>43878</v>
      </c>
      <c r="C122" s="1" t="n">
        <v>45564</v>
      </c>
      <c r="D122" t="inlineStr">
        <is>
          <t>SKÅNE LÄN</t>
        </is>
      </c>
      <c r="E122" t="inlineStr">
        <is>
          <t>KRISTIANSTAD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9078-2020</t>
        </is>
      </c>
      <c r="B123" s="1" t="n">
        <v>43879</v>
      </c>
      <c r="C123" s="1" t="n">
        <v>45564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9812-2020</t>
        </is>
      </c>
      <c r="B124" s="1" t="n">
        <v>43881</v>
      </c>
      <c r="C124" s="1" t="n">
        <v>45564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11262-2020</t>
        </is>
      </c>
      <c r="B125" s="1" t="n">
        <v>43888</v>
      </c>
      <c r="C125" s="1" t="n">
        <v>45564</v>
      </c>
      <c r="D125" t="inlineStr">
        <is>
          <t>SKÅNE LÄN</t>
        </is>
      </c>
      <c r="E125" t="inlineStr">
        <is>
          <t>KRISTIANSTAD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17290-2020</t>
        </is>
      </c>
      <c r="B126" s="1" t="n">
        <v>43915</v>
      </c>
      <c r="C126" s="1" t="n">
        <v>45564</v>
      </c>
      <c r="D126" t="inlineStr">
        <is>
          <t>SKÅNE LÄN</t>
        </is>
      </c>
      <c r="E126" t="inlineStr">
        <is>
          <t>KRISTIANSTAD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16388-2020</t>
        </is>
      </c>
      <c r="B127" s="1" t="n">
        <v>43917</v>
      </c>
      <c r="C127" s="1" t="n">
        <v>45564</v>
      </c>
      <c r="D127" t="inlineStr">
        <is>
          <t>SKÅNE LÄN</t>
        </is>
      </c>
      <c r="E127" t="inlineStr">
        <is>
          <t>KRISTIANSTAD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18677-2020</t>
        </is>
      </c>
      <c r="B128" s="1" t="n">
        <v>43930</v>
      </c>
      <c r="C128" s="1" t="n">
        <v>45564</v>
      </c>
      <c r="D128" t="inlineStr">
        <is>
          <t>SKÅNE LÄN</t>
        </is>
      </c>
      <c r="E128" t="inlineStr">
        <is>
          <t>KRISTIANSTAD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18881-2020</t>
        </is>
      </c>
      <c r="B129" s="1" t="n">
        <v>43935</v>
      </c>
      <c r="C129" s="1" t="n">
        <v>45564</v>
      </c>
      <c r="D129" t="inlineStr">
        <is>
          <t>SKÅNE LÄN</t>
        </is>
      </c>
      <c r="E129" t="inlineStr">
        <is>
          <t>KRISTIANSTAD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21356-2020</t>
        </is>
      </c>
      <c r="B130" s="1" t="n">
        <v>43955</v>
      </c>
      <c r="C130" s="1" t="n">
        <v>45564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24659-2020</t>
        </is>
      </c>
      <c r="B131" s="1" t="n">
        <v>43977</v>
      </c>
      <c r="C131" s="1" t="n">
        <v>45564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24667-2020</t>
        </is>
      </c>
      <c r="B132" s="1" t="n">
        <v>43977</v>
      </c>
      <c r="C132" s="1" t="n">
        <v>45564</v>
      </c>
      <c r="D132" t="inlineStr">
        <is>
          <t>SKÅNE LÄN</t>
        </is>
      </c>
      <c r="E132" t="inlineStr">
        <is>
          <t>KRISTIANSTAD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25893-2020</t>
        </is>
      </c>
      <c r="B133" s="1" t="n">
        <v>43984</v>
      </c>
      <c r="C133" s="1" t="n">
        <v>45564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26991-2020</t>
        </is>
      </c>
      <c r="B134" s="1" t="n">
        <v>43991</v>
      </c>
      <c r="C134" s="1" t="n">
        <v>45564</v>
      </c>
      <c r="D134" t="inlineStr">
        <is>
          <t>SKÅNE LÄN</t>
        </is>
      </c>
      <c r="E134" t="inlineStr">
        <is>
          <t>KRISTIANSTAD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28003-2020</t>
        </is>
      </c>
      <c r="B135" s="1" t="n">
        <v>43997</v>
      </c>
      <c r="C135" s="1" t="n">
        <v>45564</v>
      </c>
      <c r="D135" t="inlineStr">
        <is>
          <t>SKÅNE LÄN</t>
        </is>
      </c>
      <c r="E135" t="inlineStr">
        <is>
          <t>KRISTIANSTAD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29462-2020</t>
        </is>
      </c>
      <c r="B136" s="1" t="n">
        <v>44004</v>
      </c>
      <c r="C136" s="1" t="n">
        <v>45564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32517-2020</t>
        </is>
      </c>
      <c r="B137" s="1" t="n">
        <v>44018</v>
      </c>
      <c r="C137" s="1" t="n">
        <v>45564</v>
      </c>
      <c r="D137" t="inlineStr">
        <is>
          <t>SKÅNE LÄN</t>
        </is>
      </c>
      <c r="E137" t="inlineStr">
        <is>
          <t>KRISTIANSTAD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32593-2020</t>
        </is>
      </c>
      <c r="B138" s="1" t="n">
        <v>44019</v>
      </c>
      <c r="C138" s="1" t="n">
        <v>45564</v>
      </c>
      <c r="D138" t="inlineStr">
        <is>
          <t>SKÅNE LÄN</t>
        </is>
      </c>
      <c r="E138" t="inlineStr">
        <is>
          <t>KRISTIANSTAD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33516-2020</t>
        </is>
      </c>
      <c r="B139" s="1" t="n">
        <v>44022</v>
      </c>
      <c r="C139" s="1" t="n">
        <v>45564</v>
      </c>
      <c r="D139" t="inlineStr">
        <is>
          <t>SKÅNE LÄN</t>
        </is>
      </c>
      <c r="E139" t="inlineStr">
        <is>
          <t>KRISTIANSTAD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33511-2020</t>
        </is>
      </c>
      <c r="B140" s="1" t="n">
        <v>44022</v>
      </c>
      <c r="C140" s="1" t="n">
        <v>45564</v>
      </c>
      <c r="D140" t="inlineStr">
        <is>
          <t>SKÅNE LÄN</t>
        </is>
      </c>
      <c r="E140" t="inlineStr">
        <is>
          <t>KRISTIANSTAD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33515-2020</t>
        </is>
      </c>
      <c r="B141" s="1" t="n">
        <v>44022</v>
      </c>
      <c r="C141" s="1" t="n">
        <v>45564</v>
      </c>
      <c r="D141" t="inlineStr">
        <is>
          <t>SKÅNE LÄN</t>
        </is>
      </c>
      <c r="E141" t="inlineStr">
        <is>
          <t>KRISTIANSTAD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33733-2020</t>
        </is>
      </c>
      <c r="B142" s="1" t="n">
        <v>44022</v>
      </c>
      <c r="C142" s="1" t="n">
        <v>45564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33739-2020</t>
        </is>
      </c>
      <c r="B143" s="1" t="n">
        <v>44025</v>
      </c>
      <c r="C143" s="1" t="n">
        <v>45564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18.3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33742-2020</t>
        </is>
      </c>
      <c r="B144" s="1" t="n">
        <v>44025</v>
      </c>
      <c r="C144" s="1" t="n">
        <v>45564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33737-2020</t>
        </is>
      </c>
      <c r="B145" s="1" t="n">
        <v>44025</v>
      </c>
      <c r="C145" s="1" t="n">
        <v>45564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20.3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33866-2020</t>
        </is>
      </c>
      <c r="B146" s="1" t="n">
        <v>44025</v>
      </c>
      <c r="C146" s="1" t="n">
        <v>45564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33696-2020</t>
        </is>
      </c>
      <c r="B147" s="1" t="n">
        <v>44026</v>
      </c>
      <c r="C147" s="1" t="n">
        <v>45564</v>
      </c>
      <c r="D147" t="inlineStr">
        <is>
          <t>SKÅNE LÄN</t>
        </is>
      </c>
      <c r="E147" t="inlineStr">
        <is>
          <t>KRISTIANSTAD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34548-2020</t>
        </is>
      </c>
      <c r="B148" s="1" t="n">
        <v>44033</v>
      </c>
      <c r="C148" s="1" t="n">
        <v>45564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35463-2020</t>
        </is>
      </c>
      <c r="B149" s="1" t="n">
        <v>44042</v>
      </c>
      <c r="C149" s="1" t="n">
        <v>45564</v>
      </c>
      <c r="D149" t="inlineStr">
        <is>
          <t>SKÅNE LÄN</t>
        </is>
      </c>
      <c r="E149" t="inlineStr">
        <is>
          <t>KRISTIANSTAD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37180-2020</t>
        </is>
      </c>
      <c r="B150" s="1" t="n">
        <v>44054</v>
      </c>
      <c r="C150" s="1" t="n">
        <v>45564</v>
      </c>
      <c r="D150" t="inlineStr">
        <is>
          <t>SKÅNE LÄN</t>
        </is>
      </c>
      <c r="E150" t="inlineStr">
        <is>
          <t>KRISTIANSTAD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42262-2020</t>
        </is>
      </c>
      <c r="B151" s="1" t="n">
        <v>44074</v>
      </c>
      <c r="C151" s="1" t="n">
        <v>45564</v>
      </c>
      <c r="D151" t="inlineStr">
        <is>
          <t>SKÅNE LÄN</t>
        </is>
      </c>
      <c r="E151" t="inlineStr">
        <is>
          <t>KRISTIANSTAD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42353-2020</t>
        </is>
      </c>
      <c r="B152" s="1" t="n">
        <v>44076</v>
      </c>
      <c r="C152" s="1" t="n">
        <v>45564</v>
      </c>
      <c r="D152" t="inlineStr">
        <is>
          <t>SKÅNE LÄN</t>
        </is>
      </c>
      <c r="E152" t="inlineStr">
        <is>
          <t>KRISTIANSTAD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43414-2020</t>
        </is>
      </c>
      <c r="B153" s="1" t="n">
        <v>44077</v>
      </c>
      <c r="C153" s="1" t="n">
        <v>45564</v>
      </c>
      <c r="D153" t="inlineStr">
        <is>
          <t>SKÅNE LÄN</t>
        </is>
      </c>
      <c r="E153" t="inlineStr">
        <is>
          <t>KRISTIANSTAD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44316-2020</t>
        </is>
      </c>
      <c r="B154" s="1" t="n">
        <v>44084</v>
      </c>
      <c r="C154" s="1" t="n">
        <v>45564</v>
      </c>
      <c r="D154" t="inlineStr">
        <is>
          <t>SKÅNE LÄN</t>
        </is>
      </c>
      <c r="E154" t="inlineStr">
        <is>
          <t>KRISTIANSTAD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44463-2020</t>
        </is>
      </c>
      <c r="B155" s="1" t="n">
        <v>44084</v>
      </c>
      <c r="C155" s="1" t="n">
        <v>45564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44464-2020</t>
        </is>
      </c>
      <c r="B156" s="1" t="n">
        <v>44084</v>
      </c>
      <c r="C156" s="1" t="n">
        <v>45564</v>
      </c>
      <c r="D156" t="inlineStr">
        <is>
          <t>SKÅNE LÄN</t>
        </is>
      </c>
      <c r="E156" t="inlineStr">
        <is>
          <t>KRISTIANSTAD</t>
        </is>
      </c>
      <c r="G156" t="n">
        <v>11.6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47693-2020</t>
        </is>
      </c>
      <c r="B157" s="1" t="n">
        <v>44095</v>
      </c>
      <c r="C157" s="1" t="n">
        <v>45564</v>
      </c>
      <c r="D157" t="inlineStr">
        <is>
          <t>SKÅNE LÄN</t>
        </is>
      </c>
      <c r="E157" t="inlineStr">
        <is>
          <t>KRISTIANSTAD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47613-2020</t>
        </is>
      </c>
      <c r="B158" s="1" t="n">
        <v>44095</v>
      </c>
      <c r="C158" s="1" t="n">
        <v>45564</v>
      </c>
      <c r="D158" t="inlineStr">
        <is>
          <t>SKÅNE LÄN</t>
        </is>
      </c>
      <c r="E158" t="inlineStr">
        <is>
          <t>KRISTIANSTAD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47594-2020</t>
        </is>
      </c>
      <c r="B159" s="1" t="n">
        <v>44095</v>
      </c>
      <c r="C159" s="1" t="n">
        <v>45564</v>
      </c>
      <c r="D159" t="inlineStr">
        <is>
          <t>SKÅNE LÄN</t>
        </is>
      </c>
      <c r="E159" t="inlineStr">
        <is>
          <t>KRISTIANSTAD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47715-2020</t>
        </is>
      </c>
      <c r="B160" s="1" t="n">
        <v>44095</v>
      </c>
      <c r="C160" s="1" t="n">
        <v>45564</v>
      </c>
      <c r="D160" t="inlineStr">
        <is>
          <t>SKÅNE LÄN</t>
        </is>
      </c>
      <c r="E160" t="inlineStr">
        <is>
          <t>KRISTIANSTAD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52383-2020</t>
        </is>
      </c>
      <c r="B161" s="1" t="n">
        <v>44112</v>
      </c>
      <c r="C161" s="1" t="n">
        <v>45564</v>
      </c>
      <c r="D161" t="inlineStr">
        <is>
          <t>SKÅNE LÄN</t>
        </is>
      </c>
      <c r="E161" t="inlineStr">
        <is>
          <t>KRISTIANSTAD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55979-2020</t>
        </is>
      </c>
      <c r="B162" s="1" t="n">
        <v>44133</v>
      </c>
      <c r="C162" s="1" t="n">
        <v>45564</v>
      </c>
      <c r="D162" t="inlineStr">
        <is>
          <t>SKÅNE LÄN</t>
        </is>
      </c>
      <c r="E162" t="inlineStr">
        <is>
          <t>KRISTIANSTAD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56521-2020</t>
        </is>
      </c>
      <c r="B163" s="1" t="n">
        <v>44133</v>
      </c>
      <c r="C163" s="1" t="n">
        <v>45564</v>
      </c>
      <c r="D163" t="inlineStr">
        <is>
          <t>SKÅNE LÄN</t>
        </is>
      </c>
      <c r="E163" t="inlineStr">
        <is>
          <t>KRISTIANSTAD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57928-2020</t>
        </is>
      </c>
      <c r="B164" s="1" t="n">
        <v>44141</v>
      </c>
      <c r="C164" s="1" t="n">
        <v>45564</v>
      </c>
      <c r="D164" t="inlineStr">
        <is>
          <t>SKÅNE LÄN</t>
        </is>
      </c>
      <c r="E164" t="inlineStr">
        <is>
          <t>KRISTIANSTAD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57832-2020</t>
        </is>
      </c>
      <c r="B165" s="1" t="n">
        <v>44141</v>
      </c>
      <c r="C165" s="1" t="n">
        <v>45564</v>
      </c>
      <c r="D165" t="inlineStr">
        <is>
          <t>SKÅNE LÄN</t>
        </is>
      </c>
      <c r="E165" t="inlineStr">
        <is>
          <t>KRISTIANSTAD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57840-2020</t>
        </is>
      </c>
      <c r="B166" s="1" t="n">
        <v>44141</v>
      </c>
      <c r="C166" s="1" t="n">
        <v>45564</v>
      </c>
      <c r="D166" t="inlineStr">
        <is>
          <t>SKÅNE LÄN</t>
        </is>
      </c>
      <c r="E166" t="inlineStr">
        <is>
          <t>KRISTIANSTAD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58297-2020</t>
        </is>
      </c>
      <c r="B167" s="1" t="n">
        <v>44144</v>
      </c>
      <c r="C167" s="1" t="n">
        <v>45564</v>
      </c>
      <c r="D167" t="inlineStr">
        <is>
          <t>SKÅNE LÄN</t>
        </is>
      </c>
      <c r="E167" t="inlineStr">
        <is>
          <t>KRISTIANSTAD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58887-2020</t>
        </is>
      </c>
      <c r="B168" s="1" t="n">
        <v>44146</v>
      </c>
      <c r="C168" s="1" t="n">
        <v>45564</v>
      </c>
      <c r="D168" t="inlineStr">
        <is>
          <t>SKÅNE LÄN</t>
        </is>
      </c>
      <c r="E168" t="inlineStr">
        <is>
          <t>KRISTIANSTAD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58848-2020</t>
        </is>
      </c>
      <c r="B169" s="1" t="n">
        <v>44146</v>
      </c>
      <c r="C169" s="1" t="n">
        <v>45564</v>
      </c>
      <c r="D169" t="inlineStr">
        <is>
          <t>SKÅNE LÄN</t>
        </is>
      </c>
      <c r="E169" t="inlineStr">
        <is>
          <t>KRISTIANSTAD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62447-2020</t>
        </is>
      </c>
      <c r="B170" s="1" t="n">
        <v>44159</v>
      </c>
      <c r="C170" s="1" t="n">
        <v>45564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63456-2020</t>
        </is>
      </c>
      <c r="B171" s="1" t="n">
        <v>44161</v>
      </c>
      <c r="C171" s="1" t="n">
        <v>45564</v>
      </c>
      <c r="D171" t="inlineStr">
        <is>
          <t>SKÅNE LÄN</t>
        </is>
      </c>
      <c r="E171" t="inlineStr">
        <is>
          <t>KRISTIANSTAD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63389-2020</t>
        </is>
      </c>
      <c r="B172" s="1" t="n">
        <v>44161</v>
      </c>
      <c r="C172" s="1" t="n">
        <v>45564</v>
      </c>
      <c r="D172" t="inlineStr">
        <is>
          <t>SKÅNE LÄN</t>
        </is>
      </c>
      <c r="E172" t="inlineStr">
        <is>
          <t>KRISTIANSTAD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65040-2020</t>
        </is>
      </c>
      <c r="B173" s="1" t="n">
        <v>44167</v>
      </c>
      <c r="C173" s="1" t="n">
        <v>45564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65288-2020</t>
        </is>
      </c>
      <c r="B174" s="1" t="n">
        <v>44173</v>
      </c>
      <c r="C174" s="1" t="n">
        <v>45564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67083-2020</t>
        </is>
      </c>
      <c r="B175" s="1" t="n">
        <v>44180</v>
      </c>
      <c r="C175" s="1" t="n">
        <v>45564</v>
      </c>
      <c r="D175" t="inlineStr">
        <is>
          <t>SKÅNE LÄN</t>
        </is>
      </c>
      <c r="E175" t="inlineStr">
        <is>
          <t>KRISTIANSTAD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68105-2020</t>
        </is>
      </c>
      <c r="B176" s="1" t="n">
        <v>44183</v>
      </c>
      <c r="C176" s="1" t="n">
        <v>45564</v>
      </c>
      <c r="D176" t="inlineStr">
        <is>
          <t>SKÅNE LÄN</t>
        </is>
      </c>
      <c r="E176" t="inlineStr">
        <is>
          <t>KRISTIANSTAD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68634-2020</t>
        </is>
      </c>
      <c r="B177" s="1" t="n">
        <v>44186</v>
      </c>
      <c r="C177" s="1" t="n">
        <v>45564</v>
      </c>
      <c r="D177" t="inlineStr">
        <is>
          <t>SKÅNE LÄN</t>
        </is>
      </c>
      <c r="E177" t="inlineStr">
        <is>
          <t>KRISTIANSTAD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68845-2020</t>
        </is>
      </c>
      <c r="B178" s="1" t="n">
        <v>44186</v>
      </c>
      <c r="C178" s="1" t="n">
        <v>45564</v>
      </c>
      <c r="D178" t="inlineStr">
        <is>
          <t>SKÅNE LÄN</t>
        </is>
      </c>
      <c r="E178" t="inlineStr">
        <is>
          <t>KRISTIANSTAD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68840-2020</t>
        </is>
      </c>
      <c r="B179" s="1" t="n">
        <v>44186</v>
      </c>
      <c r="C179" s="1" t="n">
        <v>45564</v>
      </c>
      <c r="D179" t="inlineStr">
        <is>
          <t>SKÅNE LÄN</t>
        </is>
      </c>
      <c r="E179" t="inlineStr">
        <is>
          <t>KRISTIANSTAD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69273-2020</t>
        </is>
      </c>
      <c r="B180" s="1" t="n">
        <v>44193</v>
      </c>
      <c r="C180" s="1" t="n">
        <v>45564</v>
      </c>
      <c r="D180" t="inlineStr">
        <is>
          <t>SKÅNE LÄN</t>
        </is>
      </c>
      <c r="E180" t="inlineStr">
        <is>
          <t>KRISTIANSTAD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49-2021</t>
        </is>
      </c>
      <c r="B181" s="1" t="n">
        <v>44199</v>
      </c>
      <c r="C181" s="1" t="n">
        <v>45564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50-2021</t>
        </is>
      </c>
      <c r="B182" s="1" t="n">
        <v>44199</v>
      </c>
      <c r="C182" s="1" t="n">
        <v>45564</v>
      </c>
      <c r="D182" t="inlineStr">
        <is>
          <t>SKÅNE LÄN</t>
        </is>
      </c>
      <c r="E182" t="inlineStr">
        <is>
          <t>KRISTIANSTAD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2272-2021</t>
        </is>
      </c>
      <c r="B183" s="1" t="n">
        <v>44211</v>
      </c>
      <c r="C183" s="1" t="n">
        <v>45564</v>
      </c>
      <c r="D183" t="inlineStr">
        <is>
          <t>SKÅNE LÄN</t>
        </is>
      </c>
      <c r="E183" t="inlineStr">
        <is>
          <t>KRISTIANSTAD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7245-2021</t>
        </is>
      </c>
      <c r="B184" s="1" t="n">
        <v>44237</v>
      </c>
      <c r="C184" s="1" t="n">
        <v>45564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7209-2021</t>
        </is>
      </c>
      <c r="B185" s="1" t="n">
        <v>44237</v>
      </c>
      <c r="C185" s="1" t="n">
        <v>45564</v>
      </c>
      <c r="D185" t="inlineStr">
        <is>
          <t>SKÅNE LÄN</t>
        </is>
      </c>
      <c r="E185" t="inlineStr">
        <is>
          <t>KRISTIANSTAD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7231-2021</t>
        </is>
      </c>
      <c r="B186" s="1" t="n">
        <v>44237</v>
      </c>
      <c r="C186" s="1" t="n">
        <v>45564</v>
      </c>
      <c r="D186" t="inlineStr">
        <is>
          <t>SKÅNE LÄN</t>
        </is>
      </c>
      <c r="E186" t="inlineStr">
        <is>
          <t>KRISTIANSTAD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7186-2021</t>
        </is>
      </c>
      <c r="B187" s="1" t="n">
        <v>44238</v>
      </c>
      <c r="C187" s="1" t="n">
        <v>45564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8968-2021</t>
        </is>
      </c>
      <c r="B188" s="1" t="n">
        <v>44249</v>
      </c>
      <c r="C188" s="1" t="n">
        <v>45564</v>
      </c>
      <c r="D188" t="inlineStr">
        <is>
          <t>SKÅNE LÄN</t>
        </is>
      </c>
      <c r="E188" t="inlineStr">
        <is>
          <t>KRISTIANSTAD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10081-2021</t>
        </is>
      </c>
      <c r="B189" s="1" t="n">
        <v>44256</v>
      </c>
      <c r="C189" s="1" t="n">
        <v>45564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13255-2021</t>
        </is>
      </c>
      <c r="B190" s="1" t="n">
        <v>44272</v>
      </c>
      <c r="C190" s="1" t="n">
        <v>45564</v>
      </c>
      <c r="D190" t="inlineStr">
        <is>
          <t>SKÅNE LÄN</t>
        </is>
      </c>
      <c r="E190" t="inlineStr">
        <is>
          <t>KRISTIANSTAD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13591-2021</t>
        </is>
      </c>
      <c r="B191" s="1" t="n">
        <v>44274</v>
      </c>
      <c r="C191" s="1" t="n">
        <v>45564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15712-2021</t>
        </is>
      </c>
      <c r="B192" s="1" t="n">
        <v>44286</v>
      </c>
      <c r="C192" s="1" t="n">
        <v>45564</v>
      </c>
      <c r="D192" t="inlineStr">
        <is>
          <t>SKÅNE LÄN</t>
        </is>
      </c>
      <c r="E192" t="inlineStr">
        <is>
          <t>KRISTIANSTAD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16082-2021</t>
        </is>
      </c>
      <c r="B193" s="1" t="n">
        <v>44288</v>
      </c>
      <c r="C193" s="1" t="n">
        <v>45564</v>
      </c>
      <c r="D193" t="inlineStr">
        <is>
          <t>SKÅNE LÄN</t>
        </is>
      </c>
      <c r="E193" t="inlineStr">
        <is>
          <t>KRISTIANSTAD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17387-2021</t>
        </is>
      </c>
      <c r="B194" s="1" t="n">
        <v>44298</v>
      </c>
      <c r="C194" s="1" t="n">
        <v>45564</v>
      </c>
      <c r="D194" t="inlineStr">
        <is>
          <t>SKÅNE LÄN</t>
        </is>
      </c>
      <c r="E194" t="inlineStr">
        <is>
          <t>KRISTIANSTAD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18830-2021</t>
        </is>
      </c>
      <c r="B195" s="1" t="n">
        <v>44307</v>
      </c>
      <c r="C195" s="1" t="n">
        <v>45564</v>
      </c>
      <c r="D195" t="inlineStr">
        <is>
          <t>SKÅNE LÄN</t>
        </is>
      </c>
      <c r="E195" t="inlineStr">
        <is>
          <t>KRISTIANSTAD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20384-2021</t>
        </is>
      </c>
      <c r="B196" s="1" t="n">
        <v>44315</v>
      </c>
      <c r="C196" s="1" t="n">
        <v>45564</v>
      </c>
      <c r="D196" t="inlineStr">
        <is>
          <t>SKÅNE LÄN</t>
        </is>
      </c>
      <c r="E196" t="inlineStr">
        <is>
          <t>KRISTIANSTAD</t>
        </is>
      </c>
      <c r="F196" t="inlineStr">
        <is>
          <t>Kommuner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22345-2021</t>
        </is>
      </c>
      <c r="B197" s="1" t="n">
        <v>44326</v>
      </c>
      <c r="C197" s="1" t="n">
        <v>45564</v>
      </c>
      <c r="D197" t="inlineStr">
        <is>
          <t>SKÅNE LÄN</t>
        </is>
      </c>
      <c r="E197" t="inlineStr">
        <is>
          <t>KRISTIANSTAD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22958-2021</t>
        </is>
      </c>
      <c r="B198" s="1" t="n">
        <v>44328</v>
      </c>
      <c r="C198" s="1" t="n">
        <v>45564</v>
      </c>
      <c r="D198" t="inlineStr">
        <is>
          <t>SKÅNE LÄN</t>
        </is>
      </c>
      <c r="E198" t="inlineStr">
        <is>
          <t>KRISTIANSTAD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25051-2021</t>
        </is>
      </c>
      <c r="B199" s="1" t="n">
        <v>44341</v>
      </c>
      <c r="C199" s="1" t="n">
        <v>45564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25043-2021</t>
        </is>
      </c>
      <c r="B200" s="1" t="n">
        <v>44341</v>
      </c>
      <c r="C200" s="1" t="n">
        <v>45564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25047-2021</t>
        </is>
      </c>
      <c r="B201" s="1" t="n">
        <v>44341</v>
      </c>
      <c r="C201" s="1" t="n">
        <v>45564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25578-2021</t>
        </is>
      </c>
      <c r="B202" s="1" t="n">
        <v>44343</v>
      </c>
      <c r="C202" s="1" t="n">
        <v>45564</v>
      </c>
      <c r="D202" t="inlineStr">
        <is>
          <t>SKÅNE LÄN</t>
        </is>
      </c>
      <c r="E202" t="inlineStr">
        <is>
          <t>KRISTIANSTAD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26482-2021</t>
        </is>
      </c>
      <c r="B203" s="1" t="n">
        <v>44348</v>
      </c>
      <c r="C203" s="1" t="n">
        <v>45564</v>
      </c>
      <c r="D203" t="inlineStr">
        <is>
          <t>SKÅNE LÄN</t>
        </is>
      </c>
      <c r="E203" t="inlineStr">
        <is>
          <t>KRISTIANSTAD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26918-2021</t>
        </is>
      </c>
      <c r="B204" s="1" t="n">
        <v>44349</v>
      </c>
      <c r="C204" s="1" t="n">
        <v>45564</v>
      </c>
      <c r="D204" t="inlineStr">
        <is>
          <t>SKÅNE LÄN</t>
        </is>
      </c>
      <c r="E204" t="inlineStr">
        <is>
          <t>KRISTIANSTAD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27764-2021</t>
        </is>
      </c>
      <c r="B205" s="1" t="n">
        <v>44354</v>
      </c>
      <c r="C205" s="1" t="n">
        <v>45564</v>
      </c>
      <c r="D205" t="inlineStr">
        <is>
          <t>SKÅNE LÄN</t>
        </is>
      </c>
      <c r="E205" t="inlineStr">
        <is>
          <t>KRISTIANSTAD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27729-2021</t>
        </is>
      </c>
      <c r="B206" s="1" t="n">
        <v>44354</v>
      </c>
      <c r="C206" s="1" t="n">
        <v>45564</v>
      </c>
      <c r="D206" t="inlineStr">
        <is>
          <t>SKÅNE LÄN</t>
        </is>
      </c>
      <c r="E206" t="inlineStr">
        <is>
          <t>KRISTIANSTAD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29710-2021</t>
        </is>
      </c>
      <c r="B207" s="1" t="n">
        <v>44362</v>
      </c>
      <c r="C207" s="1" t="n">
        <v>45564</v>
      </c>
      <c r="D207" t="inlineStr">
        <is>
          <t>SKÅNE LÄN</t>
        </is>
      </c>
      <c r="E207" t="inlineStr">
        <is>
          <t>KRISTIANSTAD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30706-2021</t>
        </is>
      </c>
      <c r="B208" s="1" t="n">
        <v>44365</v>
      </c>
      <c r="C208" s="1" t="n">
        <v>45564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31262-2021</t>
        </is>
      </c>
      <c r="B209" s="1" t="n">
        <v>44368</v>
      </c>
      <c r="C209" s="1" t="n">
        <v>45564</v>
      </c>
      <c r="D209" t="inlineStr">
        <is>
          <t>SKÅNE LÄN</t>
        </is>
      </c>
      <c r="E209" t="inlineStr">
        <is>
          <t>KRISTIANSTAD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33788-2021</t>
        </is>
      </c>
      <c r="B210" s="1" t="n">
        <v>44378</v>
      </c>
      <c r="C210" s="1" t="n">
        <v>45564</v>
      </c>
      <c r="D210" t="inlineStr">
        <is>
          <t>SKÅNE LÄN</t>
        </is>
      </c>
      <c r="E210" t="inlineStr">
        <is>
          <t>KRISTIANSTAD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35304-2021</t>
        </is>
      </c>
      <c r="B211" s="1" t="n">
        <v>44384</v>
      </c>
      <c r="C211" s="1" t="n">
        <v>45564</v>
      </c>
      <c r="D211" t="inlineStr">
        <is>
          <t>SKÅNE LÄN</t>
        </is>
      </c>
      <c r="E211" t="inlineStr">
        <is>
          <t>KRISTIANSTAD</t>
        </is>
      </c>
      <c r="F211" t="inlineStr">
        <is>
          <t>Kyrkan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35300-2021</t>
        </is>
      </c>
      <c r="B212" s="1" t="n">
        <v>44384</v>
      </c>
      <c r="C212" s="1" t="n">
        <v>45564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37546-2021</t>
        </is>
      </c>
      <c r="B213" s="1" t="n">
        <v>44390</v>
      </c>
      <c r="C213" s="1" t="n">
        <v>45564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36412-2021</t>
        </is>
      </c>
      <c r="B214" s="1" t="n">
        <v>44390</v>
      </c>
      <c r="C214" s="1" t="n">
        <v>45564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37558-2021</t>
        </is>
      </c>
      <c r="B215" s="1" t="n">
        <v>44399</v>
      </c>
      <c r="C215" s="1" t="n">
        <v>45564</v>
      </c>
      <c r="D215" t="inlineStr">
        <is>
          <t>SKÅNE LÄN</t>
        </is>
      </c>
      <c r="E215" t="inlineStr">
        <is>
          <t>KRISTIANSTAD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37556-2021</t>
        </is>
      </c>
      <c r="B216" s="1" t="n">
        <v>44399</v>
      </c>
      <c r="C216" s="1" t="n">
        <v>45564</v>
      </c>
      <c r="D216" t="inlineStr">
        <is>
          <t>SKÅNE LÄN</t>
        </is>
      </c>
      <c r="E216" t="inlineStr">
        <is>
          <t>KRISTIANSTAD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38693-2021</t>
        </is>
      </c>
      <c r="B217" s="1" t="n">
        <v>44410</v>
      </c>
      <c r="C217" s="1" t="n">
        <v>45564</v>
      </c>
      <c r="D217" t="inlineStr">
        <is>
          <t>SKÅNE LÄN</t>
        </is>
      </c>
      <c r="E217" t="inlineStr">
        <is>
          <t>KRISTIANSTAD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39444-2021</t>
        </is>
      </c>
      <c r="B218" s="1" t="n">
        <v>44412</v>
      </c>
      <c r="C218" s="1" t="n">
        <v>45564</v>
      </c>
      <c r="D218" t="inlineStr">
        <is>
          <t>SKÅNE LÄN</t>
        </is>
      </c>
      <c r="E218" t="inlineStr">
        <is>
          <t>KRISTIANSTAD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39449-2021</t>
        </is>
      </c>
      <c r="B219" s="1" t="n">
        <v>44412</v>
      </c>
      <c r="C219" s="1" t="n">
        <v>45564</v>
      </c>
      <c r="D219" t="inlineStr">
        <is>
          <t>SKÅNE LÄN</t>
        </is>
      </c>
      <c r="E219" t="inlineStr">
        <is>
          <t>KRISTIANSTAD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39993-2021</t>
        </is>
      </c>
      <c r="B220" s="1" t="n">
        <v>44417</v>
      </c>
      <c r="C220" s="1" t="n">
        <v>45564</v>
      </c>
      <c r="D220" t="inlineStr">
        <is>
          <t>SKÅNE LÄN</t>
        </is>
      </c>
      <c r="E220" t="inlineStr">
        <is>
          <t>KRISTIANSTAD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39996-2021</t>
        </is>
      </c>
      <c r="B221" s="1" t="n">
        <v>44417</v>
      </c>
      <c r="C221" s="1" t="n">
        <v>45564</v>
      </c>
      <c r="D221" t="inlineStr">
        <is>
          <t>SKÅNE LÄN</t>
        </is>
      </c>
      <c r="E221" t="inlineStr">
        <is>
          <t>KRISTIANSTAD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40328-2021</t>
        </is>
      </c>
      <c r="B222" s="1" t="n">
        <v>44419</v>
      </c>
      <c r="C222" s="1" t="n">
        <v>45564</v>
      </c>
      <c r="D222" t="inlineStr">
        <is>
          <t>SKÅNE LÄN</t>
        </is>
      </c>
      <c r="E222" t="inlineStr">
        <is>
          <t>KRISTIANSTAD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40366-2021</t>
        </is>
      </c>
      <c r="B223" s="1" t="n">
        <v>44419</v>
      </c>
      <c r="C223" s="1" t="n">
        <v>45564</v>
      </c>
      <c r="D223" t="inlineStr">
        <is>
          <t>SKÅNE LÄN</t>
        </is>
      </c>
      <c r="E223" t="inlineStr">
        <is>
          <t>KRISTIANSTAD</t>
        </is>
      </c>
      <c r="F223" t="inlineStr">
        <is>
          <t>Kommuner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40330-2021</t>
        </is>
      </c>
      <c r="B224" s="1" t="n">
        <v>44419</v>
      </c>
      <c r="C224" s="1" t="n">
        <v>45564</v>
      </c>
      <c r="D224" t="inlineStr">
        <is>
          <t>SKÅNE LÄN</t>
        </is>
      </c>
      <c r="E224" t="inlineStr">
        <is>
          <t>KRISTIANSTAD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42658-2021</t>
        </is>
      </c>
      <c r="B225" s="1" t="n">
        <v>44428</v>
      </c>
      <c r="C225" s="1" t="n">
        <v>45564</v>
      </c>
      <c r="D225" t="inlineStr">
        <is>
          <t>SKÅNE LÄN</t>
        </is>
      </c>
      <c r="E225" t="inlineStr">
        <is>
          <t>KRISTIANSTAD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42681-2021</t>
        </is>
      </c>
      <c r="B226" s="1" t="n">
        <v>44428</v>
      </c>
      <c r="C226" s="1" t="n">
        <v>45564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43655-2021</t>
        </is>
      </c>
      <c r="B227" s="1" t="n">
        <v>44433</v>
      </c>
      <c r="C227" s="1" t="n">
        <v>45564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43981-2021</t>
        </is>
      </c>
      <c r="B228" s="1" t="n">
        <v>44434</v>
      </c>
      <c r="C228" s="1" t="n">
        <v>45564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44329-2021</t>
        </is>
      </c>
      <c r="B229" s="1" t="n">
        <v>44435</v>
      </c>
      <c r="C229" s="1" t="n">
        <v>45564</v>
      </c>
      <c r="D229" t="inlineStr">
        <is>
          <t>SKÅNE LÄN</t>
        </is>
      </c>
      <c r="E229" t="inlineStr">
        <is>
          <t>KRISTIANSTAD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44361-2021</t>
        </is>
      </c>
      <c r="B230" s="1" t="n">
        <v>44435</v>
      </c>
      <c r="C230" s="1" t="n">
        <v>45564</v>
      </c>
      <c r="D230" t="inlineStr">
        <is>
          <t>SKÅNE LÄN</t>
        </is>
      </c>
      <c r="E230" t="inlineStr">
        <is>
          <t>KRISTIANSTAD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46193-2021</t>
        </is>
      </c>
      <c r="B231" s="1" t="n">
        <v>44442</v>
      </c>
      <c r="C231" s="1" t="n">
        <v>45564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46190-2021</t>
        </is>
      </c>
      <c r="B232" s="1" t="n">
        <v>44442</v>
      </c>
      <c r="C232" s="1" t="n">
        <v>45564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48054-2021</t>
        </is>
      </c>
      <c r="B233" s="1" t="n">
        <v>44449</v>
      </c>
      <c r="C233" s="1" t="n">
        <v>45564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48184-2021</t>
        </is>
      </c>
      <c r="B234" s="1" t="n">
        <v>44449</v>
      </c>
      <c r="C234" s="1" t="n">
        <v>45564</v>
      </c>
      <c r="D234" t="inlineStr">
        <is>
          <t>SKÅNE LÄN</t>
        </is>
      </c>
      <c r="E234" t="inlineStr">
        <is>
          <t>KRISTIANSTAD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48173-2021</t>
        </is>
      </c>
      <c r="B235" s="1" t="n">
        <v>44449</v>
      </c>
      <c r="C235" s="1" t="n">
        <v>45564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48707-2021</t>
        </is>
      </c>
      <c r="B236" s="1" t="n">
        <v>44452</v>
      </c>
      <c r="C236" s="1" t="n">
        <v>45564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49520-2021</t>
        </is>
      </c>
      <c r="B237" s="1" t="n">
        <v>44455</v>
      </c>
      <c r="C237" s="1" t="n">
        <v>45564</v>
      </c>
      <c r="D237" t="inlineStr">
        <is>
          <t>SKÅNE LÄN</t>
        </is>
      </c>
      <c r="E237" t="inlineStr">
        <is>
          <t>KRISTIANSTAD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50834-2021</t>
        </is>
      </c>
      <c r="B238" s="1" t="n">
        <v>44460</v>
      </c>
      <c r="C238" s="1" t="n">
        <v>45564</v>
      </c>
      <c r="D238" t="inlineStr">
        <is>
          <t>SKÅNE LÄN</t>
        </is>
      </c>
      <c r="E238" t="inlineStr">
        <is>
          <t>KRISTIANSTAD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HYPERLINK("https://klasma.github.io/Logging_1290/knärot/A 50834-2021 karta knärot.png", "A 50834-2021")</f>
        <v/>
      </c>
      <c r="V238">
        <f>HYPERLINK("https://klasma.github.io/Logging_1290/klagomål/A 50834-2021 FSC-klagomål.docx", "A 50834-2021")</f>
        <v/>
      </c>
      <c r="W238">
        <f>HYPERLINK("https://klasma.github.io/Logging_1290/klagomålsmail/A 50834-2021 FSC-klagomål mail.docx", "A 50834-2021")</f>
        <v/>
      </c>
      <c r="X238">
        <f>HYPERLINK("https://klasma.github.io/Logging_1290/tillsyn/A 50834-2021 tillsynsbegäran.docx", "A 50834-2021")</f>
        <v/>
      </c>
      <c r="Y238">
        <f>HYPERLINK("https://klasma.github.io/Logging_1290/tillsynsmail/A 50834-2021 tillsynsbegäran mail.docx", "A 50834-2021")</f>
        <v/>
      </c>
    </row>
    <row r="239" ht="15" customHeight="1">
      <c r="A239" t="inlineStr">
        <is>
          <t>A 50828-2021</t>
        </is>
      </c>
      <c r="B239" s="1" t="n">
        <v>44460</v>
      </c>
      <c r="C239" s="1" t="n">
        <v>45564</v>
      </c>
      <c r="D239" t="inlineStr">
        <is>
          <t>SKÅNE LÄN</t>
        </is>
      </c>
      <c r="E239" t="inlineStr">
        <is>
          <t>KRISTIANSTAD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51318-2021</t>
        </is>
      </c>
      <c r="B240" s="1" t="n">
        <v>44461</v>
      </c>
      <c r="C240" s="1" t="n">
        <v>45564</v>
      </c>
      <c r="D240" t="inlineStr">
        <is>
          <t>SKÅNE LÄN</t>
        </is>
      </c>
      <c r="E240" t="inlineStr">
        <is>
          <t>KRISTIANSTAD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52057-2021</t>
        </is>
      </c>
      <c r="B241" s="1" t="n">
        <v>44463</v>
      </c>
      <c r="C241" s="1" t="n">
        <v>45564</v>
      </c>
      <c r="D241" t="inlineStr">
        <is>
          <t>SKÅNE LÄN</t>
        </is>
      </c>
      <c r="E241" t="inlineStr">
        <is>
          <t>KRISTIANSTAD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52924-2021</t>
        </is>
      </c>
      <c r="B242" s="1" t="n">
        <v>44467</v>
      </c>
      <c r="C242" s="1" t="n">
        <v>45564</v>
      </c>
      <c r="D242" t="inlineStr">
        <is>
          <t>SKÅNE LÄN</t>
        </is>
      </c>
      <c r="E242" t="inlineStr">
        <is>
          <t>KRISTIANSTAD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53258-2021</t>
        </is>
      </c>
      <c r="B243" s="1" t="n">
        <v>44468</v>
      </c>
      <c r="C243" s="1" t="n">
        <v>45564</v>
      </c>
      <c r="D243" t="inlineStr">
        <is>
          <t>SKÅNE LÄN</t>
        </is>
      </c>
      <c r="E243" t="inlineStr">
        <is>
          <t>KRISTIANSTAD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53491-2021</t>
        </is>
      </c>
      <c r="B244" s="1" t="n">
        <v>44468</v>
      </c>
      <c r="C244" s="1" t="n">
        <v>45564</v>
      </c>
      <c r="D244" t="inlineStr">
        <is>
          <t>SKÅNE LÄN</t>
        </is>
      </c>
      <c r="E244" t="inlineStr">
        <is>
          <t>KRISTIANSTAD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54057-2021</t>
        </is>
      </c>
      <c r="B245" s="1" t="n">
        <v>44470</v>
      </c>
      <c r="C245" s="1" t="n">
        <v>45564</v>
      </c>
      <c r="D245" t="inlineStr">
        <is>
          <t>SKÅNE LÄN</t>
        </is>
      </c>
      <c r="E245" t="inlineStr">
        <is>
          <t>KRISTIANSTAD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55737-2021</t>
        </is>
      </c>
      <c r="B246" s="1" t="n">
        <v>44476</v>
      </c>
      <c r="C246" s="1" t="n">
        <v>45564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56454-2021</t>
        </is>
      </c>
      <c r="B247" s="1" t="n">
        <v>44480</v>
      </c>
      <c r="C247" s="1" t="n">
        <v>45564</v>
      </c>
      <c r="D247" t="inlineStr">
        <is>
          <t>SKÅNE LÄN</t>
        </is>
      </c>
      <c r="E247" t="inlineStr">
        <is>
          <t>KRISTIANSTAD</t>
        </is>
      </c>
      <c r="F247" t="inlineStr">
        <is>
          <t>Kyrkan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57488-2021</t>
        </is>
      </c>
      <c r="B248" s="1" t="n">
        <v>44483</v>
      </c>
      <c r="C248" s="1" t="n">
        <v>45564</v>
      </c>
      <c r="D248" t="inlineStr">
        <is>
          <t>SKÅNE LÄN</t>
        </is>
      </c>
      <c r="E248" t="inlineStr">
        <is>
          <t>KRISTIANSTAD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58175-2021</t>
        </is>
      </c>
      <c r="B249" s="1" t="n">
        <v>44487</v>
      </c>
      <c r="C249" s="1" t="n">
        <v>45564</v>
      </c>
      <c r="D249" t="inlineStr">
        <is>
          <t>SKÅNE LÄN</t>
        </is>
      </c>
      <c r="E249" t="inlineStr">
        <is>
          <t>KRISTIANSTAD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59831-2021</t>
        </is>
      </c>
      <c r="B250" s="1" t="n">
        <v>44491</v>
      </c>
      <c r="C250" s="1" t="n">
        <v>45564</v>
      </c>
      <c r="D250" t="inlineStr">
        <is>
          <t>SKÅNE LÄN</t>
        </is>
      </c>
      <c r="E250" t="inlineStr">
        <is>
          <t>KRISTIANSTAD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61147-2021</t>
        </is>
      </c>
      <c r="B251" s="1" t="n">
        <v>44497</v>
      </c>
      <c r="C251" s="1" t="n">
        <v>45564</v>
      </c>
      <c r="D251" t="inlineStr">
        <is>
          <t>SKÅNE LÄN</t>
        </is>
      </c>
      <c r="E251" t="inlineStr">
        <is>
          <t>KRISTIANSTAD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61198-2021</t>
        </is>
      </c>
      <c r="B252" s="1" t="n">
        <v>44497</v>
      </c>
      <c r="C252" s="1" t="n">
        <v>45564</v>
      </c>
      <c r="D252" t="inlineStr">
        <is>
          <t>SKÅNE LÄN</t>
        </is>
      </c>
      <c r="E252" t="inlineStr">
        <is>
          <t>KRISTIANSTAD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61137-2021</t>
        </is>
      </c>
      <c r="B253" s="1" t="n">
        <v>44497</v>
      </c>
      <c r="C253" s="1" t="n">
        <v>45564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62282-2021</t>
        </is>
      </c>
      <c r="B254" s="1" t="n">
        <v>44503</v>
      </c>
      <c r="C254" s="1" t="n">
        <v>45564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65093-2021</t>
        </is>
      </c>
      <c r="B255" s="1" t="n">
        <v>44513</v>
      </c>
      <c r="C255" s="1" t="n">
        <v>45564</v>
      </c>
      <c r="D255" t="inlineStr">
        <is>
          <t>SKÅNE LÄN</t>
        </is>
      </c>
      <c r="E255" t="inlineStr">
        <is>
          <t>KRISTIANSTAD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65097-2021</t>
        </is>
      </c>
      <c r="B256" s="1" t="n">
        <v>44513</v>
      </c>
      <c r="C256" s="1" t="n">
        <v>45564</v>
      </c>
      <c r="D256" t="inlineStr">
        <is>
          <t>SKÅNE LÄN</t>
        </is>
      </c>
      <c r="E256" t="inlineStr">
        <is>
          <t>KRISTIANSTAD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66449-2021</t>
        </is>
      </c>
      <c r="B257" s="1" t="n">
        <v>44518</v>
      </c>
      <c r="C257" s="1" t="n">
        <v>45564</v>
      </c>
      <c r="D257" t="inlineStr">
        <is>
          <t>SKÅNE LÄN</t>
        </is>
      </c>
      <c r="E257" t="inlineStr">
        <is>
          <t>KRISTIANSTAD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67024-2021</t>
        </is>
      </c>
      <c r="B258" s="1" t="n">
        <v>44522</v>
      </c>
      <c r="C258" s="1" t="n">
        <v>45564</v>
      </c>
      <c r="D258" t="inlineStr">
        <is>
          <t>SKÅNE LÄN</t>
        </is>
      </c>
      <c r="E258" t="inlineStr">
        <is>
          <t>KRISTIANSTAD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69993-2021</t>
        </is>
      </c>
      <c r="B259" s="1" t="n">
        <v>44533</v>
      </c>
      <c r="C259" s="1" t="n">
        <v>45564</v>
      </c>
      <c r="D259" t="inlineStr">
        <is>
          <t>SKÅNE LÄN</t>
        </is>
      </c>
      <c r="E259" t="inlineStr">
        <is>
          <t>KRISTIANSTAD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70357-2021</t>
        </is>
      </c>
      <c r="B260" s="1" t="n">
        <v>44536</v>
      </c>
      <c r="C260" s="1" t="n">
        <v>45564</v>
      </c>
      <c r="D260" t="inlineStr">
        <is>
          <t>SKÅNE LÄN</t>
        </is>
      </c>
      <c r="E260" t="inlineStr">
        <is>
          <t>KRISTIANSTAD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70705-2021</t>
        </is>
      </c>
      <c r="B261" s="1" t="n">
        <v>44537</v>
      </c>
      <c r="C261" s="1" t="n">
        <v>45564</v>
      </c>
      <c r="D261" t="inlineStr">
        <is>
          <t>SKÅNE LÄN</t>
        </is>
      </c>
      <c r="E261" t="inlineStr">
        <is>
          <t>KRISTIANSTAD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71383-2021</t>
        </is>
      </c>
      <c r="B262" s="1" t="n">
        <v>44540</v>
      </c>
      <c r="C262" s="1" t="n">
        <v>45564</v>
      </c>
      <c r="D262" t="inlineStr">
        <is>
          <t>SKÅNE LÄN</t>
        </is>
      </c>
      <c r="E262" t="inlineStr">
        <is>
          <t>KRISTIANSTAD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72100-2021</t>
        </is>
      </c>
      <c r="B263" s="1" t="n">
        <v>44544</v>
      </c>
      <c r="C263" s="1" t="n">
        <v>45564</v>
      </c>
      <c r="D263" t="inlineStr">
        <is>
          <t>SKÅNE LÄN</t>
        </is>
      </c>
      <c r="E263" t="inlineStr">
        <is>
          <t>KRISTIANSTAD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74289-2021</t>
        </is>
      </c>
      <c r="B264" s="1" t="n">
        <v>44558</v>
      </c>
      <c r="C264" s="1" t="n">
        <v>45564</v>
      </c>
      <c r="D264" t="inlineStr">
        <is>
          <t>SKÅNE LÄN</t>
        </is>
      </c>
      <c r="E264" t="inlineStr">
        <is>
          <t>KRISTIANSTAD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74299-2021</t>
        </is>
      </c>
      <c r="B265" s="1" t="n">
        <v>44558</v>
      </c>
      <c r="C265" s="1" t="n">
        <v>45564</v>
      </c>
      <c r="D265" t="inlineStr">
        <is>
          <t>SKÅNE LÄN</t>
        </is>
      </c>
      <c r="E265" t="inlineStr">
        <is>
          <t>KRISTIANSTAD</t>
        </is>
      </c>
      <c r="G265" t="n">
        <v>10.7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74507-2021</t>
        </is>
      </c>
      <c r="B266" s="1" t="n">
        <v>44560</v>
      </c>
      <c r="C266" s="1" t="n">
        <v>45564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1218-2022</t>
        </is>
      </c>
      <c r="B267" s="1" t="n">
        <v>44572</v>
      </c>
      <c r="C267" s="1" t="n">
        <v>45564</v>
      </c>
      <c r="D267" t="inlineStr">
        <is>
          <t>SKÅNE LÄN</t>
        </is>
      </c>
      <c r="E267" t="inlineStr">
        <is>
          <t>KRISTIANSTAD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1228-2022</t>
        </is>
      </c>
      <c r="B268" s="1" t="n">
        <v>44572</v>
      </c>
      <c r="C268" s="1" t="n">
        <v>45564</v>
      </c>
      <c r="D268" t="inlineStr">
        <is>
          <t>SKÅNE LÄN</t>
        </is>
      </c>
      <c r="E268" t="inlineStr">
        <is>
          <t>KRISTIANSTAD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1351-2022</t>
        </is>
      </c>
      <c r="B269" s="1" t="n">
        <v>44572</v>
      </c>
      <c r="C269" s="1" t="n">
        <v>45564</v>
      </c>
      <c r="D269" t="inlineStr">
        <is>
          <t>SKÅNE LÄN</t>
        </is>
      </c>
      <c r="E269" t="inlineStr">
        <is>
          <t>KRISTIANSTAD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1694-2022</t>
        </is>
      </c>
      <c r="B270" s="1" t="n">
        <v>44574</v>
      </c>
      <c r="C270" s="1" t="n">
        <v>45564</v>
      </c>
      <c r="D270" t="inlineStr">
        <is>
          <t>SKÅNE LÄN</t>
        </is>
      </c>
      <c r="E270" t="inlineStr">
        <is>
          <t>KRISTIANSTAD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2007-2022</t>
        </is>
      </c>
      <c r="B271" s="1" t="n">
        <v>44575</v>
      </c>
      <c r="C271" s="1" t="n">
        <v>45564</v>
      </c>
      <c r="D271" t="inlineStr">
        <is>
          <t>SKÅNE LÄN</t>
        </is>
      </c>
      <c r="E271" t="inlineStr">
        <is>
          <t>KRISTIANSTAD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2472-2022</t>
        </is>
      </c>
      <c r="B272" s="1" t="n">
        <v>44579</v>
      </c>
      <c r="C272" s="1" t="n">
        <v>45564</v>
      </c>
      <c r="D272" t="inlineStr">
        <is>
          <t>SKÅNE LÄN</t>
        </is>
      </c>
      <c r="E272" t="inlineStr">
        <is>
          <t>KRISTIANSTAD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3904-2022</t>
        </is>
      </c>
      <c r="B273" s="1" t="n">
        <v>44587</v>
      </c>
      <c r="C273" s="1" t="n">
        <v>45564</v>
      </c>
      <c r="D273" t="inlineStr">
        <is>
          <t>SKÅNE LÄN</t>
        </is>
      </c>
      <c r="E273" t="inlineStr">
        <is>
          <t>KRISTIANSTAD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3908-2022</t>
        </is>
      </c>
      <c r="B274" s="1" t="n">
        <v>44587</v>
      </c>
      <c r="C274" s="1" t="n">
        <v>45564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4673-2022</t>
        </is>
      </c>
      <c r="B275" s="1" t="n">
        <v>44592</v>
      </c>
      <c r="C275" s="1" t="n">
        <v>45564</v>
      </c>
      <c r="D275" t="inlineStr">
        <is>
          <t>SKÅNE LÄN</t>
        </is>
      </c>
      <c r="E275" t="inlineStr">
        <is>
          <t>KRISTIANSTAD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4607-2022</t>
        </is>
      </c>
      <c r="B276" s="1" t="n">
        <v>44592</v>
      </c>
      <c r="C276" s="1" t="n">
        <v>45564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5537-2022</t>
        </is>
      </c>
      <c r="B277" s="1" t="n">
        <v>44595</v>
      </c>
      <c r="C277" s="1" t="n">
        <v>45564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5590-2022</t>
        </is>
      </c>
      <c r="B278" s="1" t="n">
        <v>44595</v>
      </c>
      <c r="C278" s="1" t="n">
        <v>45564</v>
      </c>
      <c r="D278" t="inlineStr">
        <is>
          <t>SKÅNE LÄN</t>
        </is>
      </c>
      <c r="E278" t="inlineStr">
        <is>
          <t>KRISTIANSTAD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5853-2022</t>
        </is>
      </c>
      <c r="B279" s="1" t="n">
        <v>44596</v>
      </c>
      <c r="C279" s="1" t="n">
        <v>45564</v>
      </c>
      <c r="D279" t="inlineStr">
        <is>
          <t>SKÅNE LÄN</t>
        </is>
      </c>
      <c r="E279" t="inlineStr">
        <is>
          <t>KRISTIANSTAD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5856-2022</t>
        </is>
      </c>
      <c r="B280" s="1" t="n">
        <v>44596</v>
      </c>
      <c r="C280" s="1" t="n">
        <v>45564</v>
      </c>
      <c r="D280" t="inlineStr">
        <is>
          <t>SKÅNE LÄN</t>
        </is>
      </c>
      <c r="E280" t="inlineStr">
        <is>
          <t>KRISTIANSTAD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5987-2022</t>
        </is>
      </c>
      <c r="B281" s="1" t="n">
        <v>44599</v>
      </c>
      <c r="C281" s="1" t="n">
        <v>45564</v>
      </c>
      <c r="D281" t="inlineStr">
        <is>
          <t>SKÅNE LÄN</t>
        </is>
      </c>
      <c r="E281" t="inlineStr">
        <is>
          <t>KRISTIANSTAD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6616-2022</t>
        </is>
      </c>
      <c r="B282" s="1" t="n">
        <v>44601</v>
      </c>
      <c r="C282" s="1" t="n">
        <v>45564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7546-2022</t>
        </is>
      </c>
      <c r="B283" s="1" t="n">
        <v>44607</v>
      </c>
      <c r="C283" s="1" t="n">
        <v>45564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8843-2022</t>
        </is>
      </c>
      <c r="B284" s="1" t="n">
        <v>44607</v>
      </c>
      <c r="C284" s="1" t="n">
        <v>45564</v>
      </c>
      <c r="D284" t="inlineStr">
        <is>
          <t>SKÅNE LÄN</t>
        </is>
      </c>
      <c r="E284" t="inlineStr">
        <is>
          <t>KRISTIANSTAD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8844-2022</t>
        </is>
      </c>
      <c r="B285" s="1" t="n">
        <v>44607</v>
      </c>
      <c r="C285" s="1" t="n">
        <v>45564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8084-2022</t>
        </is>
      </c>
      <c r="B286" s="1" t="n">
        <v>44608</v>
      </c>
      <c r="C286" s="1" t="n">
        <v>45564</v>
      </c>
      <c r="D286" t="inlineStr">
        <is>
          <t>SKÅNE LÄN</t>
        </is>
      </c>
      <c r="E286" t="inlineStr">
        <is>
          <t>KRISTIANSTAD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8206-2022</t>
        </is>
      </c>
      <c r="B287" s="1" t="n">
        <v>44609</v>
      </c>
      <c r="C287" s="1" t="n">
        <v>45564</v>
      </c>
      <c r="D287" t="inlineStr">
        <is>
          <t>SKÅNE LÄN</t>
        </is>
      </c>
      <c r="E287" t="inlineStr">
        <is>
          <t>KRISTIANSTAD</t>
        </is>
      </c>
      <c r="F287" t="inlineStr">
        <is>
          <t>Kyrkan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8260-2022</t>
        </is>
      </c>
      <c r="B288" s="1" t="n">
        <v>44610</v>
      </c>
      <c r="C288" s="1" t="n">
        <v>45564</v>
      </c>
      <c r="D288" t="inlineStr">
        <is>
          <t>SKÅNE LÄN</t>
        </is>
      </c>
      <c r="E288" t="inlineStr">
        <is>
          <t>KRISTIANSTAD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8619-2022</t>
        </is>
      </c>
      <c r="B289" s="1" t="n">
        <v>44613</v>
      </c>
      <c r="C289" s="1" t="n">
        <v>45564</v>
      </c>
      <c r="D289" t="inlineStr">
        <is>
          <t>SKÅNE LÄN</t>
        </is>
      </c>
      <c r="E289" t="inlineStr">
        <is>
          <t>KRISTIANSTAD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10194-2022</t>
        </is>
      </c>
      <c r="B290" s="1" t="n">
        <v>44622</v>
      </c>
      <c r="C290" s="1" t="n">
        <v>45564</v>
      </c>
      <c r="D290" t="inlineStr">
        <is>
          <t>SKÅNE LÄN</t>
        </is>
      </c>
      <c r="E290" t="inlineStr">
        <is>
          <t>KRISTIANSTAD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10352-2022</t>
        </is>
      </c>
      <c r="B291" s="1" t="n">
        <v>44623</v>
      </c>
      <c r="C291" s="1" t="n">
        <v>45564</v>
      </c>
      <c r="D291" t="inlineStr">
        <is>
          <t>SKÅNE LÄN</t>
        </is>
      </c>
      <c r="E291" t="inlineStr">
        <is>
          <t>KRISTIANSTAD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10355-2022</t>
        </is>
      </c>
      <c r="B292" s="1" t="n">
        <v>44623</v>
      </c>
      <c r="C292" s="1" t="n">
        <v>45564</v>
      </c>
      <c r="D292" t="inlineStr">
        <is>
          <t>SKÅNE LÄN</t>
        </is>
      </c>
      <c r="E292" t="inlineStr">
        <is>
          <t>KRISTIANSTAD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10474-2022</t>
        </is>
      </c>
      <c r="B293" s="1" t="n">
        <v>44623</v>
      </c>
      <c r="C293" s="1" t="n">
        <v>45564</v>
      </c>
      <c r="D293" t="inlineStr">
        <is>
          <t>SKÅNE LÄN</t>
        </is>
      </c>
      <c r="E293" t="inlineStr">
        <is>
          <t>KRISTIANSTAD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10781-2022</t>
        </is>
      </c>
      <c r="B294" s="1" t="n">
        <v>44627</v>
      </c>
      <c r="C294" s="1" t="n">
        <v>45564</v>
      </c>
      <c r="D294" t="inlineStr">
        <is>
          <t>SKÅNE LÄN</t>
        </is>
      </c>
      <c r="E294" t="inlineStr">
        <is>
          <t>KRISTIANSTAD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10805-2022</t>
        </is>
      </c>
      <c r="B295" s="1" t="n">
        <v>44627</v>
      </c>
      <c r="C295" s="1" t="n">
        <v>45564</v>
      </c>
      <c r="D295" t="inlineStr">
        <is>
          <t>SKÅNE LÄN</t>
        </is>
      </c>
      <c r="E295" t="inlineStr">
        <is>
          <t>KRISTIANSTAD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11067-2022</t>
        </is>
      </c>
      <c r="B296" s="1" t="n">
        <v>44628</v>
      </c>
      <c r="C296" s="1" t="n">
        <v>45564</v>
      </c>
      <c r="D296" t="inlineStr">
        <is>
          <t>SKÅNE LÄN</t>
        </is>
      </c>
      <c r="E296" t="inlineStr">
        <is>
          <t>KRISTIANSTAD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10970-2022</t>
        </is>
      </c>
      <c r="B297" s="1" t="n">
        <v>44628</v>
      </c>
      <c r="C297" s="1" t="n">
        <v>45564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11054-2022</t>
        </is>
      </c>
      <c r="B298" s="1" t="n">
        <v>44628</v>
      </c>
      <c r="C298" s="1" t="n">
        <v>45564</v>
      </c>
      <c r="D298" t="inlineStr">
        <is>
          <t>SKÅNE LÄN</t>
        </is>
      </c>
      <c r="E298" t="inlineStr">
        <is>
          <t>KRISTIANSTAD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11207-2022</t>
        </is>
      </c>
      <c r="B299" s="1" t="n">
        <v>44629</v>
      </c>
      <c r="C299" s="1" t="n">
        <v>45564</v>
      </c>
      <c r="D299" t="inlineStr">
        <is>
          <t>SKÅNE LÄN</t>
        </is>
      </c>
      <c r="E299" t="inlineStr">
        <is>
          <t>KRISTIANSTAD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11786-2022</t>
        </is>
      </c>
      <c r="B300" s="1" t="n">
        <v>44634</v>
      </c>
      <c r="C300" s="1" t="n">
        <v>45564</v>
      </c>
      <c r="D300" t="inlineStr">
        <is>
          <t>SKÅNE LÄN</t>
        </is>
      </c>
      <c r="E300" t="inlineStr">
        <is>
          <t>KRISTIANSTAD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11795-2022</t>
        </is>
      </c>
      <c r="B301" s="1" t="n">
        <v>44634</v>
      </c>
      <c r="C301" s="1" t="n">
        <v>45564</v>
      </c>
      <c r="D301" t="inlineStr">
        <is>
          <t>SKÅNE LÄN</t>
        </is>
      </c>
      <c r="E301" t="inlineStr">
        <is>
          <t>KRISTIANSTAD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12500-2022</t>
        </is>
      </c>
      <c r="B302" s="1" t="n">
        <v>44638</v>
      </c>
      <c r="C302" s="1" t="n">
        <v>45564</v>
      </c>
      <c r="D302" t="inlineStr">
        <is>
          <t>SKÅNE LÄN</t>
        </is>
      </c>
      <c r="E302" t="inlineStr">
        <is>
          <t>KRISTIANSTAD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13431-2022</t>
        </is>
      </c>
      <c r="B303" s="1" t="n">
        <v>44645</v>
      </c>
      <c r="C303" s="1" t="n">
        <v>45564</v>
      </c>
      <c r="D303" t="inlineStr">
        <is>
          <t>SKÅNE LÄN</t>
        </is>
      </c>
      <c r="E303" t="inlineStr">
        <is>
          <t>KRISTIANSTAD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13433-2022</t>
        </is>
      </c>
      <c r="B304" s="1" t="n">
        <v>44645</v>
      </c>
      <c r="C304" s="1" t="n">
        <v>45564</v>
      </c>
      <c r="D304" t="inlineStr">
        <is>
          <t>SKÅNE LÄN</t>
        </is>
      </c>
      <c r="E304" t="inlineStr">
        <is>
          <t>KRISTIANSTAD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14524-2022</t>
        </is>
      </c>
      <c r="B305" s="1" t="n">
        <v>44655</v>
      </c>
      <c r="C305" s="1" t="n">
        <v>45564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14913-2022</t>
        </is>
      </c>
      <c r="B306" s="1" t="n">
        <v>44656</v>
      </c>
      <c r="C306" s="1" t="n">
        <v>45564</v>
      </c>
      <c r="D306" t="inlineStr">
        <is>
          <t>SKÅNE LÄN</t>
        </is>
      </c>
      <c r="E306" t="inlineStr">
        <is>
          <t>KRISTIANSTAD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16204-2022</t>
        </is>
      </c>
      <c r="B307" s="1" t="n">
        <v>44669</v>
      </c>
      <c r="C307" s="1" t="n">
        <v>45564</v>
      </c>
      <c r="D307" t="inlineStr">
        <is>
          <t>SKÅNE LÄN</t>
        </is>
      </c>
      <c r="E307" t="inlineStr">
        <is>
          <t>KRISTIANSTAD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16326-2022</t>
        </is>
      </c>
      <c r="B308" s="1" t="n">
        <v>44670</v>
      </c>
      <c r="C308" s="1" t="n">
        <v>45564</v>
      </c>
      <c r="D308" t="inlineStr">
        <is>
          <t>SKÅNE LÄN</t>
        </is>
      </c>
      <c r="E308" t="inlineStr">
        <is>
          <t>KRISTIANSTAD</t>
        </is>
      </c>
      <c r="G308" t="n">
        <v>15.3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16579-2022</t>
        </is>
      </c>
      <c r="B309" s="1" t="n">
        <v>44672</v>
      </c>
      <c r="C309" s="1" t="n">
        <v>45564</v>
      </c>
      <c r="D309" t="inlineStr">
        <is>
          <t>SKÅNE LÄN</t>
        </is>
      </c>
      <c r="E309" t="inlineStr">
        <is>
          <t>KRISTIANSTAD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16564-2022</t>
        </is>
      </c>
      <c r="B310" s="1" t="n">
        <v>44672</v>
      </c>
      <c r="C310" s="1" t="n">
        <v>45564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16588-2022</t>
        </is>
      </c>
      <c r="B311" s="1" t="n">
        <v>44672</v>
      </c>
      <c r="C311" s="1" t="n">
        <v>45564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16571-2022</t>
        </is>
      </c>
      <c r="B312" s="1" t="n">
        <v>44672</v>
      </c>
      <c r="C312" s="1" t="n">
        <v>45564</v>
      </c>
      <c r="D312" t="inlineStr">
        <is>
          <t>SKÅNE LÄN</t>
        </is>
      </c>
      <c r="E312" t="inlineStr">
        <is>
          <t>KRISTIANSTAD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18146-2022</t>
        </is>
      </c>
      <c r="B313" s="1" t="n">
        <v>44684</v>
      </c>
      <c r="C313" s="1" t="n">
        <v>45564</v>
      </c>
      <c r="D313" t="inlineStr">
        <is>
          <t>SKÅNE LÄN</t>
        </is>
      </c>
      <c r="E313" t="inlineStr">
        <is>
          <t>KRISTIANSTAD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18322-2022</t>
        </is>
      </c>
      <c r="B314" s="1" t="n">
        <v>44685</v>
      </c>
      <c r="C314" s="1" t="n">
        <v>45564</v>
      </c>
      <c r="D314" t="inlineStr">
        <is>
          <t>SKÅNE LÄN</t>
        </is>
      </c>
      <c r="E314" t="inlineStr">
        <is>
          <t>KRISTIANSTAD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18449-2022</t>
        </is>
      </c>
      <c r="B315" s="1" t="n">
        <v>44686</v>
      </c>
      <c r="C315" s="1" t="n">
        <v>45564</v>
      </c>
      <c r="D315" t="inlineStr">
        <is>
          <t>SKÅNE LÄN</t>
        </is>
      </c>
      <c r="E315" t="inlineStr">
        <is>
          <t>KRISTIANSTAD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19642-2022</t>
        </is>
      </c>
      <c r="B316" s="1" t="n">
        <v>44694</v>
      </c>
      <c r="C316" s="1" t="n">
        <v>45564</v>
      </c>
      <c r="D316" t="inlineStr">
        <is>
          <t>SKÅNE LÄN</t>
        </is>
      </c>
      <c r="E316" t="inlineStr">
        <is>
          <t>KRISTIANSTAD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19910-2022</t>
        </is>
      </c>
      <c r="B317" s="1" t="n">
        <v>44697</v>
      </c>
      <c r="C317" s="1" t="n">
        <v>45564</v>
      </c>
      <c r="D317" t="inlineStr">
        <is>
          <t>SKÅNE LÄN</t>
        </is>
      </c>
      <c r="E317" t="inlineStr">
        <is>
          <t>KRISTIANSTAD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21393-2022</t>
        </is>
      </c>
      <c r="B318" s="1" t="n">
        <v>44705</v>
      </c>
      <c r="C318" s="1" t="n">
        <v>45564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21390-2022</t>
        </is>
      </c>
      <c r="B319" s="1" t="n">
        <v>44705</v>
      </c>
      <c r="C319" s="1" t="n">
        <v>45564</v>
      </c>
      <c r="D319" t="inlineStr">
        <is>
          <t>SKÅNE LÄN</t>
        </is>
      </c>
      <c r="E319" t="inlineStr">
        <is>
          <t>KRISTIANSTAD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21417-2022</t>
        </is>
      </c>
      <c r="B320" s="1" t="n">
        <v>44706</v>
      </c>
      <c r="C320" s="1" t="n">
        <v>45564</v>
      </c>
      <c r="D320" t="inlineStr">
        <is>
          <t>SKÅNE LÄN</t>
        </is>
      </c>
      <c r="E320" t="inlineStr">
        <is>
          <t>KRISTIANSTAD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22292-2022</t>
        </is>
      </c>
      <c r="B321" s="1" t="n">
        <v>44712</v>
      </c>
      <c r="C321" s="1" t="n">
        <v>45564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19.5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22548-2022</t>
        </is>
      </c>
      <c r="B322" s="1" t="n">
        <v>44714</v>
      </c>
      <c r="C322" s="1" t="n">
        <v>45564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22504-2022</t>
        </is>
      </c>
      <c r="B323" s="1" t="n">
        <v>44713</v>
      </c>
      <c r="C323" s="1" t="n">
        <v>45564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23412-2022</t>
        </is>
      </c>
      <c r="B324" s="1" t="n">
        <v>44720</v>
      </c>
      <c r="C324" s="1" t="n">
        <v>45564</v>
      </c>
      <c r="D324" t="inlineStr">
        <is>
          <t>SKÅNE LÄN</t>
        </is>
      </c>
      <c r="E324" t="inlineStr">
        <is>
          <t>KRISTIANSTAD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23457-2022</t>
        </is>
      </c>
      <c r="B325" s="1" t="n">
        <v>44721</v>
      </c>
      <c r="C325" s="1" t="n">
        <v>45564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24415-2022</t>
        </is>
      </c>
      <c r="B326" s="1" t="n">
        <v>44725</v>
      </c>
      <c r="C326" s="1" t="n">
        <v>45564</v>
      </c>
      <c r="D326" t="inlineStr">
        <is>
          <t>SKÅNE LÄN</t>
        </is>
      </c>
      <c r="E326" t="inlineStr">
        <is>
          <t>KRISTIANSTAD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25191-2022</t>
        </is>
      </c>
      <c r="B327" s="1" t="n">
        <v>44729</v>
      </c>
      <c r="C327" s="1" t="n">
        <v>45564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25249-2022</t>
        </is>
      </c>
      <c r="B328" s="1" t="n">
        <v>44729</v>
      </c>
      <c r="C328" s="1" t="n">
        <v>45564</v>
      </c>
      <c r="D328" t="inlineStr">
        <is>
          <t>SKÅNE LÄN</t>
        </is>
      </c>
      <c r="E328" t="inlineStr">
        <is>
          <t>KRISTIANSTAD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25450-2022</t>
        </is>
      </c>
      <c r="B329" s="1" t="n">
        <v>44732</v>
      </c>
      <c r="C329" s="1" t="n">
        <v>45564</v>
      </c>
      <c r="D329" t="inlineStr">
        <is>
          <t>SKÅNE LÄN</t>
        </is>
      </c>
      <c r="E329" t="inlineStr">
        <is>
          <t>KRISTIANSTAD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26551-2022</t>
        </is>
      </c>
      <c r="B330" s="1" t="n">
        <v>44739</v>
      </c>
      <c r="C330" s="1" t="n">
        <v>45564</v>
      </c>
      <c r="D330" t="inlineStr">
        <is>
          <t>SKÅNE LÄN</t>
        </is>
      </c>
      <c r="E330" t="inlineStr">
        <is>
          <t>KRISTIANSTAD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26857-2022</t>
        </is>
      </c>
      <c r="B331" s="1" t="n">
        <v>44740</v>
      </c>
      <c r="C331" s="1" t="n">
        <v>45564</v>
      </c>
      <c r="D331" t="inlineStr">
        <is>
          <t>SKÅNE LÄN</t>
        </is>
      </c>
      <c r="E331" t="inlineStr">
        <is>
          <t>KRISTIANSTAD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27476-2022</t>
        </is>
      </c>
      <c r="B332" s="1" t="n">
        <v>44742</v>
      </c>
      <c r="C332" s="1" t="n">
        <v>45564</v>
      </c>
      <c r="D332" t="inlineStr">
        <is>
          <t>SKÅNE LÄN</t>
        </is>
      </c>
      <c r="E332" t="inlineStr">
        <is>
          <t>KRISTIANSTAD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27529-2022</t>
        </is>
      </c>
      <c r="B333" s="1" t="n">
        <v>44742</v>
      </c>
      <c r="C333" s="1" t="n">
        <v>45564</v>
      </c>
      <c r="D333" t="inlineStr">
        <is>
          <t>SKÅNE LÄN</t>
        </is>
      </c>
      <c r="E333" t="inlineStr">
        <is>
          <t>KRISTIANSTAD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27956-2022</t>
        </is>
      </c>
      <c r="B334" s="1" t="n">
        <v>44743</v>
      </c>
      <c r="C334" s="1" t="n">
        <v>45564</v>
      </c>
      <c r="D334" t="inlineStr">
        <is>
          <t>SKÅNE LÄN</t>
        </is>
      </c>
      <c r="E334" t="inlineStr">
        <is>
          <t>KRISTIANSTAD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27955-2022</t>
        </is>
      </c>
      <c r="B335" s="1" t="n">
        <v>44743</v>
      </c>
      <c r="C335" s="1" t="n">
        <v>45564</v>
      </c>
      <c r="D335" t="inlineStr">
        <is>
          <t>SKÅNE LÄN</t>
        </is>
      </c>
      <c r="E335" t="inlineStr">
        <is>
          <t>KRISTIANSTAD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27953-2022</t>
        </is>
      </c>
      <c r="B336" s="1" t="n">
        <v>44743</v>
      </c>
      <c r="C336" s="1" t="n">
        <v>45564</v>
      </c>
      <c r="D336" t="inlineStr">
        <is>
          <t>SKÅNE LÄN</t>
        </is>
      </c>
      <c r="E336" t="inlineStr">
        <is>
          <t>KRISTIANSTAD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27957-2022</t>
        </is>
      </c>
      <c r="B337" s="1" t="n">
        <v>44743</v>
      </c>
      <c r="C337" s="1" t="n">
        <v>45564</v>
      </c>
      <c r="D337" t="inlineStr">
        <is>
          <t>SKÅNE LÄN</t>
        </is>
      </c>
      <c r="E337" t="inlineStr">
        <is>
          <t>KRISTIANSTAD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27962-2022</t>
        </is>
      </c>
      <c r="B338" s="1" t="n">
        <v>44744</v>
      </c>
      <c r="C338" s="1" t="n">
        <v>45564</v>
      </c>
      <c r="D338" t="inlineStr">
        <is>
          <t>SKÅNE LÄN</t>
        </is>
      </c>
      <c r="E338" t="inlineStr">
        <is>
          <t>KRISTIANSTAD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27961-2022</t>
        </is>
      </c>
      <c r="B339" s="1" t="n">
        <v>44744</v>
      </c>
      <c r="C339" s="1" t="n">
        <v>45564</v>
      </c>
      <c r="D339" t="inlineStr">
        <is>
          <t>SKÅNE LÄN</t>
        </is>
      </c>
      <c r="E339" t="inlineStr">
        <is>
          <t>KRISTIANSTAD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27960-2022</t>
        </is>
      </c>
      <c r="B340" s="1" t="n">
        <v>44744</v>
      </c>
      <c r="C340" s="1" t="n">
        <v>45564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28082-2022</t>
        </is>
      </c>
      <c r="B341" s="1" t="n">
        <v>44746</v>
      </c>
      <c r="C341" s="1" t="n">
        <v>45564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28781-2022</t>
        </is>
      </c>
      <c r="B342" s="1" t="n">
        <v>44749</v>
      </c>
      <c r="C342" s="1" t="n">
        <v>45564</v>
      </c>
      <c r="D342" t="inlineStr">
        <is>
          <t>SKÅNE LÄN</t>
        </is>
      </c>
      <c r="E342" t="inlineStr">
        <is>
          <t>KRISTIANSTAD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28853-2022</t>
        </is>
      </c>
      <c r="B343" s="1" t="n">
        <v>44749</v>
      </c>
      <c r="C343" s="1" t="n">
        <v>45564</v>
      </c>
      <c r="D343" t="inlineStr">
        <is>
          <t>SKÅNE LÄN</t>
        </is>
      </c>
      <c r="E343" t="inlineStr">
        <is>
          <t>KRISTIANSTAD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30641-2022</t>
        </is>
      </c>
      <c r="B344" s="1" t="n">
        <v>44763</v>
      </c>
      <c r="C344" s="1" t="n">
        <v>45564</v>
      </c>
      <c r="D344" t="inlineStr">
        <is>
          <t>SKÅNE LÄN</t>
        </is>
      </c>
      <c r="E344" t="inlineStr">
        <is>
          <t>KRISTIANSTAD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30845-2022</t>
        </is>
      </c>
      <c r="B345" s="1" t="n">
        <v>44767</v>
      </c>
      <c r="C345" s="1" t="n">
        <v>45564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30863-2022</t>
        </is>
      </c>
      <c r="B346" s="1" t="n">
        <v>44767</v>
      </c>
      <c r="C346" s="1" t="n">
        <v>45564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30916-2022</t>
        </is>
      </c>
      <c r="B347" s="1" t="n">
        <v>44767</v>
      </c>
      <c r="C347" s="1" t="n">
        <v>45564</v>
      </c>
      <c r="D347" t="inlineStr">
        <is>
          <t>SKÅNE LÄN</t>
        </is>
      </c>
      <c r="E347" t="inlineStr">
        <is>
          <t>KRISTIANSTAD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30864-2022</t>
        </is>
      </c>
      <c r="B348" s="1" t="n">
        <v>44767</v>
      </c>
      <c r="C348" s="1" t="n">
        <v>45564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30918-2022</t>
        </is>
      </c>
      <c r="B349" s="1" t="n">
        <v>44767</v>
      </c>
      <c r="C349" s="1" t="n">
        <v>45564</v>
      </c>
      <c r="D349" t="inlineStr">
        <is>
          <t>SKÅNE LÄN</t>
        </is>
      </c>
      <c r="E349" t="inlineStr">
        <is>
          <t>KRISTIANSTAD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30925-2022</t>
        </is>
      </c>
      <c r="B350" s="1" t="n">
        <v>44767</v>
      </c>
      <c r="C350" s="1" t="n">
        <v>45564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31374-2022</t>
        </is>
      </c>
      <c r="B351" s="1" t="n">
        <v>44774</v>
      </c>
      <c r="C351" s="1" t="n">
        <v>45564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31352-2022</t>
        </is>
      </c>
      <c r="B352" s="1" t="n">
        <v>44774</v>
      </c>
      <c r="C352" s="1" t="n">
        <v>45564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33682-2022</t>
        </is>
      </c>
      <c r="B353" s="1" t="n">
        <v>44789</v>
      </c>
      <c r="C353" s="1" t="n">
        <v>45564</v>
      </c>
      <c r="D353" t="inlineStr">
        <is>
          <t>SKÅNE LÄN</t>
        </is>
      </c>
      <c r="E353" t="inlineStr">
        <is>
          <t>KRISTIANSTAD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34719-2022</t>
        </is>
      </c>
      <c r="B354" s="1" t="n">
        <v>44795</v>
      </c>
      <c r="C354" s="1" t="n">
        <v>45564</v>
      </c>
      <c r="D354" t="inlineStr">
        <is>
          <t>SKÅNE LÄN</t>
        </is>
      </c>
      <c r="E354" t="inlineStr">
        <is>
          <t>KRISTIANSTAD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34873-2022</t>
        </is>
      </c>
      <c r="B355" s="1" t="n">
        <v>44796</v>
      </c>
      <c r="C355" s="1" t="n">
        <v>45564</v>
      </c>
      <c r="D355" t="inlineStr">
        <is>
          <t>SKÅNE LÄN</t>
        </is>
      </c>
      <c r="E355" t="inlineStr">
        <is>
          <t>KRISTIANSTAD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36540-2022</t>
        </is>
      </c>
      <c r="B356" s="1" t="n">
        <v>44804</v>
      </c>
      <c r="C356" s="1" t="n">
        <v>45564</v>
      </c>
      <c r="D356" t="inlineStr">
        <is>
          <t>SKÅNE LÄN</t>
        </is>
      </c>
      <c r="E356" t="inlineStr">
        <is>
          <t>KRISTIANSTAD</t>
        </is>
      </c>
      <c r="G356" t="n">
        <v>17.9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38492-2022</t>
        </is>
      </c>
      <c r="B357" s="1" t="n">
        <v>44813</v>
      </c>
      <c r="C357" s="1" t="n">
        <v>45564</v>
      </c>
      <c r="D357" t="inlineStr">
        <is>
          <t>SKÅNE LÄN</t>
        </is>
      </c>
      <c r="E357" t="inlineStr">
        <is>
          <t>KRISTIANSTAD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38500-2022</t>
        </is>
      </c>
      <c r="B358" s="1" t="n">
        <v>44813</v>
      </c>
      <c r="C358" s="1" t="n">
        <v>45564</v>
      </c>
      <c r="D358" t="inlineStr">
        <is>
          <t>SKÅNE LÄN</t>
        </is>
      </c>
      <c r="E358" t="inlineStr">
        <is>
          <t>KRISTIANSTAD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38778-2022</t>
        </is>
      </c>
      <c r="B359" s="1" t="n">
        <v>44816</v>
      </c>
      <c r="C359" s="1" t="n">
        <v>45564</v>
      </c>
      <c r="D359" t="inlineStr">
        <is>
          <t>SKÅNE LÄN</t>
        </is>
      </c>
      <c r="E359" t="inlineStr">
        <is>
          <t>KRISTIANSTAD</t>
        </is>
      </c>
      <c r="G359" t="n">
        <v>17.1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38938-2022</t>
        </is>
      </c>
      <c r="B360" s="1" t="n">
        <v>44816</v>
      </c>
      <c r="C360" s="1" t="n">
        <v>45564</v>
      </c>
      <c r="D360" t="inlineStr">
        <is>
          <t>SKÅNE LÄN</t>
        </is>
      </c>
      <c r="E360" t="inlineStr">
        <is>
          <t>KRISTIANSTAD</t>
        </is>
      </c>
      <c r="F360" t="inlineStr">
        <is>
          <t>Sveaskog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39567-2022</t>
        </is>
      </c>
      <c r="B361" s="1" t="n">
        <v>44817</v>
      </c>
      <c r="C361" s="1" t="n">
        <v>45564</v>
      </c>
      <c r="D361" t="inlineStr">
        <is>
          <t>SKÅNE LÄN</t>
        </is>
      </c>
      <c r="E361" t="inlineStr">
        <is>
          <t>KRISTIANSTAD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40181-2022</t>
        </is>
      </c>
      <c r="B362" s="1" t="n">
        <v>44818</v>
      </c>
      <c r="C362" s="1" t="n">
        <v>45564</v>
      </c>
      <c r="D362" t="inlineStr">
        <is>
          <t>SKÅNE LÄN</t>
        </is>
      </c>
      <c r="E362" t="inlineStr">
        <is>
          <t>KRISTIANSTAD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40037-2022</t>
        </is>
      </c>
      <c r="B363" s="1" t="n">
        <v>44818</v>
      </c>
      <c r="C363" s="1" t="n">
        <v>45564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40974-2022</t>
        </is>
      </c>
      <c r="B364" s="1" t="n">
        <v>44823</v>
      </c>
      <c r="C364" s="1" t="n">
        <v>45564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40712-2022</t>
        </is>
      </c>
      <c r="B365" s="1" t="n">
        <v>44824</v>
      </c>
      <c r="C365" s="1" t="n">
        <v>45564</v>
      </c>
      <c r="D365" t="inlineStr">
        <is>
          <t>SKÅNE LÄN</t>
        </is>
      </c>
      <c r="E365" t="inlineStr">
        <is>
          <t>KRISTIANSTAD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40762-2022</t>
        </is>
      </c>
      <c r="B366" s="1" t="n">
        <v>44824</v>
      </c>
      <c r="C366" s="1" t="n">
        <v>45564</v>
      </c>
      <c r="D366" t="inlineStr">
        <is>
          <t>SKÅNE LÄN</t>
        </is>
      </c>
      <c r="E366" t="inlineStr">
        <is>
          <t>KRISTIANSTAD</t>
        </is>
      </c>
      <c r="F366" t="inlineStr">
        <is>
          <t>Övriga Aktiebolag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40661-2022</t>
        </is>
      </c>
      <c r="B367" s="1" t="n">
        <v>44824</v>
      </c>
      <c r="C367" s="1" t="n">
        <v>45564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41940-2022</t>
        </is>
      </c>
      <c r="B368" s="1" t="n">
        <v>44833</v>
      </c>
      <c r="C368" s="1" t="n">
        <v>45564</v>
      </c>
      <c r="D368" t="inlineStr">
        <is>
          <t>SKÅNE LÄN</t>
        </is>
      </c>
      <c r="E368" t="inlineStr">
        <is>
          <t>KRISTIANSTAD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43663-2022</t>
        </is>
      </c>
      <c r="B369" s="1" t="n">
        <v>44837</v>
      </c>
      <c r="C369" s="1" t="n">
        <v>45564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43865-2022</t>
        </is>
      </c>
      <c r="B370" s="1" t="n">
        <v>44838</v>
      </c>
      <c r="C370" s="1" t="n">
        <v>45564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43868-2022</t>
        </is>
      </c>
      <c r="B371" s="1" t="n">
        <v>44838</v>
      </c>
      <c r="C371" s="1" t="n">
        <v>45564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44582-2022</t>
        </is>
      </c>
      <c r="B372" s="1" t="n">
        <v>44840</v>
      </c>
      <c r="C372" s="1" t="n">
        <v>45564</v>
      </c>
      <c r="D372" t="inlineStr">
        <is>
          <t>SKÅNE LÄN</t>
        </is>
      </c>
      <c r="E372" t="inlineStr">
        <is>
          <t>KRISTIANSTAD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45043-2022</t>
        </is>
      </c>
      <c r="B373" s="1" t="n">
        <v>44841</v>
      </c>
      <c r="C373" s="1" t="n">
        <v>45564</v>
      </c>
      <c r="D373" t="inlineStr">
        <is>
          <t>SKÅNE LÄN</t>
        </is>
      </c>
      <c r="E373" t="inlineStr">
        <is>
          <t>KRISTIANSTAD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45042-2022</t>
        </is>
      </c>
      <c r="B374" s="1" t="n">
        <v>44841</v>
      </c>
      <c r="C374" s="1" t="n">
        <v>45564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45109-2022</t>
        </is>
      </c>
      <c r="B375" s="1" t="n">
        <v>44843</v>
      </c>
      <c r="C375" s="1" t="n">
        <v>45564</v>
      </c>
      <c r="D375" t="inlineStr">
        <is>
          <t>SKÅNE LÄN</t>
        </is>
      </c>
      <c r="E375" t="inlineStr">
        <is>
          <t>KRISTIANSTAD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45764-2022</t>
        </is>
      </c>
      <c r="B376" s="1" t="n">
        <v>44846</v>
      </c>
      <c r="C376" s="1" t="n">
        <v>45564</v>
      </c>
      <c r="D376" t="inlineStr">
        <is>
          <t>SKÅNE LÄN</t>
        </is>
      </c>
      <c r="E376" t="inlineStr">
        <is>
          <t>KRISTIANSTAD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45728-2022</t>
        </is>
      </c>
      <c r="B377" s="1" t="n">
        <v>44846</v>
      </c>
      <c r="C377" s="1" t="n">
        <v>45564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46515-2022</t>
        </is>
      </c>
      <c r="B378" s="1" t="n">
        <v>44847</v>
      </c>
      <c r="C378" s="1" t="n">
        <v>45564</v>
      </c>
      <c r="D378" t="inlineStr">
        <is>
          <t>SKÅNE LÄN</t>
        </is>
      </c>
      <c r="E378" t="inlineStr">
        <is>
          <t>KRISTIANSTAD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46504-2022</t>
        </is>
      </c>
      <c r="B379" s="1" t="n">
        <v>44847</v>
      </c>
      <c r="C379" s="1" t="n">
        <v>45564</v>
      </c>
      <c r="D379" t="inlineStr">
        <is>
          <t>SKÅNE LÄN</t>
        </is>
      </c>
      <c r="E379" t="inlineStr">
        <is>
          <t>KRISTIANSTAD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48217-2022</t>
        </is>
      </c>
      <c r="B380" s="1" t="n">
        <v>44853</v>
      </c>
      <c r="C380" s="1" t="n">
        <v>45564</v>
      </c>
      <c r="D380" t="inlineStr">
        <is>
          <t>SKÅNE LÄN</t>
        </is>
      </c>
      <c r="E380" t="inlineStr">
        <is>
          <t>KRISTIANSTAD</t>
        </is>
      </c>
      <c r="F380" t="inlineStr">
        <is>
          <t>Kyrkan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48012-2022</t>
        </is>
      </c>
      <c r="B381" s="1" t="n">
        <v>44855</v>
      </c>
      <c r="C381" s="1" t="n">
        <v>45564</v>
      </c>
      <c r="D381" t="inlineStr">
        <is>
          <t>SKÅNE LÄN</t>
        </is>
      </c>
      <c r="E381" t="inlineStr">
        <is>
          <t>KRISTIANSTAD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48693-2022</t>
        </is>
      </c>
      <c r="B382" s="1" t="n">
        <v>44855</v>
      </c>
      <c r="C382" s="1" t="n">
        <v>45564</v>
      </c>
      <c r="D382" t="inlineStr">
        <is>
          <t>SKÅNE LÄN</t>
        </is>
      </c>
      <c r="E382" t="inlineStr">
        <is>
          <t>KRISTIANSTAD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49239-2022</t>
        </is>
      </c>
      <c r="B383" s="1" t="n">
        <v>44858</v>
      </c>
      <c r="C383" s="1" t="n">
        <v>45564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49233-2022</t>
        </is>
      </c>
      <c r="B384" s="1" t="n">
        <v>44858</v>
      </c>
      <c r="C384" s="1" t="n">
        <v>45564</v>
      </c>
      <c r="D384" t="inlineStr">
        <is>
          <t>SKÅNE LÄN</t>
        </is>
      </c>
      <c r="E384" t="inlineStr">
        <is>
          <t>KRISTIANSTAD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49747-2022</t>
        </is>
      </c>
      <c r="B385" s="1" t="n">
        <v>44862</v>
      </c>
      <c r="C385" s="1" t="n">
        <v>45564</v>
      </c>
      <c r="D385" t="inlineStr">
        <is>
          <t>SKÅNE LÄN</t>
        </is>
      </c>
      <c r="E385" t="inlineStr">
        <is>
          <t>KRISTIANSTAD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50520-2022</t>
        </is>
      </c>
      <c r="B386" s="1" t="n">
        <v>44866</v>
      </c>
      <c r="C386" s="1" t="n">
        <v>45564</v>
      </c>
      <c r="D386" t="inlineStr">
        <is>
          <t>SKÅNE LÄN</t>
        </is>
      </c>
      <c r="E386" t="inlineStr">
        <is>
          <t>KRISTIANSTAD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50516-2022</t>
        </is>
      </c>
      <c r="B387" s="1" t="n">
        <v>44866</v>
      </c>
      <c r="C387" s="1" t="n">
        <v>45564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53982-2022</t>
        </is>
      </c>
      <c r="B388" s="1" t="n">
        <v>44876</v>
      </c>
      <c r="C388" s="1" t="n">
        <v>45564</v>
      </c>
      <c r="D388" t="inlineStr">
        <is>
          <t>SKÅNE LÄN</t>
        </is>
      </c>
      <c r="E388" t="inlineStr">
        <is>
          <t>KRISTIANSTAD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53466-2022</t>
        </is>
      </c>
      <c r="B389" s="1" t="n">
        <v>44879</v>
      </c>
      <c r="C389" s="1" t="n">
        <v>45564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55670-2022</t>
        </is>
      </c>
      <c r="B390" s="1" t="n">
        <v>44888</v>
      </c>
      <c r="C390" s="1" t="n">
        <v>45564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55587-2022</t>
        </is>
      </c>
      <c r="B391" s="1" t="n">
        <v>44888</v>
      </c>
      <c r="C391" s="1" t="n">
        <v>45564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57429-2022</t>
        </is>
      </c>
      <c r="B392" s="1" t="n">
        <v>44889</v>
      </c>
      <c r="C392" s="1" t="n">
        <v>45564</v>
      </c>
      <c r="D392" t="inlineStr">
        <is>
          <t>SKÅNE LÄN</t>
        </is>
      </c>
      <c r="E392" t="inlineStr">
        <is>
          <t>KRISTIANSTAD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56633-2022</t>
        </is>
      </c>
      <c r="B393" s="1" t="n">
        <v>44893</v>
      </c>
      <c r="C393" s="1" t="n">
        <v>45564</v>
      </c>
      <c r="D393" t="inlineStr">
        <is>
          <t>SKÅNE LÄN</t>
        </is>
      </c>
      <c r="E393" t="inlineStr">
        <is>
          <t>KRISTIANSTAD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56930-2022</t>
        </is>
      </c>
      <c r="B394" s="1" t="n">
        <v>44894</v>
      </c>
      <c r="C394" s="1" t="n">
        <v>45564</v>
      </c>
      <c r="D394" t="inlineStr">
        <is>
          <t>SKÅNE LÄN</t>
        </is>
      </c>
      <c r="E394" t="inlineStr">
        <is>
          <t>KRISTIANSTAD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58269-2022</t>
        </is>
      </c>
      <c r="B395" s="1" t="n">
        <v>44894</v>
      </c>
      <c r="C395" s="1" t="n">
        <v>45564</v>
      </c>
      <c r="D395" t="inlineStr">
        <is>
          <t>SKÅNE LÄN</t>
        </is>
      </c>
      <c r="E395" t="inlineStr">
        <is>
          <t>KRISTIANSTAD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58288-2022</t>
        </is>
      </c>
      <c r="B396" s="1" t="n">
        <v>44894</v>
      </c>
      <c r="C396" s="1" t="n">
        <v>45564</v>
      </c>
      <c r="D396" t="inlineStr">
        <is>
          <t>SKÅNE LÄN</t>
        </is>
      </c>
      <c r="E396" t="inlineStr">
        <is>
          <t>KRISTIANSTAD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57034-2022</t>
        </is>
      </c>
      <c r="B397" s="1" t="n">
        <v>44895</v>
      </c>
      <c r="C397" s="1" t="n">
        <v>45564</v>
      </c>
      <c r="D397" t="inlineStr">
        <is>
          <t>SKÅNE LÄN</t>
        </is>
      </c>
      <c r="E397" t="inlineStr">
        <is>
          <t>KRISTIANSTAD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60474-2022</t>
        </is>
      </c>
      <c r="B398" s="1" t="n">
        <v>44904</v>
      </c>
      <c r="C398" s="1" t="n">
        <v>45564</v>
      </c>
      <c r="D398" t="inlineStr">
        <is>
          <t>SKÅNE LÄN</t>
        </is>
      </c>
      <c r="E398" t="inlineStr">
        <is>
          <t>KRISTIANSTAD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59625-2022</t>
        </is>
      </c>
      <c r="B399" s="1" t="n">
        <v>44907</v>
      </c>
      <c r="C399" s="1" t="n">
        <v>45564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59721-2022</t>
        </is>
      </c>
      <c r="B400" s="1" t="n">
        <v>44908</v>
      </c>
      <c r="C400" s="1" t="n">
        <v>45564</v>
      </c>
      <c r="D400" t="inlineStr">
        <is>
          <t>SKÅNE LÄN</t>
        </is>
      </c>
      <c r="E400" t="inlineStr">
        <is>
          <t>KRISTIANSTAD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59718-2022</t>
        </is>
      </c>
      <c r="B401" s="1" t="n">
        <v>44908</v>
      </c>
      <c r="C401" s="1" t="n">
        <v>45564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60333-2022</t>
        </is>
      </c>
      <c r="B402" s="1" t="n">
        <v>44910</v>
      </c>
      <c r="C402" s="1" t="n">
        <v>45564</v>
      </c>
      <c r="D402" t="inlineStr">
        <is>
          <t>SKÅNE LÄN</t>
        </is>
      </c>
      <c r="E402" t="inlineStr">
        <is>
          <t>KRISTIANSTAD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62156-2022</t>
        </is>
      </c>
      <c r="B403" s="1" t="n">
        <v>44915</v>
      </c>
      <c r="C403" s="1" t="n">
        <v>45564</v>
      </c>
      <c r="D403" t="inlineStr">
        <is>
          <t>SKÅNE LÄN</t>
        </is>
      </c>
      <c r="E403" t="inlineStr">
        <is>
          <t>KRISTIANSTAD</t>
        </is>
      </c>
      <c r="F403" t="inlineStr">
        <is>
          <t>Kyrkan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62062-2022</t>
        </is>
      </c>
      <c r="B404" s="1" t="n">
        <v>44918</v>
      </c>
      <c r="C404" s="1" t="n">
        <v>45564</v>
      </c>
      <c r="D404" t="inlineStr">
        <is>
          <t>SKÅNE LÄN</t>
        </is>
      </c>
      <c r="E404" t="inlineStr">
        <is>
          <t>KRISTIANSTAD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62066-2022</t>
        </is>
      </c>
      <c r="B405" s="1" t="n">
        <v>44918</v>
      </c>
      <c r="C405" s="1" t="n">
        <v>45564</v>
      </c>
      <c r="D405" t="inlineStr">
        <is>
          <t>SKÅNE LÄN</t>
        </is>
      </c>
      <c r="E405" t="inlineStr">
        <is>
          <t>KRISTIANSTAD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62064-2022</t>
        </is>
      </c>
      <c r="B406" s="1" t="n">
        <v>44918</v>
      </c>
      <c r="C406" s="1" t="n">
        <v>45564</v>
      </c>
      <c r="D406" t="inlineStr">
        <is>
          <t>SKÅNE LÄN</t>
        </is>
      </c>
      <c r="E406" t="inlineStr">
        <is>
          <t>KRISTIANSTAD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62063-2022</t>
        </is>
      </c>
      <c r="B407" s="1" t="n">
        <v>44918</v>
      </c>
      <c r="C407" s="1" t="n">
        <v>45564</v>
      </c>
      <c r="D407" t="inlineStr">
        <is>
          <t>SKÅNE LÄN</t>
        </is>
      </c>
      <c r="E407" t="inlineStr">
        <is>
          <t>KRISTIANSTAD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62397-2022</t>
        </is>
      </c>
      <c r="B408" s="1" t="n">
        <v>44923</v>
      </c>
      <c r="C408" s="1" t="n">
        <v>45564</v>
      </c>
      <c r="D408" t="inlineStr">
        <is>
          <t>SKÅNE LÄN</t>
        </is>
      </c>
      <c r="E408" t="inlineStr">
        <is>
          <t>KRISTIANSTAD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429-2023</t>
        </is>
      </c>
      <c r="B409" s="1" t="n">
        <v>44923</v>
      </c>
      <c r="C409" s="1" t="n">
        <v>45564</v>
      </c>
      <c r="D409" t="inlineStr">
        <is>
          <t>SKÅNE LÄN</t>
        </is>
      </c>
      <c r="E409" t="inlineStr">
        <is>
          <t>KRISTIANSTAD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939-2023</t>
        </is>
      </c>
      <c r="B410" s="1" t="n">
        <v>44933</v>
      </c>
      <c r="C410" s="1" t="n">
        <v>45564</v>
      </c>
      <c r="D410" t="inlineStr">
        <is>
          <t>SKÅNE LÄN</t>
        </is>
      </c>
      <c r="E410" t="inlineStr">
        <is>
          <t>KRISTIANSTAD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941-2023</t>
        </is>
      </c>
      <c r="B411" s="1" t="n">
        <v>44933</v>
      </c>
      <c r="C411" s="1" t="n">
        <v>45564</v>
      </c>
      <c r="D411" t="inlineStr">
        <is>
          <t>SKÅNE LÄN</t>
        </is>
      </c>
      <c r="E411" t="inlineStr">
        <is>
          <t>KRISTIANSTAD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1427-2023</t>
        </is>
      </c>
      <c r="B412" s="1" t="n">
        <v>44937</v>
      </c>
      <c r="C412" s="1" t="n">
        <v>45564</v>
      </c>
      <c r="D412" t="inlineStr">
        <is>
          <t>SKÅNE LÄN</t>
        </is>
      </c>
      <c r="E412" t="inlineStr">
        <is>
          <t>KRISTIANSTAD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1726-2023</t>
        </is>
      </c>
      <c r="B413" s="1" t="n">
        <v>44938</v>
      </c>
      <c r="C413" s="1" t="n">
        <v>45564</v>
      </c>
      <c r="D413" t="inlineStr">
        <is>
          <t>SKÅNE LÄN</t>
        </is>
      </c>
      <c r="E413" t="inlineStr">
        <is>
          <t>KRISTIANSTAD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2257-2023</t>
        </is>
      </c>
      <c r="B414" s="1" t="n">
        <v>44942</v>
      </c>
      <c r="C414" s="1" t="n">
        <v>45564</v>
      </c>
      <c r="D414" t="inlineStr">
        <is>
          <t>SKÅNE LÄN</t>
        </is>
      </c>
      <c r="E414" t="inlineStr">
        <is>
          <t>KRISTIANSTAD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2829-2023</t>
        </is>
      </c>
      <c r="B415" s="1" t="n">
        <v>44945</v>
      </c>
      <c r="C415" s="1" t="n">
        <v>45564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2834-2023</t>
        </is>
      </c>
      <c r="B416" s="1" t="n">
        <v>44945</v>
      </c>
      <c r="C416" s="1" t="n">
        <v>45564</v>
      </c>
      <c r="D416" t="inlineStr">
        <is>
          <t>SKÅNE LÄN</t>
        </is>
      </c>
      <c r="E416" t="inlineStr">
        <is>
          <t>KRISTIANSTAD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2828-2023</t>
        </is>
      </c>
      <c r="B417" s="1" t="n">
        <v>44945</v>
      </c>
      <c r="C417" s="1" t="n">
        <v>45564</v>
      </c>
      <c r="D417" t="inlineStr">
        <is>
          <t>SKÅNE LÄN</t>
        </is>
      </c>
      <c r="E417" t="inlineStr">
        <is>
          <t>KRISTIANSTAD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3608-2023</t>
        </is>
      </c>
      <c r="B418" s="1" t="n">
        <v>44946</v>
      </c>
      <c r="C418" s="1" t="n">
        <v>45564</v>
      </c>
      <c r="D418" t="inlineStr">
        <is>
          <t>SKÅNE LÄN</t>
        </is>
      </c>
      <c r="E418" t="inlineStr">
        <is>
          <t>KRISTIANSTAD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4189-2023</t>
        </is>
      </c>
      <c r="B419" s="1" t="n">
        <v>44953</v>
      </c>
      <c r="C419" s="1" t="n">
        <v>45564</v>
      </c>
      <c r="D419" t="inlineStr">
        <is>
          <t>SKÅNE LÄN</t>
        </is>
      </c>
      <c r="E419" t="inlineStr">
        <is>
          <t>KRISTIANSTAD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5723-2023</t>
        </is>
      </c>
      <c r="B420" s="1" t="n">
        <v>44961</v>
      </c>
      <c r="C420" s="1" t="n">
        <v>45564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5874-2023</t>
        </is>
      </c>
      <c r="B421" s="1" t="n">
        <v>44963</v>
      </c>
      <c r="C421" s="1" t="n">
        <v>45564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5939-2023</t>
        </is>
      </c>
      <c r="B422" s="1" t="n">
        <v>44963</v>
      </c>
      <c r="C422" s="1" t="n">
        <v>45564</v>
      </c>
      <c r="D422" t="inlineStr">
        <is>
          <t>SKÅNE LÄN</t>
        </is>
      </c>
      <c r="E422" t="inlineStr">
        <is>
          <t>KRISTIANSTAD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5974-2023</t>
        </is>
      </c>
      <c r="B423" s="1" t="n">
        <v>44964</v>
      </c>
      <c r="C423" s="1" t="n">
        <v>45564</v>
      </c>
      <c r="D423" t="inlineStr">
        <is>
          <t>SKÅNE LÄN</t>
        </is>
      </c>
      <c r="E423" t="inlineStr">
        <is>
          <t>KRISTIANSTAD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5975-2023</t>
        </is>
      </c>
      <c r="B424" s="1" t="n">
        <v>44964</v>
      </c>
      <c r="C424" s="1" t="n">
        <v>45564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6848-2023</t>
        </is>
      </c>
      <c r="B425" s="1" t="n">
        <v>44967</v>
      </c>
      <c r="C425" s="1" t="n">
        <v>45564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8208-2023</t>
        </is>
      </c>
      <c r="B426" s="1" t="n">
        <v>44971</v>
      </c>
      <c r="C426" s="1" t="n">
        <v>45564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7565-2023</t>
        </is>
      </c>
      <c r="B427" s="1" t="n">
        <v>44972</v>
      </c>
      <c r="C427" s="1" t="n">
        <v>45564</v>
      </c>
      <c r="D427" t="inlineStr">
        <is>
          <t>SKÅNE LÄN</t>
        </is>
      </c>
      <c r="E427" t="inlineStr">
        <is>
          <t>KRISTIANSTAD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9684-2023</t>
        </is>
      </c>
      <c r="B428" s="1" t="n">
        <v>44984</v>
      </c>
      <c r="C428" s="1" t="n">
        <v>45564</v>
      </c>
      <c r="D428" t="inlineStr">
        <is>
          <t>SKÅNE LÄN</t>
        </is>
      </c>
      <c r="E428" t="inlineStr">
        <is>
          <t>KRISTIANSTAD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9794-2023</t>
        </is>
      </c>
      <c r="B429" s="1" t="n">
        <v>44984</v>
      </c>
      <c r="C429" s="1" t="n">
        <v>45564</v>
      </c>
      <c r="D429" t="inlineStr">
        <is>
          <t>SKÅNE LÄN</t>
        </is>
      </c>
      <c r="E429" t="inlineStr">
        <is>
          <t>KRISTIANSTAD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10748-2023</t>
        </is>
      </c>
      <c r="B430" s="1" t="n">
        <v>44984</v>
      </c>
      <c r="C430" s="1" t="n">
        <v>45564</v>
      </c>
      <c r="D430" t="inlineStr">
        <is>
          <t>SKÅNE LÄN</t>
        </is>
      </c>
      <c r="E430" t="inlineStr">
        <is>
          <t>KRISTIANSTAD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10058-2023</t>
        </is>
      </c>
      <c r="B431" s="1" t="n">
        <v>44985</v>
      </c>
      <c r="C431" s="1" t="n">
        <v>45564</v>
      </c>
      <c r="D431" t="inlineStr">
        <is>
          <t>SKÅNE LÄN</t>
        </is>
      </c>
      <c r="E431" t="inlineStr">
        <is>
          <t>KRISTIANSTAD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10580-2023</t>
        </is>
      </c>
      <c r="B432" s="1" t="n">
        <v>44988</v>
      </c>
      <c r="C432" s="1" t="n">
        <v>45564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10988-2023</t>
        </is>
      </c>
      <c r="B433" s="1" t="n">
        <v>44991</v>
      </c>
      <c r="C433" s="1" t="n">
        <v>45564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10971-2023</t>
        </is>
      </c>
      <c r="B434" s="1" t="n">
        <v>44991</v>
      </c>
      <c r="C434" s="1" t="n">
        <v>45564</v>
      </c>
      <c r="D434" t="inlineStr">
        <is>
          <t>SKÅNE LÄN</t>
        </is>
      </c>
      <c r="E434" t="inlineStr">
        <is>
          <t>KRISTIANSTAD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11272-2023</t>
        </is>
      </c>
      <c r="B435" s="1" t="n">
        <v>44992</v>
      </c>
      <c r="C435" s="1" t="n">
        <v>45564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11150-2023</t>
        </is>
      </c>
      <c r="B436" s="1" t="n">
        <v>44992</v>
      </c>
      <c r="C436" s="1" t="n">
        <v>45564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11274-2023</t>
        </is>
      </c>
      <c r="B437" s="1" t="n">
        <v>44992</v>
      </c>
      <c r="C437" s="1" t="n">
        <v>45564</v>
      </c>
      <c r="D437" t="inlineStr">
        <is>
          <t>SKÅNE LÄN</t>
        </is>
      </c>
      <c r="E437" t="inlineStr">
        <is>
          <t>KRISTIANSTAD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11505-2023</t>
        </is>
      </c>
      <c r="B438" s="1" t="n">
        <v>44993</v>
      </c>
      <c r="C438" s="1" t="n">
        <v>45564</v>
      </c>
      <c r="D438" t="inlineStr">
        <is>
          <t>SKÅNE LÄN</t>
        </is>
      </c>
      <c r="E438" t="inlineStr">
        <is>
          <t>KRISTIANSTAD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11970-2023</t>
        </is>
      </c>
      <c r="B439" s="1" t="n">
        <v>44995</v>
      </c>
      <c r="C439" s="1" t="n">
        <v>45564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11997-2023</t>
        </is>
      </c>
      <c r="B440" s="1" t="n">
        <v>44995</v>
      </c>
      <c r="C440" s="1" t="n">
        <v>45564</v>
      </c>
      <c r="D440" t="inlineStr">
        <is>
          <t>SKÅNE LÄN</t>
        </is>
      </c>
      <c r="E440" t="inlineStr">
        <is>
          <t>KRISTIANSTAD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12317-2023</t>
        </is>
      </c>
      <c r="B441" s="1" t="n">
        <v>44997</v>
      </c>
      <c r="C441" s="1" t="n">
        <v>45564</v>
      </c>
      <c r="D441" t="inlineStr">
        <is>
          <t>SKÅNE LÄN</t>
        </is>
      </c>
      <c r="E441" t="inlineStr">
        <is>
          <t>KRISTIANSTAD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12235-2023</t>
        </is>
      </c>
      <c r="B442" s="1" t="n">
        <v>44998</v>
      </c>
      <c r="C442" s="1" t="n">
        <v>45564</v>
      </c>
      <c r="D442" t="inlineStr">
        <is>
          <t>SKÅNE LÄN</t>
        </is>
      </c>
      <c r="E442" t="inlineStr">
        <is>
          <t>KRISTIANSTAD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12615-2023</t>
        </is>
      </c>
      <c r="B443" s="1" t="n">
        <v>45000</v>
      </c>
      <c r="C443" s="1" t="n">
        <v>45564</v>
      </c>
      <c r="D443" t="inlineStr">
        <is>
          <t>SKÅNE LÄN</t>
        </is>
      </c>
      <c r="E443" t="inlineStr">
        <is>
          <t>KRISTIANSTAD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13070-2023</t>
        </is>
      </c>
      <c r="B444" s="1" t="n">
        <v>45002</v>
      </c>
      <c r="C444" s="1" t="n">
        <v>45564</v>
      </c>
      <c r="D444" t="inlineStr">
        <is>
          <t>SKÅNE LÄN</t>
        </is>
      </c>
      <c r="E444" t="inlineStr">
        <is>
          <t>KRISTIANSTAD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13211-2023</t>
        </is>
      </c>
      <c r="B445" s="1" t="n">
        <v>45002</v>
      </c>
      <c r="C445" s="1" t="n">
        <v>45564</v>
      </c>
      <c r="D445" t="inlineStr">
        <is>
          <t>SKÅNE LÄN</t>
        </is>
      </c>
      <c r="E445" t="inlineStr">
        <is>
          <t>KRISTIANSTAD</t>
        </is>
      </c>
      <c r="F445" t="inlineStr">
        <is>
          <t>Kyrkan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13820-2023</t>
        </is>
      </c>
      <c r="B446" s="1" t="n">
        <v>45007</v>
      </c>
      <c r="C446" s="1" t="n">
        <v>45564</v>
      </c>
      <c r="D446" t="inlineStr">
        <is>
          <t>SKÅNE LÄN</t>
        </is>
      </c>
      <c r="E446" t="inlineStr">
        <is>
          <t>KRISTIANSTAD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14105-2023</t>
        </is>
      </c>
      <c r="B447" s="1" t="n">
        <v>45009</v>
      </c>
      <c r="C447" s="1" t="n">
        <v>45564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14203-2023</t>
        </is>
      </c>
      <c r="B448" s="1" t="n">
        <v>45009</v>
      </c>
      <c r="C448" s="1" t="n">
        <v>45564</v>
      </c>
      <c r="D448" t="inlineStr">
        <is>
          <t>SKÅNE LÄN</t>
        </is>
      </c>
      <c r="E448" t="inlineStr">
        <is>
          <t>KRISTIANSTAD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14214-2023</t>
        </is>
      </c>
      <c r="B449" s="1" t="n">
        <v>45009</v>
      </c>
      <c r="C449" s="1" t="n">
        <v>45564</v>
      </c>
      <c r="D449" t="inlineStr">
        <is>
          <t>SKÅNE LÄN</t>
        </is>
      </c>
      <c r="E449" t="inlineStr">
        <is>
          <t>KRISTIANSTAD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14223-2023</t>
        </is>
      </c>
      <c r="B450" s="1" t="n">
        <v>45009</v>
      </c>
      <c r="C450" s="1" t="n">
        <v>45564</v>
      </c>
      <c r="D450" t="inlineStr">
        <is>
          <t>SKÅNE LÄN</t>
        </is>
      </c>
      <c r="E450" t="inlineStr">
        <is>
          <t>KRISTIANSTAD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14232-2023</t>
        </is>
      </c>
      <c r="B451" s="1" t="n">
        <v>45009</v>
      </c>
      <c r="C451" s="1" t="n">
        <v>45564</v>
      </c>
      <c r="D451" t="inlineStr">
        <is>
          <t>SKÅNE LÄN</t>
        </is>
      </c>
      <c r="E451" t="inlineStr">
        <is>
          <t>KRISTIANSTAD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14239-2023</t>
        </is>
      </c>
      <c r="B452" s="1" t="n">
        <v>45009</v>
      </c>
      <c r="C452" s="1" t="n">
        <v>45564</v>
      </c>
      <c r="D452" t="inlineStr">
        <is>
          <t>SKÅNE LÄN</t>
        </is>
      </c>
      <c r="E452" t="inlineStr">
        <is>
          <t>KRISTIANSTAD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14442-2023</t>
        </is>
      </c>
      <c r="B453" s="1" t="n">
        <v>45012</v>
      </c>
      <c r="C453" s="1" t="n">
        <v>45564</v>
      </c>
      <c r="D453" t="inlineStr">
        <is>
          <t>SKÅNE LÄN</t>
        </is>
      </c>
      <c r="E453" t="inlineStr">
        <is>
          <t>KRISTIANSTAD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14441-2023</t>
        </is>
      </c>
      <c r="B454" s="1" t="n">
        <v>45012</v>
      </c>
      <c r="C454" s="1" t="n">
        <v>45564</v>
      </c>
      <c r="D454" t="inlineStr">
        <is>
          <t>SKÅNE LÄN</t>
        </is>
      </c>
      <c r="E454" t="inlineStr">
        <is>
          <t>KRISTIANSTAD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14682-2023</t>
        </is>
      </c>
      <c r="B455" s="1" t="n">
        <v>45014</v>
      </c>
      <c r="C455" s="1" t="n">
        <v>45564</v>
      </c>
      <c r="D455" t="inlineStr">
        <is>
          <t>SKÅNE LÄN</t>
        </is>
      </c>
      <c r="E455" t="inlineStr">
        <is>
          <t>KRISTIANSTAD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14837-2023</t>
        </is>
      </c>
      <c r="B456" s="1" t="n">
        <v>45014</v>
      </c>
      <c r="C456" s="1" t="n">
        <v>45564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15111-2023</t>
        </is>
      </c>
      <c r="B457" s="1" t="n">
        <v>45015</v>
      </c>
      <c r="C457" s="1" t="n">
        <v>45564</v>
      </c>
      <c r="D457" t="inlineStr">
        <is>
          <t>SKÅNE LÄN</t>
        </is>
      </c>
      <c r="E457" t="inlineStr">
        <is>
          <t>KRISTIANSTAD</t>
        </is>
      </c>
      <c r="F457" t="inlineStr">
        <is>
          <t>Kyrkan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15105-2023</t>
        </is>
      </c>
      <c r="B458" s="1" t="n">
        <v>45015</v>
      </c>
      <c r="C458" s="1" t="n">
        <v>45564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15174-2023</t>
        </is>
      </c>
      <c r="B459" s="1" t="n">
        <v>45016</v>
      </c>
      <c r="C459" s="1" t="n">
        <v>45564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15227-2023</t>
        </is>
      </c>
      <c r="B460" s="1" t="n">
        <v>45016</v>
      </c>
      <c r="C460" s="1" t="n">
        <v>45564</v>
      </c>
      <c r="D460" t="inlineStr">
        <is>
          <t>SKÅNE LÄN</t>
        </is>
      </c>
      <c r="E460" t="inlineStr">
        <is>
          <t>KRISTIANSTAD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15322-2023</t>
        </is>
      </c>
      <c r="B461" s="1" t="n">
        <v>45019</v>
      </c>
      <c r="C461" s="1" t="n">
        <v>45564</v>
      </c>
      <c r="D461" t="inlineStr">
        <is>
          <t>SKÅNE LÄN</t>
        </is>
      </c>
      <c r="E461" t="inlineStr">
        <is>
          <t>KRISTIANSTAD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15492-2023</t>
        </is>
      </c>
      <c r="B462" s="1" t="n">
        <v>45020</v>
      </c>
      <c r="C462" s="1" t="n">
        <v>45564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15507-2023</t>
        </is>
      </c>
      <c r="B463" s="1" t="n">
        <v>45020</v>
      </c>
      <c r="C463" s="1" t="n">
        <v>45564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15957-2023</t>
        </is>
      </c>
      <c r="B464" s="1" t="n">
        <v>45022</v>
      </c>
      <c r="C464" s="1" t="n">
        <v>45564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16131-2023</t>
        </is>
      </c>
      <c r="B465" s="1" t="n">
        <v>45027</v>
      </c>
      <c r="C465" s="1" t="n">
        <v>45564</v>
      </c>
      <c r="D465" t="inlineStr">
        <is>
          <t>SKÅNE LÄN</t>
        </is>
      </c>
      <c r="E465" t="inlineStr">
        <is>
          <t>KRISTIANSTAD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16304-2023</t>
        </is>
      </c>
      <c r="B466" s="1" t="n">
        <v>45028</v>
      </c>
      <c r="C466" s="1" t="n">
        <v>45564</v>
      </c>
      <c r="D466" t="inlineStr">
        <is>
          <t>SKÅNE LÄN</t>
        </is>
      </c>
      <c r="E466" t="inlineStr">
        <is>
          <t>KRISTIANSTAD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17400-2023</t>
        </is>
      </c>
      <c r="B467" s="1" t="n">
        <v>45035</v>
      </c>
      <c r="C467" s="1" t="n">
        <v>45564</v>
      </c>
      <c r="D467" t="inlineStr">
        <is>
          <t>SKÅNE LÄN</t>
        </is>
      </c>
      <c r="E467" t="inlineStr">
        <is>
          <t>KRISTIANSTAD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18524-2023</t>
        </is>
      </c>
      <c r="B468" s="1" t="n">
        <v>45042</v>
      </c>
      <c r="C468" s="1" t="n">
        <v>45564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18522-2023</t>
        </is>
      </c>
      <c r="B469" s="1" t="n">
        <v>45042</v>
      </c>
      <c r="C469" s="1" t="n">
        <v>45564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18752-2023</t>
        </is>
      </c>
      <c r="B470" s="1" t="n">
        <v>45043</v>
      </c>
      <c r="C470" s="1" t="n">
        <v>45564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19532-2023</t>
        </is>
      </c>
      <c r="B471" s="1" t="n">
        <v>45049</v>
      </c>
      <c r="C471" s="1" t="n">
        <v>45564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19257-2023</t>
        </is>
      </c>
      <c r="B472" s="1" t="n">
        <v>45049</v>
      </c>
      <c r="C472" s="1" t="n">
        <v>45564</v>
      </c>
      <c r="D472" t="inlineStr">
        <is>
          <t>SKÅNE LÄN</t>
        </is>
      </c>
      <c r="E472" t="inlineStr">
        <is>
          <t>KRISTIANSTAD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19526-2023</t>
        </is>
      </c>
      <c r="B473" s="1" t="n">
        <v>45050</v>
      </c>
      <c r="C473" s="1" t="n">
        <v>45564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19880-2023</t>
        </is>
      </c>
      <c r="B474" s="1" t="n">
        <v>45054</v>
      </c>
      <c r="C474" s="1" t="n">
        <v>45564</v>
      </c>
      <c r="D474" t="inlineStr">
        <is>
          <t>SKÅNE LÄN</t>
        </is>
      </c>
      <c r="E474" t="inlineStr">
        <is>
          <t>KRISTIANSTAD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22074-2023</t>
        </is>
      </c>
      <c r="B475" s="1" t="n">
        <v>45069</v>
      </c>
      <c r="C475" s="1" t="n">
        <v>45564</v>
      </c>
      <c r="D475" t="inlineStr">
        <is>
          <t>SKÅNE LÄN</t>
        </is>
      </c>
      <c r="E475" t="inlineStr">
        <is>
          <t>KRISTIANSTAD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22815-2023</t>
        </is>
      </c>
      <c r="B476" s="1" t="n">
        <v>45072</v>
      </c>
      <c r="C476" s="1" t="n">
        <v>45564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22795-2023</t>
        </is>
      </c>
      <c r="B477" s="1" t="n">
        <v>45072</v>
      </c>
      <c r="C477" s="1" t="n">
        <v>45564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23427-2023</t>
        </is>
      </c>
      <c r="B478" s="1" t="n">
        <v>45072</v>
      </c>
      <c r="C478" s="1" t="n">
        <v>45564</v>
      </c>
      <c r="D478" t="inlineStr">
        <is>
          <t>SKÅNE LÄN</t>
        </is>
      </c>
      <c r="E478" t="inlineStr">
        <is>
          <t>KRISTIANSTAD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23550-2023</t>
        </is>
      </c>
      <c r="B479" s="1" t="n">
        <v>45077</v>
      </c>
      <c r="C479" s="1" t="n">
        <v>45564</v>
      </c>
      <c r="D479" t="inlineStr">
        <is>
          <t>SKÅNE LÄN</t>
        </is>
      </c>
      <c r="E479" t="inlineStr">
        <is>
          <t>KRISTIANSTAD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23673-2023</t>
        </is>
      </c>
      <c r="B480" s="1" t="n">
        <v>45077</v>
      </c>
      <c r="C480" s="1" t="n">
        <v>45564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23674-2023</t>
        </is>
      </c>
      <c r="B481" s="1" t="n">
        <v>45077</v>
      </c>
      <c r="C481" s="1" t="n">
        <v>45564</v>
      </c>
      <c r="D481" t="inlineStr">
        <is>
          <t>SKÅNE LÄN</t>
        </is>
      </c>
      <c r="E481" t="inlineStr">
        <is>
          <t>KRISTIANSTAD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24164-2023</t>
        </is>
      </c>
      <c r="B482" s="1" t="n">
        <v>45079</v>
      </c>
      <c r="C482" s="1" t="n">
        <v>45564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24580-2023</t>
        </is>
      </c>
      <c r="B483" s="1" t="n">
        <v>45083</v>
      </c>
      <c r="C483" s="1" t="n">
        <v>45564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24579-2023</t>
        </is>
      </c>
      <c r="B484" s="1" t="n">
        <v>45083</v>
      </c>
      <c r="C484" s="1" t="n">
        <v>45564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24583-2023</t>
        </is>
      </c>
      <c r="B485" s="1" t="n">
        <v>45083</v>
      </c>
      <c r="C485" s="1" t="n">
        <v>45564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24582-2023</t>
        </is>
      </c>
      <c r="B486" s="1" t="n">
        <v>45083</v>
      </c>
      <c r="C486" s="1" t="n">
        <v>45564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24947-2023</t>
        </is>
      </c>
      <c r="B487" s="1" t="n">
        <v>45085</v>
      </c>
      <c r="C487" s="1" t="n">
        <v>45564</v>
      </c>
      <c r="D487" t="inlineStr">
        <is>
          <t>SKÅNE LÄN</t>
        </is>
      </c>
      <c r="E487" t="inlineStr">
        <is>
          <t>KRISTIANSTAD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24952-2023</t>
        </is>
      </c>
      <c r="B488" s="1" t="n">
        <v>45085</v>
      </c>
      <c r="C488" s="1" t="n">
        <v>45564</v>
      </c>
      <c r="D488" t="inlineStr">
        <is>
          <t>SKÅNE LÄN</t>
        </is>
      </c>
      <c r="E488" t="inlineStr">
        <is>
          <t>KRISTIANSTAD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25456-2023</t>
        </is>
      </c>
      <c r="B489" s="1" t="n">
        <v>45089</v>
      </c>
      <c r="C489" s="1" t="n">
        <v>45564</v>
      </c>
      <c r="D489" t="inlineStr">
        <is>
          <t>SKÅNE LÄN</t>
        </is>
      </c>
      <c r="E489" t="inlineStr">
        <is>
          <t>KRISTIANSTAD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25671-2023</t>
        </is>
      </c>
      <c r="B490" s="1" t="n">
        <v>45089</v>
      </c>
      <c r="C490" s="1" t="n">
        <v>45564</v>
      </c>
      <c r="D490" t="inlineStr">
        <is>
          <t>SKÅNE LÄN</t>
        </is>
      </c>
      <c r="E490" t="inlineStr">
        <is>
          <t>KRISTIANSTAD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25839-2023</t>
        </is>
      </c>
      <c r="B491" s="1" t="n">
        <v>45090</v>
      </c>
      <c r="C491" s="1" t="n">
        <v>45564</v>
      </c>
      <c r="D491" t="inlineStr">
        <is>
          <t>SKÅNE LÄN</t>
        </is>
      </c>
      <c r="E491" t="inlineStr">
        <is>
          <t>KRISTIANSTAD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27229-2023</t>
        </is>
      </c>
      <c r="B492" s="1" t="n">
        <v>45096</v>
      </c>
      <c r="C492" s="1" t="n">
        <v>45564</v>
      </c>
      <c r="D492" t="inlineStr">
        <is>
          <t>SKÅNE LÄN</t>
        </is>
      </c>
      <c r="E492" t="inlineStr">
        <is>
          <t>KRISTIANSTAD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27932-2023</t>
        </is>
      </c>
      <c r="B493" s="1" t="n">
        <v>45098</v>
      </c>
      <c r="C493" s="1" t="n">
        <v>45564</v>
      </c>
      <c r="D493" t="inlineStr">
        <is>
          <t>SKÅNE LÄN</t>
        </is>
      </c>
      <c r="E493" t="inlineStr">
        <is>
          <t>KRISTIANSTAD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27943-2023</t>
        </is>
      </c>
      <c r="B494" s="1" t="n">
        <v>45098</v>
      </c>
      <c r="C494" s="1" t="n">
        <v>45564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27948-2023</t>
        </is>
      </c>
      <c r="B495" s="1" t="n">
        <v>45098</v>
      </c>
      <c r="C495" s="1" t="n">
        <v>45564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28607-2023</t>
        </is>
      </c>
      <c r="B496" s="1" t="n">
        <v>45103</v>
      </c>
      <c r="C496" s="1" t="n">
        <v>45564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29212-2023</t>
        </is>
      </c>
      <c r="B497" s="1" t="n">
        <v>45105</v>
      </c>
      <c r="C497" s="1" t="n">
        <v>45564</v>
      </c>
      <c r="D497" t="inlineStr">
        <is>
          <t>SKÅNE LÄN</t>
        </is>
      </c>
      <c r="E497" t="inlineStr">
        <is>
          <t>KRISTIANSTAD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32156-2023</t>
        </is>
      </c>
      <c r="B498" s="1" t="n">
        <v>45106</v>
      </c>
      <c r="C498" s="1" t="n">
        <v>45564</v>
      </c>
      <c r="D498" t="inlineStr">
        <is>
          <t>SKÅNE LÄN</t>
        </is>
      </c>
      <c r="E498" t="inlineStr">
        <is>
          <t>KRISTIANSTAD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31847-2023</t>
        </is>
      </c>
      <c r="B499" s="1" t="n">
        <v>45106</v>
      </c>
      <c r="C499" s="1" t="n">
        <v>45564</v>
      </c>
      <c r="D499" t="inlineStr">
        <is>
          <t>SKÅNE LÄN</t>
        </is>
      </c>
      <c r="E499" t="inlineStr">
        <is>
          <t>KRISTIANSTAD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29659-2023</t>
        </is>
      </c>
      <c r="B500" s="1" t="n">
        <v>45107</v>
      </c>
      <c r="C500" s="1" t="n">
        <v>45564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29875-2023</t>
        </is>
      </c>
      <c r="B501" s="1" t="n">
        <v>45107</v>
      </c>
      <c r="C501" s="1" t="n">
        <v>45564</v>
      </c>
      <c r="D501" t="inlineStr">
        <is>
          <t>SKÅNE LÄN</t>
        </is>
      </c>
      <c r="E501" t="inlineStr">
        <is>
          <t>KRISTIANSTAD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45564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45564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45564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45564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45564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45564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45564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45564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45564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45564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45564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45564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45564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45564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45564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45564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45564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45564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45564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45564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45564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45564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45564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45564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45564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45564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45564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45564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45564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45564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45564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45564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45564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45564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45564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45564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45564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45564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45564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45564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45564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45564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45564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45564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45564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45564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45564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45564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45564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45564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45564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45564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45564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45564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45564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45564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45564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45564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45564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45564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45564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45564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45564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45564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45564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45564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45564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45564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45564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45564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45564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45564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45564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45564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45564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45564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45564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45564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45564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45564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45564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45564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45564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45564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45564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45564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45564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45564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45564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45564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45564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45564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45564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45564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45564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45564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45564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45564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45564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45564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45564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45564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45564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45564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45564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45564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45564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45564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45564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45564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45564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45564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45564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45564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45564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45564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45564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45564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45564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45564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45564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45564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45564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45564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45564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45564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45564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45564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45564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45564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45564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45564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45564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45564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45564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45564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45564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45564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45564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45564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45564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45564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45564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45564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45564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45564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45564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45564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45564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45564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45564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45564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45564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45564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45564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45564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45564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45564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45564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45564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45564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45564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45564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45564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45564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45564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45564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45564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45564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45564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45564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45564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45564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45564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45564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45564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45564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45564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45564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45564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45564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45564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45564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45564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45564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45564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45564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45564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45564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45564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45564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45564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45564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45564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45564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45564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45564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45564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45564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45564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45564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45564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45564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45564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45564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45564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45564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45564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45564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45564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45564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45564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45564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45564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45564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45564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45564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45564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45564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45564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45564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45564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45564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45564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45564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45564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45564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45564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45564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45564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45564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45564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45564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45564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45564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45564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45564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45564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45564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45564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45564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45564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45564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45564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45564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45564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45564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45564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45564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45564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45564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45564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45564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45564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45564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45564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45564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45564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45564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45564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45564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45564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45564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45564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45564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45564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45564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45564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45564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45564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45564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45564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45564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45564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45564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45564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45564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45564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45564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45564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45564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45564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45564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45564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45564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45564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45564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45564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45564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45564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45564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45564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45564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45564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45564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45564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45564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45564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45564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45564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45564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45564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45564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45564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45564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45564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45564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45564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45564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45564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45564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45564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45564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45564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45564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45564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45564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45564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45564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45564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45564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45564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45564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45564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45564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45564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45564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45564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45564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45564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45564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45564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45564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45564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45564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45564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45564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45564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45564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45564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45564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45564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45564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45564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45564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45564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45564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45564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45564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45564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45564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45564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45564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45564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45564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45564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45564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45564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45564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45564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45564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45564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45564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45564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45564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45564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45564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45564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45564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45564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37983-2024</t>
        </is>
      </c>
      <c r="B872" s="1" t="n">
        <v>45544</v>
      </c>
      <c r="C872" s="1" t="n">
        <v>45564</v>
      </c>
      <c r="D872" t="inlineStr">
        <is>
          <t>SKÅNE LÄN</t>
        </is>
      </c>
      <c r="E872" t="inlineStr">
        <is>
          <t>KRISTIANSTAD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37999-2024</t>
        </is>
      </c>
      <c r="B873" s="1" t="n">
        <v>45544</v>
      </c>
      <c r="C873" s="1" t="n">
        <v>45564</v>
      </c>
      <c r="D873" t="inlineStr">
        <is>
          <t>SKÅNE LÄN</t>
        </is>
      </c>
      <c r="E873" t="inlineStr">
        <is>
          <t>KRISTIANSTAD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45564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38046-2024</t>
        </is>
      </c>
      <c r="B875" s="1" t="n">
        <v>45544</v>
      </c>
      <c r="C875" s="1" t="n">
        <v>45564</v>
      </c>
      <c r="D875" t="inlineStr">
        <is>
          <t>SKÅNE LÄN</t>
        </is>
      </c>
      <c r="E875" t="inlineStr">
        <is>
          <t>KRISTIANSTAD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45564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38044-2024</t>
        </is>
      </c>
      <c r="B877" s="1" t="n">
        <v>45544</v>
      </c>
      <c r="C877" s="1" t="n">
        <v>45564</v>
      </c>
      <c r="D877" t="inlineStr">
        <is>
          <t>SKÅNE LÄN</t>
        </is>
      </c>
      <c r="E877" t="inlineStr">
        <is>
          <t>KRISTIANSTAD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45564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45564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45564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39933-2024</t>
        </is>
      </c>
      <c r="B881" s="1" t="n">
        <v>45553</v>
      </c>
      <c r="C881" s="1" t="n">
        <v>45564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39944-2024</t>
        </is>
      </c>
      <c r="B882" s="1" t="n">
        <v>45553</v>
      </c>
      <c r="C882" s="1" t="n">
        <v>45564</v>
      </c>
      <c r="D882" t="inlineStr">
        <is>
          <t>SKÅNE LÄN</t>
        </is>
      </c>
      <c r="E882" t="inlineStr">
        <is>
          <t>KRISTIANSTAD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40302-2024</t>
        </is>
      </c>
      <c r="B883" s="1" t="n">
        <v>45554</v>
      </c>
      <c r="C883" s="1" t="n">
        <v>45564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40145-2024</t>
        </is>
      </c>
      <c r="B884" s="1" t="n">
        <v>45554</v>
      </c>
      <c r="C884" s="1" t="n">
        <v>45564</v>
      </c>
      <c r="D884" t="inlineStr">
        <is>
          <t>SKÅNE LÄN</t>
        </is>
      </c>
      <c r="E884" t="inlineStr">
        <is>
          <t>KRISTIANSTAD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40149-2024</t>
        </is>
      </c>
      <c r="B885" s="1" t="n">
        <v>45554</v>
      </c>
      <c r="C885" s="1" t="n">
        <v>45564</v>
      </c>
      <c r="D885" t="inlineStr">
        <is>
          <t>SKÅNE LÄN</t>
        </is>
      </c>
      <c r="E885" t="inlineStr">
        <is>
          <t>KRISTIANSTAD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40300-2024</t>
        </is>
      </c>
      <c r="B886" s="1" t="n">
        <v>45554</v>
      </c>
      <c r="C886" s="1" t="n">
        <v>45564</v>
      </c>
      <c r="D886" t="inlineStr">
        <is>
          <t>SKÅNE LÄN</t>
        </is>
      </c>
      <c r="E886" t="inlineStr">
        <is>
          <t>KRISTIANSTAD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40540-2024</t>
        </is>
      </c>
      <c r="B887" s="1" t="n">
        <v>45555</v>
      </c>
      <c r="C887" s="1" t="n">
        <v>45564</v>
      </c>
      <c r="D887" t="inlineStr">
        <is>
          <t>SKÅNE LÄN</t>
        </is>
      </c>
      <c r="E887" t="inlineStr">
        <is>
          <t>KRISTIANSTAD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45564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40419-2024</t>
        </is>
      </c>
      <c r="B889" s="1" t="n">
        <v>45555</v>
      </c>
      <c r="C889" s="1" t="n">
        <v>45564</v>
      </c>
      <c r="D889" t="inlineStr">
        <is>
          <t>SKÅNE LÄN</t>
        </is>
      </c>
      <c r="E889" t="inlineStr">
        <is>
          <t>KRISTIANSTAD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40423-2024</t>
        </is>
      </c>
      <c r="B890" s="1" t="n">
        <v>45555</v>
      </c>
      <c r="C890" s="1" t="n">
        <v>45564</v>
      </c>
      <c r="D890" t="inlineStr">
        <is>
          <t>SKÅNE LÄN</t>
        </is>
      </c>
      <c r="E890" t="inlineStr">
        <is>
          <t>KRISTIANSTAD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40866-2024</t>
        </is>
      </c>
      <c r="B891" s="1" t="n">
        <v>45558</v>
      </c>
      <c r="C891" s="1" t="n">
        <v>45564</v>
      </c>
      <c r="D891" t="inlineStr">
        <is>
          <t>SKÅNE LÄN</t>
        </is>
      </c>
      <c r="E891" t="inlineStr">
        <is>
          <t>KRISTIANSTAD</t>
        </is>
      </c>
      <c r="F891" t="inlineStr">
        <is>
          <t>Övriga Aktiebolag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40903-2024</t>
        </is>
      </c>
      <c r="B892" s="1" t="n">
        <v>45558</v>
      </c>
      <c r="C892" s="1" t="n">
        <v>45564</v>
      </c>
      <c r="D892" t="inlineStr">
        <is>
          <t>SKÅNE LÄN</t>
        </is>
      </c>
      <c r="E892" t="inlineStr">
        <is>
          <t>KRISTIANSTAD</t>
        </is>
      </c>
      <c r="F892" t="inlineStr">
        <is>
          <t>Övriga Aktiebolag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40896-2024</t>
        </is>
      </c>
      <c r="B893" s="1" t="n">
        <v>45558</v>
      </c>
      <c r="C893" s="1" t="n">
        <v>45564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40916-2024</t>
        </is>
      </c>
      <c r="B894" s="1" t="n">
        <v>45558</v>
      </c>
      <c r="C894" s="1" t="n">
        <v>45564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40973-2024</t>
        </is>
      </c>
      <c r="B895" s="1" t="n">
        <v>45558</v>
      </c>
      <c r="C895" s="1" t="n">
        <v>45564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40668-2024</t>
        </is>
      </c>
      <c r="B896" s="1" t="n">
        <v>45558</v>
      </c>
      <c r="C896" s="1" t="n">
        <v>45564</v>
      </c>
      <c r="D896" t="inlineStr">
        <is>
          <t>SKÅNE LÄN</t>
        </is>
      </c>
      <c r="E896" t="inlineStr">
        <is>
          <t>KRISTIANSTAD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40747-2024</t>
        </is>
      </c>
      <c r="B897" s="1" t="n">
        <v>45558</v>
      </c>
      <c r="C897" s="1" t="n">
        <v>45564</v>
      </c>
      <c r="D897" t="inlineStr">
        <is>
          <t>SKÅNE LÄN</t>
        </is>
      </c>
      <c r="E897" t="inlineStr">
        <is>
          <t>KRISTIANSTAD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45564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40884-2024</t>
        </is>
      </c>
      <c r="B899" s="1" t="n">
        <v>45558</v>
      </c>
      <c r="C899" s="1" t="n">
        <v>45564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40962-2024</t>
        </is>
      </c>
      <c r="B900" s="1" t="n">
        <v>45558</v>
      </c>
      <c r="C900" s="1" t="n">
        <v>45564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41809-2024</t>
        </is>
      </c>
      <c r="B901" s="1" t="n">
        <v>45561</v>
      </c>
      <c r="C901" s="1" t="n">
        <v>45564</v>
      </c>
      <c r="D901" t="inlineStr">
        <is>
          <t>SKÅNE LÄN</t>
        </is>
      </c>
      <c r="E901" t="inlineStr">
        <is>
          <t>KRISTIANSTAD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45564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42061-2024</t>
        </is>
      </c>
      <c r="B903" s="1" t="n">
        <v>45561</v>
      </c>
      <c r="C903" s="1" t="n">
        <v>45564</v>
      </c>
      <c r="D903" t="inlineStr">
        <is>
          <t>SKÅNE LÄN</t>
        </is>
      </c>
      <c r="E903" t="inlineStr">
        <is>
          <t>KRISTIANSTAD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2024-09-29T12:07:19Z</dcterms:created>
  <dcterms:modified xmlns:dcterms="http://purl.org/dc/terms/" xmlns:xsi="http://www.w3.org/2001/XMLSchema-instance" xsi:type="dcterms:W3CDTF">2024-09-29T12:07:20Z</dcterms:modified>
</cp:coreProperties>
</file>