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45637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45637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45637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6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Bechsteins fladdermus
Bokkantlav
Bokvårtlav
Fransfladdermus
Liten lundlav
Fällmossa
Dvärgpipistrell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</row>
    <row r="5" ht="15" customHeight="1">
      <c r="A5" t="inlineStr">
        <is>
          <t>A 23417-2019</t>
        </is>
      </c>
      <c r="B5" s="1" t="n">
        <v>43593</v>
      </c>
      <c r="C5" s="1" t="n">
        <v>45637</v>
      </c>
      <c r="D5" t="inlineStr">
        <is>
          <t>SKÅNE LÄN</t>
        </is>
      </c>
      <c r="E5" t="inlineStr">
        <is>
          <t>KRISTIANSTAD</t>
        </is>
      </c>
      <c r="F5" t="inlineStr">
        <is>
          <t>Kommuner</t>
        </is>
      </c>
      <c r="G5" t="n">
        <v>7.1</v>
      </c>
      <c r="H5" t="n">
        <v>2</v>
      </c>
      <c r="I5" t="n">
        <v>1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9</v>
      </c>
      <c r="R5" s="2" t="inlineStr">
        <is>
          <t>Backsippa
Hedblomster
Grådådra
Mindre blåvinge
Sexfläckig bastardsvärmare
Violettkantad guldvinge
Ängsmetallvinge
Åkerväddsantennmal
Toppvaxskivling</t>
        </is>
      </c>
      <c r="S5">
        <f>HYPERLINK("https://klasma.github.io/Logging_1290/artfynd/A 23417-2019 artfynd.xlsx", "A 23417-2019")</f>
        <v/>
      </c>
      <c r="T5">
        <f>HYPERLINK("https://klasma.github.io/Logging_1290/kartor/A 23417-2019 karta.png", "A 23417-2019")</f>
        <v/>
      </c>
      <c r="V5">
        <f>HYPERLINK("https://klasma.github.io/Logging_1290/klagomål/A 23417-2019 FSC-klagomål.docx", "A 23417-2019")</f>
        <v/>
      </c>
      <c r="W5">
        <f>HYPERLINK("https://klasma.github.io/Logging_1290/klagomålsmail/A 23417-2019 FSC-klagomål mail.docx", "A 23417-2019")</f>
        <v/>
      </c>
      <c r="X5">
        <f>HYPERLINK("https://klasma.github.io/Logging_1290/tillsyn/A 23417-2019 tillsynsbegäran.docx", "A 23417-2019")</f>
        <v/>
      </c>
      <c r="Y5">
        <f>HYPERLINK("https://klasma.github.io/Logging_1290/tillsynsmail/A 23417-2019 tillsynsbegäran mail.docx", "A 23417-2019")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45637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45637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45637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45637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45637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45637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45637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45637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45637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45637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45637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45637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45637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45637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45637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45637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45637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45637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45637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45637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45637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45637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45637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45637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45637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45637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45637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45637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45637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45637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45637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45637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38678-2019</t>
        </is>
      </c>
      <c r="B38" s="1" t="n">
        <v>43684</v>
      </c>
      <c r="C38" s="1" t="n">
        <v>45637</v>
      </c>
      <c r="D38" t="inlineStr">
        <is>
          <t>SKÅNE LÄN</t>
        </is>
      </c>
      <c r="E38" t="inlineStr">
        <is>
          <t>KRISTIANSTAD</t>
        </is>
      </c>
      <c r="G38" t="n">
        <v>2.5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HYPERLINK("https://klasma.github.io/Logging_1290/artfynd/A 38678-2019 artfynd.xlsx", "A 38678-2019")</f>
        <v/>
      </c>
      <c r="T38">
        <f>HYPERLINK("https://klasma.github.io/Logging_1290/kartor/A 38678-2019 karta.png", "A 38678-2019")</f>
        <v/>
      </c>
      <c r="V38">
        <f>HYPERLINK("https://klasma.github.io/Logging_1290/klagomål/A 38678-2019 FSC-klagomål.docx", "A 38678-2019")</f>
        <v/>
      </c>
      <c r="W38">
        <f>HYPERLINK("https://klasma.github.io/Logging_1290/klagomålsmail/A 38678-2019 FSC-klagomål mail.docx", "A 38678-2019")</f>
        <v/>
      </c>
      <c r="X38">
        <f>HYPERLINK("https://klasma.github.io/Logging_1290/tillsyn/A 38678-2019 tillsynsbegäran.docx", "A 38678-2019")</f>
        <v/>
      </c>
      <c r="Y38">
        <f>HYPERLINK("https://klasma.github.io/Logging_1290/tillsynsmail/A 38678-2019 tillsynsbegäran mail.docx", "A 38678-2019")</f>
        <v/>
      </c>
    </row>
    <row r="39" ht="15" customHeight="1">
      <c r="A39" t="inlineStr">
        <is>
          <t>A 46680-2019</t>
        </is>
      </c>
      <c r="B39" s="1" t="n">
        <v>43717</v>
      </c>
      <c r="C39" s="1" t="n">
        <v>45637</v>
      </c>
      <c r="D39" t="inlineStr">
        <is>
          <t>SKÅNE LÄN</t>
        </is>
      </c>
      <c r="E39" t="inlineStr">
        <is>
          <t>KRISTIANSTAD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Kransrams</t>
        </is>
      </c>
      <c r="S39">
        <f>HYPERLINK("https://klasma.github.io/Logging_1290/artfynd/A 46680-2019 artfynd.xlsx", "A 46680-2019")</f>
        <v/>
      </c>
      <c r="T39">
        <f>HYPERLINK("https://klasma.github.io/Logging_1290/kartor/A 46680-2019 karta.png", "A 46680-2019")</f>
        <v/>
      </c>
      <c r="V39">
        <f>HYPERLINK("https://klasma.github.io/Logging_1290/klagomål/A 46680-2019 FSC-klagomål.docx", "A 46680-2019")</f>
        <v/>
      </c>
      <c r="W39">
        <f>HYPERLINK("https://klasma.github.io/Logging_1290/klagomålsmail/A 46680-2019 FSC-klagomål mail.docx", "A 46680-2019")</f>
        <v/>
      </c>
      <c r="X39">
        <f>HYPERLINK("https://klasma.github.io/Logging_1290/tillsyn/A 46680-2019 tillsynsbegäran.docx", "A 46680-2019")</f>
        <v/>
      </c>
      <c r="Y39">
        <f>HYPERLINK("https://klasma.github.io/Logging_1290/tillsynsmail/A 46680-2019 tillsynsbegäran mail.docx", "A 46680-2019")</f>
        <v/>
      </c>
    </row>
    <row r="40" ht="15" customHeight="1">
      <c r="A40" t="inlineStr">
        <is>
          <t>A 30687-2020</t>
        </is>
      </c>
      <c r="B40" s="1" t="n">
        <v>44008</v>
      </c>
      <c r="C40" s="1" t="n">
        <v>45637</v>
      </c>
      <c r="D40" t="inlineStr">
        <is>
          <t>SKÅNE LÄN</t>
        </is>
      </c>
      <c r="E40" t="inlineStr">
        <is>
          <t>KRISTIANSTAD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Stortapetserarbi</t>
        </is>
      </c>
      <c r="S40">
        <f>HYPERLINK("https://klasma.github.io/Logging_1290/artfynd/A 30687-2020 artfynd.xlsx", "A 30687-2020")</f>
        <v/>
      </c>
      <c r="T40">
        <f>HYPERLINK("https://klasma.github.io/Logging_1290/kartor/A 30687-2020 karta.png", "A 30687-2020")</f>
        <v/>
      </c>
      <c r="V40">
        <f>HYPERLINK("https://klasma.github.io/Logging_1290/klagomål/A 30687-2020 FSC-klagomål.docx", "A 30687-2020")</f>
        <v/>
      </c>
      <c r="W40">
        <f>HYPERLINK("https://klasma.github.io/Logging_1290/klagomålsmail/A 30687-2020 FSC-klagomål mail.docx", "A 30687-2020")</f>
        <v/>
      </c>
      <c r="X40">
        <f>HYPERLINK("https://klasma.github.io/Logging_1290/tillsyn/A 30687-2020 tillsynsbegäran.docx", "A 30687-2020")</f>
        <v/>
      </c>
      <c r="Y40">
        <f>HYPERLINK("https://klasma.github.io/Logging_1290/tillsynsmail/A 30687-2020 tillsynsbegäran mail.docx", "A 30687-2020")</f>
        <v/>
      </c>
    </row>
    <row r="41" ht="15" customHeight="1">
      <c r="A41" t="inlineStr">
        <is>
          <t>A 42615-2020</t>
        </is>
      </c>
      <c r="B41" s="1" t="n">
        <v>44076</v>
      </c>
      <c r="C41" s="1" t="n">
        <v>45637</v>
      </c>
      <c r="D41" t="inlineStr">
        <is>
          <t>SKÅNE LÄN</t>
        </is>
      </c>
      <c r="E41" t="inlineStr">
        <is>
          <t>KRISTIANSTAD</t>
        </is>
      </c>
      <c r="G41" t="n">
        <v>7.5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Lamellsnäcka</t>
        </is>
      </c>
      <c r="S41">
        <f>HYPERLINK("https://klasma.github.io/Logging_1290/artfynd/A 42615-2020 artfynd.xlsx", "A 42615-2020")</f>
        <v/>
      </c>
      <c r="T41">
        <f>HYPERLINK("https://klasma.github.io/Logging_1290/kartor/A 42615-2020 karta.png", "A 42615-2020")</f>
        <v/>
      </c>
      <c r="V41">
        <f>HYPERLINK("https://klasma.github.io/Logging_1290/klagomål/A 42615-2020 FSC-klagomål.docx", "A 42615-2020")</f>
        <v/>
      </c>
      <c r="W41">
        <f>HYPERLINK("https://klasma.github.io/Logging_1290/klagomålsmail/A 42615-2020 FSC-klagomål mail.docx", "A 42615-2020")</f>
        <v/>
      </c>
      <c r="X41">
        <f>HYPERLINK("https://klasma.github.io/Logging_1290/tillsyn/A 42615-2020 tillsynsbegäran.docx", "A 42615-2020")</f>
        <v/>
      </c>
      <c r="Y41">
        <f>HYPERLINK("https://klasma.github.io/Logging_1290/tillsynsmail/A 42615-2020 tillsynsbegäran mail.docx", "A 42615-2020")</f>
        <v/>
      </c>
    </row>
    <row r="42" ht="15" customHeight="1">
      <c r="A42" t="inlineStr">
        <is>
          <t>A 21568-2021</t>
        </is>
      </c>
      <c r="B42" s="1" t="n">
        <v>44314</v>
      </c>
      <c r="C42" s="1" t="n">
        <v>45637</v>
      </c>
      <c r="D42" t="inlineStr">
        <is>
          <t>SKÅNE LÄN</t>
        </is>
      </c>
      <c r="E42" t="inlineStr">
        <is>
          <t>KRISTIANSTAD</t>
        </is>
      </c>
      <c r="G42" t="n">
        <v>18.4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21568-2021 artfynd.xlsx", "A 21568-2021")</f>
        <v/>
      </c>
      <c r="T42">
        <f>HYPERLINK("https://klasma.github.io/Logging_1290/kartor/A 21568-2021 karta.png", "A 21568-2021")</f>
        <v/>
      </c>
      <c r="V42">
        <f>HYPERLINK("https://klasma.github.io/Logging_1290/klagomål/A 21568-2021 FSC-klagomål.docx", "A 21568-2021")</f>
        <v/>
      </c>
      <c r="W42">
        <f>HYPERLINK("https://klasma.github.io/Logging_1290/klagomålsmail/A 21568-2021 FSC-klagomål mail.docx", "A 21568-2021")</f>
        <v/>
      </c>
      <c r="X42">
        <f>HYPERLINK("https://klasma.github.io/Logging_1290/tillsyn/A 21568-2021 tillsynsbegäran.docx", "A 21568-2021")</f>
        <v/>
      </c>
      <c r="Y42">
        <f>HYPERLINK("https://klasma.github.io/Logging_1290/tillsynsmail/A 21568-2021 tillsynsbegäran mail.docx", "A 21568-2021")</f>
        <v/>
      </c>
    </row>
    <row r="43" ht="15" customHeight="1">
      <c r="A43" t="inlineStr">
        <is>
          <t>A 22549-2021</t>
        </is>
      </c>
      <c r="B43" s="1" t="n">
        <v>44327</v>
      </c>
      <c r="C43" s="1" t="n">
        <v>45637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Lövgroda</t>
        </is>
      </c>
      <c r="S43">
        <f>HYPERLINK("https://klasma.github.io/Logging_1290/artfynd/A 22549-2021 artfynd.xlsx", "A 22549-2021")</f>
        <v/>
      </c>
      <c r="T43">
        <f>HYPERLINK("https://klasma.github.io/Logging_1290/kartor/A 22549-2021 karta.png", "A 22549-2021")</f>
        <v/>
      </c>
      <c r="V43">
        <f>HYPERLINK("https://klasma.github.io/Logging_1290/klagomål/A 22549-2021 FSC-klagomål.docx", "A 22549-2021")</f>
        <v/>
      </c>
      <c r="W43">
        <f>HYPERLINK("https://klasma.github.io/Logging_1290/klagomålsmail/A 22549-2021 FSC-klagomål mail.docx", "A 22549-2021")</f>
        <v/>
      </c>
      <c r="X43">
        <f>HYPERLINK("https://klasma.github.io/Logging_1290/tillsyn/A 22549-2021 tillsynsbegäran.docx", "A 22549-2021")</f>
        <v/>
      </c>
      <c r="Y43">
        <f>HYPERLINK("https://klasma.github.io/Logging_1290/tillsynsmail/A 22549-2021 tillsynsbegäran mail.docx", "A 22549-2021")</f>
        <v/>
      </c>
    </row>
    <row r="44" ht="15" customHeight="1">
      <c r="A44" t="inlineStr">
        <is>
          <t>A 22965-2021</t>
        </is>
      </c>
      <c r="B44" s="1" t="n">
        <v>44328</v>
      </c>
      <c r="C44" s="1" t="n">
        <v>45637</v>
      </c>
      <c r="D44" t="inlineStr">
        <is>
          <t>SKÅNE LÄN</t>
        </is>
      </c>
      <c r="E44" t="inlineStr">
        <is>
          <t>KRISTIANSTAD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HYPERLINK("https://klasma.github.io/Logging_1290/artfynd/A 22965-2021 artfynd.xlsx", "A 22965-2021")</f>
        <v/>
      </c>
      <c r="T44">
        <f>HYPERLINK("https://klasma.github.io/Logging_1290/kartor/A 22965-2021 karta.png", "A 22965-2021")</f>
        <v/>
      </c>
      <c r="V44">
        <f>HYPERLINK("https://klasma.github.io/Logging_1290/klagomål/A 22965-2021 FSC-klagomål.docx", "A 22965-2021")</f>
        <v/>
      </c>
      <c r="W44">
        <f>HYPERLINK("https://klasma.github.io/Logging_1290/klagomålsmail/A 22965-2021 FSC-klagomål mail.docx", "A 22965-2021")</f>
        <v/>
      </c>
      <c r="X44">
        <f>HYPERLINK("https://klasma.github.io/Logging_1290/tillsyn/A 22965-2021 tillsynsbegäran.docx", "A 22965-2021")</f>
        <v/>
      </c>
      <c r="Y44">
        <f>HYPERLINK("https://klasma.github.io/Logging_1290/tillsynsmail/A 22965-2021 tillsynsbegäran mail.docx", "A 22965-2021")</f>
        <v/>
      </c>
      <c r="Z44">
        <f>HYPERLINK("https://klasma.github.io/Logging_1290/fåglar/A 22965-2021 prioriterade fågelarter.docx", "A 22965-2021")</f>
        <v/>
      </c>
    </row>
    <row r="45" ht="15" customHeight="1">
      <c r="A45" t="inlineStr">
        <is>
          <t>A 11750-2022</t>
        </is>
      </c>
      <c r="B45" s="1" t="n">
        <v>44634</v>
      </c>
      <c r="C45" s="1" t="n">
        <v>45637</v>
      </c>
      <c r="D45" t="inlineStr">
        <is>
          <t>SKÅNE LÄN</t>
        </is>
      </c>
      <c r="E45" t="inlineStr">
        <is>
          <t>KRISTIANSTAD</t>
        </is>
      </c>
      <c r="G45" t="n">
        <v>1.8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Sanddådra</t>
        </is>
      </c>
      <c r="S45">
        <f>HYPERLINK("https://klasma.github.io/Logging_1290/artfynd/A 11750-2022 artfynd.xlsx", "A 11750-2022")</f>
        <v/>
      </c>
      <c r="T45">
        <f>HYPERLINK("https://klasma.github.io/Logging_1290/kartor/A 11750-2022 karta.png", "A 11750-2022")</f>
        <v/>
      </c>
      <c r="V45">
        <f>HYPERLINK("https://klasma.github.io/Logging_1290/klagomål/A 11750-2022 FSC-klagomål.docx", "A 11750-2022")</f>
        <v/>
      </c>
      <c r="W45">
        <f>HYPERLINK("https://klasma.github.io/Logging_1290/klagomålsmail/A 11750-2022 FSC-klagomål mail.docx", "A 11750-2022")</f>
        <v/>
      </c>
      <c r="X45">
        <f>HYPERLINK("https://klasma.github.io/Logging_1290/tillsyn/A 11750-2022 tillsynsbegäran.docx", "A 11750-2022")</f>
        <v/>
      </c>
      <c r="Y45">
        <f>HYPERLINK("https://klasma.github.io/Logging_1290/tillsynsmail/A 11750-2022 tillsynsbegäran mail.docx", "A 11750-2022")</f>
        <v/>
      </c>
    </row>
    <row r="46" ht="15" customHeight="1">
      <c r="A46" t="inlineStr">
        <is>
          <t>A 18539-2022</t>
        </is>
      </c>
      <c r="B46" s="1" t="n">
        <v>44686</v>
      </c>
      <c r="C46" s="1" t="n">
        <v>45637</v>
      </c>
      <c r="D46" t="inlineStr">
        <is>
          <t>SKÅNE LÄN</t>
        </is>
      </c>
      <c r="E46" t="inlineStr">
        <is>
          <t>KRISTIANSTAD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18539-2022 artfynd.xlsx", "A 18539-2022")</f>
        <v/>
      </c>
      <c r="T46">
        <f>HYPERLINK("https://klasma.github.io/Logging_1290/kartor/A 18539-2022 karta.png", "A 18539-2022")</f>
        <v/>
      </c>
      <c r="V46">
        <f>HYPERLINK("https://klasma.github.io/Logging_1290/klagomål/A 18539-2022 FSC-klagomål.docx", "A 18539-2022")</f>
        <v/>
      </c>
      <c r="W46">
        <f>HYPERLINK("https://klasma.github.io/Logging_1290/klagomålsmail/A 18539-2022 FSC-klagomål mail.docx", "A 18539-2022")</f>
        <v/>
      </c>
      <c r="X46">
        <f>HYPERLINK("https://klasma.github.io/Logging_1290/tillsyn/A 18539-2022 tillsynsbegäran.docx", "A 18539-2022")</f>
        <v/>
      </c>
      <c r="Y46">
        <f>HYPERLINK("https://klasma.github.io/Logging_1290/tillsynsmail/A 18539-2022 tillsynsbegäran mail.docx", "A 18539-2022")</f>
        <v/>
      </c>
    </row>
    <row r="47" ht="15" customHeight="1">
      <c r="A47" t="inlineStr">
        <is>
          <t>A 41004-2022</t>
        </is>
      </c>
      <c r="B47" s="1" t="n">
        <v>44825</v>
      </c>
      <c r="C47" s="1" t="n">
        <v>45637</v>
      </c>
      <c r="D47" t="inlineStr">
        <is>
          <t>SKÅNE LÄN</t>
        </is>
      </c>
      <c r="E47" t="inlineStr">
        <is>
          <t>KRISTIANSTAD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Skogsbräsma</t>
        </is>
      </c>
      <c r="S47">
        <f>HYPERLINK("https://klasma.github.io/Logging_1290/artfynd/A 41004-2022 artfynd.xlsx", "A 41004-2022")</f>
        <v/>
      </c>
      <c r="T47">
        <f>HYPERLINK("https://klasma.github.io/Logging_1290/kartor/A 41004-2022 karta.png", "A 41004-2022")</f>
        <v/>
      </c>
      <c r="V47">
        <f>HYPERLINK("https://klasma.github.io/Logging_1290/klagomål/A 41004-2022 FSC-klagomål.docx", "A 41004-2022")</f>
        <v/>
      </c>
      <c r="W47">
        <f>HYPERLINK("https://klasma.github.io/Logging_1290/klagomålsmail/A 41004-2022 FSC-klagomål mail.docx", "A 41004-2022")</f>
        <v/>
      </c>
      <c r="X47">
        <f>HYPERLINK("https://klasma.github.io/Logging_1290/tillsyn/A 41004-2022 tillsynsbegäran.docx", "A 41004-2022")</f>
        <v/>
      </c>
      <c r="Y47">
        <f>HYPERLINK("https://klasma.github.io/Logging_1290/tillsynsmail/A 41004-2022 tillsynsbegäran mail.docx", "A 41004-2022")</f>
        <v/>
      </c>
    </row>
    <row r="48" ht="15" customHeight="1">
      <c r="A48" t="inlineStr">
        <is>
          <t>A 41275-2022</t>
        </is>
      </c>
      <c r="B48" s="1" t="n">
        <v>44826</v>
      </c>
      <c r="C48" s="1" t="n">
        <v>45637</v>
      </c>
      <c r="D48" t="inlineStr">
        <is>
          <t>SKÅNE LÄN</t>
        </is>
      </c>
      <c r="E48" t="inlineStr">
        <is>
          <t>KRISTIANSTAD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Praktnejlika</t>
        </is>
      </c>
      <c r="S48">
        <f>HYPERLINK("https://klasma.github.io/Logging_1290/artfynd/A 41275-2022 artfynd.xlsx", "A 41275-2022")</f>
        <v/>
      </c>
      <c r="T48">
        <f>HYPERLINK("https://klasma.github.io/Logging_1290/kartor/A 41275-2022 karta.png", "A 41275-2022")</f>
        <v/>
      </c>
      <c r="V48">
        <f>HYPERLINK("https://klasma.github.io/Logging_1290/klagomål/A 41275-2022 FSC-klagomål.docx", "A 41275-2022")</f>
        <v/>
      </c>
      <c r="W48">
        <f>HYPERLINK("https://klasma.github.io/Logging_1290/klagomålsmail/A 41275-2022 FSC-klagomål mail.docx", "A 41275-2022")</f>
        <v/>
      </c>
      <c r="X48">
        <f>HYPERLINK("https://klasma.github.io/Logging_1290/tillsyn/A 41275-2022 tillsynsbegäran.docx", "A 41275-2022")</f>
        <v/>
      </c>
      <c r="Y48">
        <f>HYPERLINK("https://klasma.github.io/Logging_1290/tillsynsmail/A 41275-2022 tillsynsbegäran mail.docx", "A 41275-2022")</f>
        <v/>
      </c>
    </row>
    <row r="49" ht="15" customHeight="1">
      <c r="A49" t="inlineStr">
        <is>
          <t>A 61885-2022</t>
        </is>
      </c>
      <c r="B49" s="1" t="n">
        <v>44917</v>
      </c>
      <c r="C49" s="1" t="n">
        <v>45637</v>
      </c>
      <c r="D49" t="inlineStr">
        <is>
          <t>SKÅNE LÄN</t>
        </is>
      </c>
      <c r="E49" t="inlineStr">
        <is>
          <t>KRISTIANSTAD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Koralltaggsvamp</t>
        </is>
      </c>
      <c r="S49">
        <f>HYPERLINK("https://klasma.github.io/Logging_1290/artfynd/A 61885-2022 artfynd.xlsx", "A 61885-2022")</f>
        <v/>
      </c>
      <c r="T49">
        <f>HYPERLINK("https://klasma.github.io/Logging_1290/kartor/A 61885-2022 karta.png", "A 61885-2022")</f>
        <v/>
      </c>
      <c r="V49">
        <f>HYPERLINK("https://klasma.github.io/Logging_1290/klagomål/A 61885-2022 FSC-klagomål.docx", "A 61885-2022")</f>
        <v/>
      </c>
      <c r="W49">
        <f>HYPERLINK("https://klasma.github.io/Logging_1290/klagomålsmail/A 61885-2022 FSC-klagomål mail.docx", "A 61885-2022")</f>
        <v/>
      </c>
      <c r="X49">
        <f>HYPERLINK("https://klasma.github.io/Logging_1290/tillsyn/A 61885-2022 tillsynsbegäran.docx", "A 61885-2022")</f>
        <v/>
      </c>
      <c r="Y49">
        <f>HYPERLINK("https://klasma.github.io/Logging_1290/tillsynsmail/A 61885-2022 tillsynsbegäran mail.docx", "A 61885-2022")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45637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45637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45637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45637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45637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45637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45637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45637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45637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45637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45637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45637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45637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45637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45637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45637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45637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45637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45637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45637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45637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45637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45637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45637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45637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45637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45637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45637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45637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45637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45637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45637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45637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45637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45637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45637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45637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45637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45637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45637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45637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45637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45637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45637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45637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45637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45637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45637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45637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45637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45637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45637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45637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45637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45637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45637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45637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45637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45637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45637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45637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45637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45637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45637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45637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45637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45637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45637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45637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45637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45637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45637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45637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45637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45637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45637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45637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45637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45637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45637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45637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45637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45637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45637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45637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45637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45637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45637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45637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45637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45637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45637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45637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45637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45637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45637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45637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45637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45637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45637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45637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45637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45637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45637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45637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45637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45637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45637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45637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45637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45637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45637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45637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45637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45637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45637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45637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45637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45637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45637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45637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45637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45637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45637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45637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45637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45637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45637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45637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45637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45637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45637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45637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45637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45637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45637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45637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45637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45637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45637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45637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45637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45637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45637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45637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45637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45637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45637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45637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45637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45637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45637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45637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45637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45637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45637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45637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45637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45637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45637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45637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45637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45637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45637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45637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45637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45637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45637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45637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45637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45637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45637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45637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45637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45637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45637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45637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45637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45637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45637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45637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45637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45637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45637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45637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45637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45637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45637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45637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45637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45637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45637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45637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45637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45637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45637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45637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45637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45637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45637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45637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45637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45637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45637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45637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45637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45637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45637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45637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45637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45637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45637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45637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45637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45637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45637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45637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45637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45637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45637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45637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45637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45637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45637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45637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45637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45637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45637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45637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45637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45637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45637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45637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45637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45637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45637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45637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45637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45637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45637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45637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45637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45637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45637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45637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45637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45637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45637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45637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45637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45637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45637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45637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45637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45637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45637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45637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45637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45637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45637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45637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45637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45637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45637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45637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45637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45637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45637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45637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45637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45637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45637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45637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45637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45637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45637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45637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45637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45637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45637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45637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45637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45637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45637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45637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45637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45637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45637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45637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45637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45637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45637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45637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45637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45637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45637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45637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45637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45637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45637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45637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45637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45637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45637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45637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45637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45637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45637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45637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45637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45637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45637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45637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45637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45637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45637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45637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45637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45637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45637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45637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45637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45637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45637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45637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45637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45637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45637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45637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45637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45637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45637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45637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45637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45637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45637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45637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45637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45637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45637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45637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45637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45637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45637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45637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45637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45637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45637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45637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45637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45637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45637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45637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45637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45637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45637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45637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45637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45637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45637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45637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45637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45637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45637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45637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45637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45637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45637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45637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45637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45637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45637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45637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45637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45637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45637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45637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45637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45637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45637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45637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45637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45637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45637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45637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45637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45637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45637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45637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45637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45637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45637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45637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45637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45637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45637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45637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45637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45637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45637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45637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45637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45637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45637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45637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45637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45637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45637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45637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45637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45637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45637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45637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45637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45637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45637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45637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45637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45637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45637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45637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45637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45637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45637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45637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45637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45637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45637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45637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45637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45637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45637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45637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45637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45637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45637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45637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45637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45637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45637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45637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45637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45637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45637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45637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45637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45637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45637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45637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45637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45637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45637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45637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45637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45637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45637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45637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45637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45637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45637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45637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45637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45637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45637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45637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45637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45637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45637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45637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45637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45637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45637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45637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45637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45637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45637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45637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45637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45637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45637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45637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45637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45637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45637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45637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45637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45637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45637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45637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45637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45637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45637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45637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45637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45637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45637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45637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45637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45637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45637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45637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45637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45637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45637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45637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45637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45637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45637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45637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45637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45637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45637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45637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45637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45637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45637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45637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45637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45637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45637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45637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45637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45637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45637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45637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45637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45637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45637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45637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45637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45637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45637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45637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45637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45637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45637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45637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45637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45637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45637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45637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45637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45637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45637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45637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45637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45637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45637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45637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45637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45637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45637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45637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45637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45637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45637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45637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45637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45637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45637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45637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45637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45637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45637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45637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45637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45637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45637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45637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45637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45637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45637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45637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45637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45637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45637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45637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45637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45637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45637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45637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45637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45637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45637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45637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45637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45637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45637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45637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45637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45637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45637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45637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45637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45637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45637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45637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45637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45637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45637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45637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45637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45637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45637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45637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45637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45637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45637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45637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45637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45637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45637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45637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45637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45637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45637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45637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45637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45637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45637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45637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45637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45637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45637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45637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45637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45637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45637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45637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45637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45637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45637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45637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45637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45637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45637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45637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45637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45637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45637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45637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45637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45637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45637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45637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45637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45637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45637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45637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45637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45637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45637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45637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45637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45637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45637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45637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45637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45637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45637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45637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45637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45637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45637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45637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45637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45637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45637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45637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45637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45637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45637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45637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45637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45637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45637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45637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45637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45637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45637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45637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45637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45637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45637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45637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45637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45637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45637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45637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45637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45637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45637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45637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45637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45637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45637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45637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45637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45637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45637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45637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45637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45637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45637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45637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45637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45637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45637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45637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45637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45637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45637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45637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45637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45637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45637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45637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45637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45637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45637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45637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45637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45637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45637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45637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45637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45637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45637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45637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45637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45637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45637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45637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45637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45637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45637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45637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45637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45637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45637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45637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45637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45637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45637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45637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45637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45637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45637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45637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45637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45637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45637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45637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45637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45637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45637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45637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45637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45637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45637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45637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45637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45637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45637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45637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45637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45637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45637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45637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45637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45637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45637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45637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45637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45637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45637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45637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45637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45637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45637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45637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45637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45637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45637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45637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45637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45637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45637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45637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45637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45637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45637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45637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45637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45637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45637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45637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45637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45637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45637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45637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45637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45637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45637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45637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45637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45637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45637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45637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45637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45637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45637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45637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45637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45637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45637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45637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45637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45637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45637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45637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45637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45637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45637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45637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45637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45637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45637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45637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45637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45637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45637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45637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39944-2024</t>
        </is>
      </c>
      <c r="B883" s="1" t="n">
        <v>45553</v>
      </c>
      <c r="C883" s="1" t="n">
        <v>45637</v>
      </c>
      <c r="D883" t="inlineStr">
        <is>
          <t>SKÅNE LÄN</t>
        </is>
      </c>
      <c r="E883" t="inlineStr">
        <is>
          <t>KRISTIANSTAD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40300-2024</t>
        </is>
      </c>
      <c r="B884" s="1" t="n">
        <v>45554</v>
      </c>
      <c r="C884" s="1" t="n">
        <v>45637</v>
      </c>
      <c r="D884" t="inlineStr">
        <is>
          <t>SKÅNE LÄN</t>
        </is>
      </c>
      <c r="E884" t="inlineStr">
        <is>
          <t>KRISTIANSTAD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45637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40145-2024</t>
        </is>
      </c>
      <c r="B886" s="1" t="n">
        <v>45554</v>
      </c>
      <c r="C886" s="1" t="n">
        <v>45637</v>
      </c>
      <c r="D886" t="inlineStr">
        <is>
          <t>SKÅNE LÄN</t>
        </is>
      </c>
      <c r="E886" t="inlineStr">
        <is>
          <t>KRISTIANSTAD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40149-2024</t>
        </is>
      </c>
      <c r="B887" s="1" t="n">
        <v>45554</v>
      </c>
      <c r="C887" s="1" t="n">
        <v>45637</v>
      </c>
      <c r="D887" t="inlineStr">
        <is>
          <t>SKÅNE LÄN</t>
        </is>
      </c>
      <c r="E887" t="inlineStr">
        <is>
          <t>KRISTIANSTAD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45637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45637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40419-2024</t>
        </is>
      </c>
      <c r="B890" s="1" t="n">
        <v>45555</v>
      </c>
      <c r="C890" s="1" t="n">
        <v>45637</v>
      </c>
      <c r="D890" t="inlineStr">
        <is>
          <t>SKÅNE LÄN</t>
        </is>
      </c>
      <c r="E890" t="inlineStr">
        <is>
          <t>KRISTIANSTAD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40423-2024</t>
        </is>
      </c>
      <c r="B891" s="1" t="n">
        <v>45555</v>
      </c>
      <c r="C891" s="1" t="n">
        <v>45637</v>
      </c>
      <c r="D891" t="inlineStr">
        <is>
          <t>SKÅNE LÄN</t>
        </is>
      </c>
      <c r="E891" t="inlineStr">
        <is>
          <t>KRISTIANSTAD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40668-2024</t>
        </is>
      </c>
      <c r="B892" s="1" t="n">
        <v>45558</v>
      </c>
      <c r="C892" s="1" t="n">
        <v>45637</v>
      </c>
      <c r="D892" t="inlineStr">
        <is>
          <t>SKÅNE LÄN</t>
        </is>
      </c>
      <c r="E892" t="inlineStr">
        <is>
          <t>KRISTIANSTAD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40747-2024</t>
        </is>
      </c>
      <c r="B893" s="1" t="n">
        <v>45558</v>
      </c>
      <c r="C893" s="1" t="n">
        <v>45637</v>
      </c>
      <c r="D893" t="inlineStr">
        <is>
          <t>SKÅNE LÄN</t>
        </is>
      </c>
      <c r="E893" t="inlineStr">
        <is>
          <t>KRISTIANSTAD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40975-2024</t>
        </is>
      </c>
      <c r="B894" s="1" t="n">
        <v>45558</v>
      </c>
      <c r="C894" s="1" t="n">
        <v>45637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40884-2024</t>
        </is>
      </c>
      <c r="B895" s="1" t="n">
        <v>45558</v>
      </c>
      <c r="C895" s="1" t="n">
        <v>45637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40962-2024</t>
        </is>
      </c>
      <c r="B896" s="1" t="n">
        <v>45558</v>
      </c>
      <c r="C896" s="1" t="n">
        <v>45637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40896-2024</t>
        </is>
      </c>
      <c r="B897" s="1" t="n">
        <v>45558</v>
      </c>
      <c r="C897" s="1" t="n">
        <v>45637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40916-2024</t>
        </is>
      </c>
      <c r="B898" s="1" t="n">
        <v>45558</v>
      </c>
      <c r="C898" s="1" t="n">
        <v>45637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40973-2024</t>
        </is>
      </c>
      <c r="B899" s="1" t="n">
        <v>45558</v>
      </c>
      <c r="C899" s="1" t="n">
        <v>45637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40866-2024</t>
        </is>
      </c>
      <c r="B900" s="1" t="n">
        <v>45558</v>
      </c>
      <c r="C900" s="1" t="n">
        <v>45637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40903-2024</t>
        </is>
      </c>
      <c r="B901" s="1" t="n">
        <v>45558</v>
      </c>
      <c r="C901" s="1" t="n">
        <v>45637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45637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41809-2024</t>
        </is>
      </c>
      <c r="B903" s="1" t="n">
        <v>45561</v>
      </c>
      <c r="C903" s="1" t="n">
        <v>45637</v>
      </c>
      <c r="D903" t="inlineStr">
        <is>
          <t>SKÅNE LÄN</t>
        </is>
      </c>
      <c r="E903" t="inlineStr">
        <is>
          <t>KRISTIANSTAD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45637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45637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45637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42797-2024</t>
        </is>
      </c>
      <c r="B907" s="1" t="n">
        <v>45566</v>
      </c>
      <c r="C907" s="1" t="n">
        <v>45637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42919-2024</t>
        </is>
      </c>
      <c r="B908" s="1" t="n">
        <v>45566</v>
      </c>
      <c r="C908" s="1" t="n">
        <v>45637</v>
      </c>
      <c r="D908" t="inlineStr">
        <is>
          <t>SKÅNE LÄN</t>
        </is>
      </c>
      <c r="E908" t="inlineStr">
        <is>
          <t>KRISTIANSTAD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42790-2024</t>
        </is>
      </c>
      <c r="B909" s="1" t="n">
        <v>45566</v>
      </c>
      <c r="C909" s="1" t="n">
        <v>45637</v>
      </c>
      <c r="D909" t="inlineStr">
        <is>
          <t>SKÅNE LÄN</t>
        </is>
      </c>
      <c r="E909" t="inlineStr">
        <is>
          <t>KRISTIANSTAD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42916-2024</t>
        </is>
      </c>
      <c r="B910" s="1" t="n">
        <v>45566</v>
      </c>
      <c r="C910" s="1" t="n">
        <v>45637</v>
      </c>
      <c r="D910" t="inlineStr">
        <is>
          <t>SKÅNE LÄN</t>
        </is>
      </c>
      <c r="E910" t="inlineStr">
        <is>
          <t>KRISTIANSTAD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43348-2024</t>
        </is>
      </c>
      <c r="B911" s="1" t="n">
        <v>45568</v>
      </c>
      <c r="C911" s="1" t="n">
        <v>45637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43347-2024</t>
        </is>
      </c>
      <c r="B912" s="1" t="n">
        <v>45568</v>
      </c>
      <c r="C912" s="1" t="n">
        <v>45637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43314-2024</t>
        </is>
      </c>
      <c r="B913" s="1" t="n">
        <v>45568</v>
      </c>
      <c r="C913" s="1" t="n">
        <v>45637</v>
      </c>
      <c r="D913" t="inlineStr">
        <is>
          <t>SKÅNE LÄN</t>
        </is>
      </c>
      <c r="E913" t="inlineStr">
        <is>
          <t>KRISTIANSTAD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43312-2024</t>
        </is>
      </c>
      <c r="B914" s="1" t="n">
        <v>45568</v>
      </c>
      <c r="C914" s="1" t="n">
        <v>45637</v>
      </c>
      <c r="D914" t="inlineStr">
        <is>
          <t>SKÅNE LÄN</t>
        </is>
      </c>
      <c r="E914" t="inlineStr">
        <is>
          <t>KRISTIANSTAD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45637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44378-2024</t>
        </is>
      </c>
      <c r="B916" s="1" t="n">
        <v>45573</v>
      </c>
      <c r="C916" s="1" t="n">
        <v>45637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44363-2024</t>
        </is>
      </c>
      <c r="B917" s="1" t="n">
        <v>45573</v>
      </c>
      <c r="C917" s="1" t="n">
        <v>45637</v>
      </c>
      <c r="D917" t="inlineStr">
        <is>
          <t>SKÅNE LÄN</t>
        </is>
      </c>
      <c r="E917" t="inlineStr">
        <is>
          <t>KRISTIANSTAD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45637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45637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45637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45495-2024</t>
        </is>
      </c>
      <c r="B921" s="1" t="n">
        <v>45577</v>
      </c>
      <c r="C921" s="1" t="n">
        <v>45637</v>
      </c>
      <c r="D921" t="inlineStr">
        <is>
          <t>SKÅNE LÄN</t>
        </is>
      </c>
      <c r="E921" t="inlineStr">
        <is>
          <t>KRISTIANSTAD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45493-2024</t>
        </is>
      </c>
      <c r="B922" s="1" t="n">
        <v>45577</v>
      </c>
      <c r="C922" s="1" t="n">
        <v>45637</v>
      </c>
      <c r="D922" t="inlineStr">
        <is>
          <t>SKÅNE LÄN</t>
        </is>
      </c>
      <c r="E922" t="inlineStr">
        <is>
          <t>KRISTIANSTAD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45494-2024</t>
        </is>
      </c>
      <c r="B923" s="1" t="n">
        <v>45577</v>
      </c>
      <c r="C923" s="1" t="n">
        <v>45637</v>
      </c>
      <c r="D923" t="inlineStr">
        <is>
          <t>SKÅNE LÄN</t>
        </is>
      </c>
      <c r="E923" t="inlineStr">
        <is>
          <t>KRISTIANSTAD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45496-2024</t>
        </is>
      </c>
      <c r="B924" s="1" t="n">
        <v>45577</v>
      </c>
      <c r="C924" s="1" t="n">
        <v>45637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45637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45907-2024</t>
        </is>
      </c>
      <c r="B926" s="1" t="n">
        <v>45580</v>
      </c>
      <c r="C926" s="1" t="n">
        <v>45637</v>
      </c>
      <c r="D926" t="inlineStr">
        <is>
          <t>SKÅNE LÄN</t>
        </is>
      </c>
      <c r="E926" t="inlineStr">
        <is>
          <t>KRISTIANSTAD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45908-2024</t>
        </is>
      </c>
      <c r="B927" s="1" t="n">
        <v>45580</v>
      </c>
      <c r="C927" s="1" t="n">
        <v>45637</v>
      </c>
      <c r="D927" t="inlineStr">
        <is>
          <t>SKÅNE LÄN</t>
        </is>
      </c>
      <c r="E927" t="inlineStr">
        <is>
          <t>KRISTIANSTAD</t>
        </is>
      </c>
      <c r="G927" t="n">
        <v>14.1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46069-2024</t>
        </is>
      </c>
      <c r="B928" s="1" t="n">
        <v>45580</v>
      </c>
      <c r="C928" s="1" t="n">
        <v>45637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46070-2024</t>
        </is>
      </c>
      <c r="B929" s="1" t="n">
        <v>45580</v>
      </c>
      <c r="C929" s="1" t="n">
        <v>45637</v>
      </c>
      <c r="D929" t="inlineStr">
        <is>
          <t>SKÅNE LÄN</t>
        </is>
      </c>
      <c r="E929" t="inlineStr">
        <is>
          <t>KRISTIANSTAD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46068-2024</t>
        </is>
      </c>
      <c r="B930" s="1" t="n">
        <v>45580</v>
      </c>
      <c r="C930" s="1" t="n">
        <v>45637</v>
      </c>
      <c r="D930" t="inlineStr">
        <is>
          <t>SKÅNE LÄN</t>
        </is>
      </c>
      <c r="E930" t="inlineStr">
        <is>
          <t>KRISTIANSTAD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46194-2024</t>
        </is>
      </c>
      <c r="B931" s="1" t="n">
        <v>45581</v>
      </c>
      <c r="C931" s="1" t="n">
        <v>45637</v>
      </c>
      <c r="D931" t="inlineStr">
        <is>
          <t>SKÅNE LÄN</t>
        </is>
      </c>
      <c r="E931" t="inlineStr">
        <is>
          <t>KRISTIANSTAD</t>
        </is>
      </c>
      <c r="F931" t="inlineStr">
        <is>
          <t>Övriga Aktiebolag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46182-2024</t>
        </is>
      </c>
      <c r="B932" s="1" t="n">
        <v>45581</v>
      </c>
      <c r="C932" s="1" t="n">
        <v>45637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46123-2024</t>
        </is>
      </c>
      <c r="B933" s="1" t="n">
        <v>45581</v>
      </c>
      <c r="C933" s="1" t="n">
        <v>45637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46469-2024</t>
        </is>
      </c>
      <c r="B934" s="1" t="n">
        <v>45582</v>
      </c>
      <c r="C934" s="1" t="n">
        <v>45637</v>
      </c>
      <c r="D934" t="inlineStr">
        <is>
          <t>SKÅNE LÄN</t>
        </is>
      </c>
      <c r="E934" t="inlineStr">
        <is>
          <t>KRISTIANSTAD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46627-2024</t>
        </is>
      </c>
      <c r="B935" s="1" t="n">
        <v>45583</v>
      </c>
      <c r="C935" s="1" t="n">
        <v>45637</v>
      </c>
      <c r="D935" t="inlineStr">
        <is>
          <t>SKÅNE LÄN</t>
        </is>
      </c>
      <c r="E935" t="inlineStr">
        <is>
          <t>KRISTIANSTAD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47237-2024</t>
        </is>
      </c>
      <c r="B936" s="1" t="n">
        <v>45586</v>
      </c>
      <c r="C936" s="1" t="n">
        <v>45637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47231-2024</t>
        </is>
      </c>
      <c r="B937" s="1" t="n">
        <v>45586</v>
      </c>
      <c r="C937" s="1" t="n">
        <v>45637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47235-2024</t>
        </is>
      </c>
      <c r="B938" s="1" t="n">
        <v>45586</v>
      </c>
      <c r="C938" s="1" t="n">
        <v>45637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47232-2024</t>
        </is>
      </c>
      <c r="B939" s="1" t="n">
        <v>45586</v>
      </c>
      <c r="C939" s="1" t="n">
        <v>45637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47228-2024</t>
        </is>
      </c>
      <c r="B940" s="1" t="n">
        <v>45586</v>
      </c>
      <c r="C940" s="1" t="n">
        <v>45637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47223-2024</t>
        </is>
      </c>
      <c r="B941" s="1" t="n">
        <v>45586</v>
      </c>
      <c r="C941" s="1" t="n">
        <v>45637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46959-2024</t>
        </is>
      </c>
      <c r="B942" s="1" t="n">
        <v>45586</v>
      </c>
      <c r="C942" s="1" t="n">
        <v>45637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48173-2024</t>
        </is>
      </c>
      <c r="B943" s="1" t="n">
        <v>45589</v>
      </c>
      <c r="C943" s="1" t="n">
        <v>45637</v>
      </c>
      <c r="D943" t="inlineStr">
        <is>
          <t>SKÅNE LÄN</t>
        </is>
      </c>
      <c r="E943" t="inlineStr">
        <is>
          <t>KRISTIANSTAD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48693-2024</t>
        </is>
      </c>
      <c r="B944" s="1" t="n">
        <v>45593</v>
      </c>
      <c r="C944" s="1" t="n">
        <v>45637</v>
      </c>
      <c r="D944" t="inlineStr">
        <is>
          <t>SKÅNE LÄN</t>
        </is>
      </c>
      <c r="E944" t="inlineStr">
        <is>
          <t>KRISTIANSTAD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48733-2024</t>
        </is>
      </c>
      <c r="B945" s="1" t="n">
        <v>45593</v>
      </c>
      <c r="C945" s="1" t="n">
        <v>45637</v>
      </c>
      <c r="D945" t="inlineStr">
        <is>
          <t>SKÅNE LÄN</t>
        </is>
      </c>
      <c r="E945" t="inlineStr">
        <is>
          <t>KRISTIANSTAD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50294-2024</t>
        </is>
      </c>
      <c r="B946" s="1" t="n">
        <v>45600</v>
      </c>
      <c r="C946" s="1" t="n">
        <v>45637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50543-2024</t>
        </is>
      </c>
      <c r="B947" s="1" t="n">
        <v>45600</v>
      </c>
      <c r="C947" s="1" t="n">
        <v>45637</v>
      </c>
      <c r="D947" t="inlineStr">
        <is>
          <t>SKÅNE LÄN</t>
        </is>
      </c>
      <c r="E947" t="inlineStr">
        <is>
          <t>KRISTIANSTAD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50779-2024</t>
        </is>
      </c>
      <c r="B948" s="1" t="n">
        <v>45602</v>
      </c>
      <c r="C948" s="1" t="n">
        <v>45637</v>
      </c>
      <c r="D948" t="inlineStr">
        <is>
          <t>SKÅNE LÄN</t>
        </is>
      </c>
      <c r="E948" t="inlineStr">
        <is>
          <t>KRISTIANSTAD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51248-2024</t>
        </is>
      </c>
      <c r="B949" s="1" t="n">
        <v>45603</v>
      </c>
      <c r="C949" s="1" t="n">
        <v>45637</v>
      </c>
      <c r="D949" t="inlineStr">
        <is>
          <t>SKÅNE LÄN</t>
        </is>
      </c>
      <c r="E949" t="inlineStr">
        <is>
          <t>KRISTIANSTAD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52012-2024</t>
        </is>
      </c>
      <c r="B950" s="1" t="n">
        <v>45607</v>
      </c>
      <c r="C950" s="1" t="n">
        <v>45637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51917-2024</t>
        </is>
      </c>
      <c r="B951" s="1" t="n">
        <v>45607</v>
      </c>
      <c r="C951" s="1" t="n">
        <v>45637</v>
      </c>
      <c r="D951" t="inlineStr">
        <is>
          <t>SKÅNE LÄN</t>
        </is>
      </c>
      <c r="E951" t="inlineStr">
        <is>
          <t>KRISTIANSTAD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52014-2024</t>
        </is>
      </c>
      <c r="B952" s="1" t="n">
        <v>45607</v>
      </c>
      <c r="C952" s="1" t="n">
        <v>45637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51903-2024</t>
        </is>
      </c>
      <c r="B953" s="1" t="n">
        <v>45607</v>
      </c>
      <c r="C953" s="1" t="n">
        <v>45637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51898-2024</t>
        </is>
      </c>
      <c r="B954" s="1" t="n">
        <v>45607</v>
      </c>
      <c r="C954" s="1" t="n">
        <v>45637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51678-2024</t>
        </is>
      </c>
      <c r="B955" s="1" t="n">
        <v>45607</v>
      </c>
      <c r="C955" s="1" t="n">
        <v>45637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52067-2024</t>
        </is>
      </c>
      <c r="B956" s="1" t="n">
        <v>45608</v>
      </c>
      <c r="C956" s="1" t="n">
        <v>45637</v>
      </c>
      <c r="D956" t="inlineStr">
        <is>
          <t>SKÅNE LÄN</t>
        </is>
      </c>
      <c r="E956" t="inlineStr">
        <is>
          <t>KRISTIANSTAD</t>
        </is>
      </c>
      <c r="G956" t="n">
        <v>9.699999999999999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52065-2024</t>
        </is>
      </c>
      <c r="B957" s="1" t="n">
        <v>45608</v>
      </c>
      <c r="C957" s="1" t="n">
        <v>45637</v>
      </c>
      <c r="D957" t="inlineStr">
        <is>
          <t>SKÅNE LÄN</t>
        </is>
      </c>
      <c r="E957" t="inlineStr">
        <is>
          <t>KRISTIANSTAD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52060-2024</t>
        </is>
      </c>
      <c r="B958" s="1" t="n">
        <v>45608</v>
      </c>
      <c r="C958" s="1" t="n">
        <v>45637</v>
      </c>
      <c r="D958" t="inlineStr">
        <is>
          <t>SKÅNE LÄN</t>
        </is>
      </c>
      <c r="E958" t="inlineStr">
        <is>
          <t>KRISTIANSTAD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52064-2024</t>
        </is>
      </c>
      <c r="B959" s="1" t="n">
        <v>45608</v>
      </c>
      <c r="C959" s="1" t="n">
        <v>45637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52495-2024</t>
        </is>
      </c>
      <c r="B960" s="1" t="n">
        <v>45609</v>
      </c>
      <c r="C960" s="1" t="n">
        <v>45637</v>
      </c>
      <c r="D960" t="inlineStr">
        <is>
          <t>SKÅNE LÄN</t>
        </is>
      </c>
      <c r="E960" t="inlineStr">
        <is>
          <t>KRISTIANSTAD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54069-2024</t>
        </is>
      </c>
      <c r="B961" s="1" t="n">
        <v>45616</v>
      </c>
      <c r="C961" s="1" t="n">
        <v>45637</v>
      </c>
      <c r="D961" t="inlineStr">
        <is>
          <t>SKÅNE LÄN</t>
        </is>
      </c>
      <c r="E961" t="inlineStr">
        <is>
          <t>KRISTIANSTAD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55469-2024</t>
        </is>
      </c>
      <c r="B962" s="1" t="n">
        <v>45622</v>
      </c>
      <c r="C962" s="1" t="n">
        <v>45637</v>
      </c>
      <c r="D962" t="inlineStr">
        <is>
          <t>SKÅNE LÄN</t>
        </is>
      </c>
      <c r="E962" t="inlineStr">
        <is>
          <t>KRISTIANSTAD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55499-2024</t>
        </is>
      </c>
      <c r="B963" s="1" t="n">
        <v>45622</v>
      </c>
      <c r="C963" s="1" t="n">
        <v>45637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>
      <c r="A964" t="inlineStr">
        <is>
          <t>A 56762-2024</t>
        </is>
      </c>
      <c r="B964" s="1" t="n">
        <v>45628</v>
      </c>
      <c r="C964" s="1" t="n">
        <v>45637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2024-12-11T15:12:04Z</dcterms:created>
  <dcterms:modified xmlns:dcterms="http://purl.org/dc/terms/" xmlns:xsi="http://www.w3.org/2001/XMLSchema-instance" xsi:type="dcterms:W3CDTF">2024-12-11T15:12:04Z</dcterms:modified>
</cp:coreProperties>
</file>