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46260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46260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46260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46260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46260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46260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46260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46260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46260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46260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46260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46260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46260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46260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46260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46260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46260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A 62067-2022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46260</v>
      </c>
      <c r="F19" t="inlineStr">
        <is>
          <t>SKÅNE LÄN</t>
        </is>
      </c>
      <c r="G19" t="inlineStr">
        <is>
          <t>KRISTIANSTAD</t>
        </is>
      </c>
      <c r="I19" t="n">
        <v>3</v>
      </c>
      <c r="J19" t="n">
        <v>0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9</v>
      </c>
      <c r="U19" t="n">
        <v>6</v>
      </c>
      <c r="V19" s="2" t="inlineStr">
        <is>
          <t>Olivjordtunga
Rödbrun jordtunga
Blodvaxing
Papegojvaxing
Plattad jordtunga
Vitvaxing agg.
Ängsfingersvamp</t>
        </is>
      </c>
      <c r="W19">
        <f>HYPERLINK("https://klasma.github.io/Logging_1290/artfynd/A 62067-2022 artfynd.xlsx", "A 62067-2022")</f>
        <v/>
      </c>
      <c r="X19">
        <f>HYPERLINK("https://klasma.github.io/Logging_1290/kartor/A 62067-2022 karta.png", "A 62067-2022")</f>
        <v/>
      </c>
      <c r="Y19">
        <f>HYPERLINK("https://klasma.github.io/Logging_1290/kartor_geotiff/A 62067-2022 georefererad karta.tif", "A 62067-2022")</f>
        <v/>
      </c>
      <c r="AA19">
        <f>HYPERLINK("https://klasma.github.io/Logging_1290/klagomål/A 62067-2022 FSC-klagomål.docx", "A 62067-2022")</f>
        <v/>
      </c>
      <c r="AB19">
        <f>HYPERLINK("https://klasma.github.io/Logging_1290/klagomålsmail/A 62067-2022 FSC-klagomål mail.docx", "A 62067-2022")</f>
        <v/>
      </c>
      <c r="AC19">
        <f>HYPERLINK("https://klasma.github.io/Logging_1290/tillsyn/A 62067-2022 tillsynsbegäran.docx", "A 62067-2022")</f>
        <v/>
      </c>
      <c r="AD19">
        <f>HYPERLINK("https://klasma.github.io/Logging_1290/tillsynsmail/A 62067-2022 tillsynsbegäran mail.docx", "A 62067-2022")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46260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46260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46260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46260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46260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46260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46260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46260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46260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46260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46260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46260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46260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46260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1415-2024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45303</v>
      </c>
      <c r="E34" s="1" t="n">
        <v>46260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t="n">
        <v>1</v>
      </c>
      <c r="V34" s="2" t="inlineStr">
        <is>
          <t>Stenticka
Stor tratticka
Liten stinksvamp
Rutbläcksvamp</t>
        </is>
      </c>
      <c r="W34">
        <f>HYPERLINK("https://klasma.github.io/Logging_1290/artfynd/A 1415-2024 artfynd.xlsx", "A 1415-2024")</f>
        <v/>
      </c>
      <c r="X34">
        <f>HYPERLINK("https://klasma.github.io/Logging_1290/kartor/A 1415-2024 karta.png", "A 1415-2024")</f>
        <v/>
      </c>
      <c r="Y34">
        <f>HYPERLINK("https://klasma.github.io/Logging_1290/kartor_geotiff/A 1415-2024 georefererad karta.tif", "A 1415-2024")</f>
        <v/>
      </c>
      <c r="AA34">
        <f>HYPERLINK("https://klasma.github.io/Logging_1290/klagomål/A 1415-2024 FSC-klagomål.docx", "A 1415-2024")</f>
        <v/>
      </c>
      <c r="AB34">
        <f>HYPERLINK("https://klasma.github.io/Logging_1290/klagomålsmail/A 1415-2024 FSC-klagomål mail.docx", "A 1415-2024")</f>
        <v/>
      </c>
      <c r="AC34">
        <f>HYPERLINK("https://klasma.github.io/Logging_1290/tillsyn/A 1415-2024 tillsynsbegäran.docx", "A 1415-2024")</f>
        <v/>
      </c>
      <c r="AD34">
        <f>HYPERLINK("https://klasma.github.io/Logging_1290/tillsynsmail/A 1415-2024 tillsynsbegäran mail.docx", "A 1415-2024")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46260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46260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46260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46260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46260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46260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46260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46260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46260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46260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46260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46260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46260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46260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46260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46260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52020-2021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46260</v>
      </c>
      <c r="F51" t="inlineStr">
        <is>
          <t>SKÅNE LÄN</t>
        </is>
      </c>
      <c r="G51" t="inlineStr">
        <is>
          <t>KRISTIANSTAD</t>
        </is>
      </c>
      <c r="I51" t="n">
        <v>1</v>
      </c>
      <c r="J51" t="n">
        <v>3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Grönfink
Järnsparv
Kungsfågel</t>
        </is>
      </c>
      <c r="W51">
        <f>HYPERLINK("https://klasma.github.io/Logging_1290/artfynd/A 52020-2021 artfynd.xlsx", "A 52020-2021")</f>
        <v/>
      </c>
      <c r="X51">
        <f>HYPERLINK("https://klasma.github.io/Logging_1290/kartor/A 52020-2021 karta.png", "A 52020-2021")</f>
        <v/>
      </c>
      <c r="Y51">
        <f>HYPERLINK("https://klasma.github.io/Logging_1290/kartor_geotiff/A 52020-2021 georefererad karta.tif", "A 52020-2021")</f>
        <v/>
      </c>
      <c r="AA51">
        <f>HYPERLINK("https://klasma.github.io/Logging_1290/klagomål/A 52020-2021 FSC-klagomål.docx", "A 52020-2021")</f>
        <v/>
      </c>
      <c r="AB51">
        <f>HYPERLINK("https://klasma.github.io/Logging_1290/klagomålsmail/A 52020-2021 FSC-klagomål mail.docx", "A 52020-2021")</f>
        <v/>
      </c>
      <c r="AC51">
        <f>HYPERLINK("https://klasma.github.io/Logging_1290/tillsyn/A 52020-2021 tillsynsbegäran.docx", "A 52020-2021")</f>
        <v/>
      </c>
      <c r="AD51">
        <f>HYPERLINK("https://klasma.github.io/Logging_1290/tillsynsmail/A 52020-2021 tillsynsbegäran mail.docx", "A 52020-2021")</f>
        <v/>
      </c>
      <c r="AE51">
        <f>HYPERLINK("https://klasma.github.io/Logging_1290/fåglar/A 52020-2021 prioriterade fågelarter.docx", "A 52020-2021")</f>
        <v/>
      </c>
    </row>
    <row r="52" ht="15" customHeight="1">
      <c r="A52" t="inlineStr">
        <is>
          <t>A 12576-2023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46260</v>
      </c>
      <c r="F52" t="inlineStr">
        <is>
          <t>SKÅNE LÄN</t>
        </is>
      </c>
      <c r="G52" t="inlineStr">
        <is>
          <t>KRISTIANSTAD</t>
        </is>
      </c>
      <c r="I52" t="n">
        <v>5.8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Bukspolsnäcka
Tandsnäcka
Lamellsnäcka</t>
        </is>
      </c>
      <c r="W52">
        <f>HYPERLINK("https://klasma.github.io/Logging_1290/artfynd/A 12576-2023 artfynd.xlsx", "A 12576-2023")</f>
        <v/>
      </c>
      <c r="X52">
        <f>HYPERLINK("https://klasma.github.io/Logging_1290/kartor/A 12576-2023 karta.png", "A 12576-2023")</f>
        <v/>
      </c>
      <c r="Y52">
        <f>HYPERLINK("https://klasma.github.io/Logging_1290/kartor_geotiff/A 12576-2023 georefererad karta.tif", "A 12576-2023")</f>
        <v/>
      </c>
      <c r="AA52">
        <f>HYPERLINK("https://klasma.github.io/Logging_1290/klagomål/A 12576-2023 FSC-klagomål.docx", "A 12576-2023")</f>
        <v/>
      </c>
      <c r="AB52">
        <f>HYPERLINK("https://klasma.github.io/Logging_1290/klagomålsmail/A 12576-2023 FSC-klagomål mail.docx", "A 12576-2023")</f>
        <v/>
      </c>
      <c r="AC52">
        <f>HYPERLINK("https://klasma.github.io/Logging_1290/tillsyn/A 12576-2023 tillsynsbegäran.docx", "A 12576-2023")</f>
        <v/>
      </c>
      <c r="AD52">
        <f>HYPERLINK("https://klasma.github.io/Logging_1290/tillsynsmail/A 12576-2023 tillsynsbegäran mail.docx", "A 12576-2023")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46260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46260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2643-2022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44700</v>
      </c>
      <c r="E55" s="1" t="n">
        <v>46260</v>
      </c>
      <c r="F55" t="inlineStr">
        <is>
          <t>SKÅNE LÄN</t>
        </is>
      </c>
      <c r="G55" t="inlineStr">
        <is>
          <t>KRISTIANSTAD</t>
        </is>
      </c>
      <c r="I55" t="n">
        <v>17.9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Nattskärra
Spillkråka
Törnskata</t>
        </is>
      </c>
      <c r="W55">
        <f>HYPERLINK("https://klasma.github.io/Logging_1290/artfynd/S 2643-2022 artfynd.xlsx", "S 2643-2022")</f>
        <v/>
      </c>
      <c r="X55">
        <f>HYPERLINK("https://klasma.github.io/Logging_1290/kartor/S 2643-2022 karta.png", "S 2643-2022")</f>
        <v/>
      </c>
      <c r="Y55">
        <f>HYPERLINK("https://klasma.github.io/Logging_1290/kartor_geotiff/S 2643-2022 georefererad karta.tif", "S 2643-2022")</f>
        <v/>
      </c>
      <c r="AA55">
        <f>HYPERLINK("https://klasma.github.io/Logging_1290/klagomål/S 2643-2022 FSC-klagomål.docx", "S 2643-2022")</f>
        <v/>
      </c>
      <c r="AB55">
        <f>HYPERLINK("https://klasma.github.io/Logging_1290/klagomålsmail/S 2643-2022 FSC-klagomål mail.docx", "S 2643-2022")</f>
        <v/>
      </c>
      <c r="AC55">
        <f>HYPERLINK("https://klasma.github.io/Logging_1290/tillsyn/S 2643-2022 tillsynsbegäran.docx", "S 2643-2022")</f>
        <v/>
      </c>
      <c r="AD55">
        <f>HYPERLINK("https://klasma.github.io/Logging_1290/tillsynsmail/S 2643-2022 tillsynsbegäran mail.docx", "S 2643-2022")</f>
        <v/>
      </c>
      <c r="AE55">
        <f>HYPERLINK("https://klasma.github.io/Logging_1290/fåglar/S 2643-2022 prioriterade fågelarter.docx", "S 2643-2022")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46260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56454-2021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46260</v>
      </c>
      <c r="F57" t="inlineStr">
        <is>
          <t>SKÅNE LÄN</t>
        </is>
      </c>
      <c r="G57" t="inlineStr">
        <is>
          <t>KRISTIANSTAD</t>
        </is>
      </c>
      <c r="H57" t="inlineStr">
        <is>
          <t>Kyrkan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Tibast
Svartvit flugsnappare</t>
        </is>
      </c>
      <c r="W57">
        <f>HYPERLINK("https://klasma.github.io/Logging_1290/artfynd/A 56454-2021 artfynd.xlsx", "A 56454-2021")</f>
        <v/>
      </c>
      <c r="X57">
        <f>HYPERLINK("https://klasma.github.io/Logging_1290/kartor/A 56454-2021 karta.png", "A 56454-2021")</f>
        <v/>
      </c>
      <c r="Y57">
        <f>HYPERLINK("https://klasma.github.io/Logging_1290/kartor_geotiff/A 56454-2021 georefererad karta.tif", "A 56454-2021")</f>
        <v/>
      </c>
      <c r="AA57">
        <f>HYPERLINK("https://klasma.github.io/Logging_1290/klagomål/A 56454-2021 FSC-klagomål.docx", "A 56454-2021")</f>
        <v/>
      </c>
      <c r="AB57">
        <f>HYPERLINK("https://klasma.github.io/Logging_1290/klagomålsmail/A 56454-2021 FSC-klagomål mail.docx", "A 56454-2021")</f>
        <v/>
      </c>
      <c r="AC57">
        <f>HYPERLINK("https://klasma.github.io/Logging_1290/tillsyn/A 56454-2021 tillsynsbegäran.docx", "A 56454-2021")</f>
        <v/>
      </c>
      <c r="AD57">
        <f>HYPERLINK("https://klasma.github.io/Logging_1290/tillsynsmail/A 56454-2021 tillsynsbegäran mail.docx", "A 56454-2021")</f>
        <v/>
      </c>
    </row>
    <row r="58" ht="15" customHeight="1">
      <c r="A58" t="inlineStr">
        <is>
          <t>A 59690-2021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44494</v>
      </c>
      <c r="E58" s="1" t="n">
        <v>46260</v>
      </c>
      <c r="F58" t="inlineStr">
        <is>
          <t>SKÅNE LÄN</t>
        </is>
      </c>
      <c r="G58" t="inlineStr">
        <is>
          <t>KRISTIANSTAD</t>
        </is>
      </c>
      <c r="I58" t="n">
        <v>5.2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Lundvårlök
Grönvit nattviol</t>
        </is>
      </c>
      <c r="W58">
        <f>HYPERLINK("https://klasma.github.io/Logging_1290/artfynd/A 59690-2021 artfynd.xlsx", "A 59690-2021")</f>
        <v/>
      </c>
      <c r="X58">
        <f>HYPERLINK("https://klasma.github.io/Logging_1290/kartor/A 59690-2021 karta.png", "A 59690-2021")</f>
        <v/>
      </c>
      <c r="Y58">
        <f>HYPERLINK("https://klasma.github.io/Logging_1290/kartor_geotiff/A 59690-2021 georefererad karta.tif", "A 59690-2021")</f>
        <v/>
      </c>
      <c r="AA58">
        <f>HYPERLINK("https://klasma.github.io/Logging_1290/klagomål/A 59690-2021 FSC-klagomål.docx", "A 59690-2021")</f>
        <v/>
      </c>
      <c r="AB58">
        <f>HYPERLINK("https://klasma.github.io/Logging_1290/klagomålsmail/A 59690-2021 FSC-klagomål mail.docx", "A 59690-2021")</f>
        <v/>
      </c>
      <c r="AC58">
        <f>HYPERLINK("https://klasma.github.io/Logging_1290/tillsyn/A 59690-2021 tillsynsbegäran.docx", "A 59690-2021")</f>
        <v/>
      </c>
      <c r="AD58">
        <f>HYPERLINK("https://klasma.github.io/Logging_1290/tillsynsmail/A 59690-2021 tillsynsbegäran mail.docx", "A 59690-2021")</f>
        <v/>
      </c>
    </row>
    <row r="59" ht="15" customHeight="1">
      <c r="A59" t="inlineStr">
        <is>
          <t>A 40296-2025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45895</v>
      </c>
      <c r="E59" s="1" t="n">
        <v>46260</v>
      </c>
      <c r="F59" t="inlineStr">
        <is>
          <t>SKÅNE LÄN</t>
        </is>
      </c>
      <c r="G59" t="inlineStr">
        <is>
          <t>KRISTIANSTAD</t>
        </is>
      </c>
      <c r="I59" t="n">
        <v>0.8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Småvänderot
Trana</t>
        </is>
      </c>
      <c r="W59">
        <f>HYPERLINK("https://klasma.github.io/Logging_1290/artfynd/A 40296-2025 artfynd.xlsx", "A 40296-2025")</f>
        <v/>
      </c>
      <c r="X59">
        <f>HYPERLINK("https://klasma.github.io/Logging_1290/kartor/A 40296-2025 karta.png", "A 40296-2025")</f>
        <v/>
      </c>
      <c r="Y59">
        <f>HYPERLINK("https://klasma.github.io/Logging_1290/kartor_geotiff/A 40296-2025 georefererad karta.tif", "A 40296-2025")</f>
        <v/>
      </c>
      <c r="AA59">
        <f>HYPERLINK("https://klasma.github.io/Logging_1290/klagomål/A 40296-2025 FSC-klagomål.docx", "A 40296-2025")</f>
        <v/>
      </c>
      <c r="AB59">
        <f>HYPERLINK("https://klasma.github.io/Logging_1290/klagomålsmail/A 40296-2025 FSC-klagomål mail.docx", "A 40296-2025")</f>
        <v/>
      </c>
      <c r="AC59">
        <f>HYPERLINK("https://klasma.github.io/Logging_1290/tillsyn/A 40296-2025 tillsynsbegäran.docx", "A 40296-2025")</f>
        <v/>
      </c>
      <c r="AD59">
        <f>HYPERLINK("https://klasma.github.io/Logging_1290/tillsynsmail/A 40296-2025 tillsynsbegäran mail.docx", "A 40296-2025")</f>
        <v/>
      </c>
      <c r="AE59">
        <f>HYPERLINK("https://klasma.github.io/Logging_1290/fåglar/A 40296-2025 prioriterade fågelarter.docx", "A 40296-2025")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46260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56969-2023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46260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2.4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Lundbräsma
Myskmadra</t>
        </is>
      </c>
      <c r="W61">
        <f>HYPERLINK("https://klasma.github.io/Logging_1290/artfynd/A 56969-2023 artfynd.xlsx", "A 56969-2023")</f>
        <v/>
      </c>
      <c r="X61">
        <f>HYPERLINK("https://klasma.github.io/Logging_1290/kartor/A 56969-2023 karta.png", "A 56969-2023")</f>
        <v/>
      </c>
      <c r="Y61">
        <f>HYPERLINK("https://klasma.github.io/Logging_1290/kartor_geotiff/A 56969-2023 georefererad karta.tif", "A 56969-2023")</f>
        <v/>
      </c>
      <c r="AA61">
        <f>HYPERLINK("https://klasma.github.io/Logging_1290/klagomål/A 56969-2023 FSC-klagomål.docx", "A 56969-2023")</f>
        <v/>
      </c>
      <c r="AB61">
        <f>HYPERLINK("https://klasma.github.io/Logging_1290/klagomålsmail/A 56969-2023 FSC-klagomål mail.docx", "A 56969-2023")</f>
        <v/>
      </c>
      <c r="AC61">
        <f>HYPERLINK("https://klasma.github.io/Logging_1290/tillsyn/A 56969-2023 tillsynsbegäran.docx", "A 56969-2023")</f>
        <v/>
      </c>
      <c r="AD61">
        <f>HYPERLINK("https://klasma.github.io/Logging_1290/tillsynsmail/A 56969-2023 tillsynsbegäran mail.docx", "A 56969-2023")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46260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12744-2026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46091</v>
      </c>
      <c r="E63" s="1" t="n">
        <v>46260</v>
      </c>
      <c r="F63" t="inlineStr">
        <is>
          <t>SKÅNE LÄN</t>
        </is>
      </c>
      <c r="G63" t="inlineStr">
        <is>
          <t>KRISTIANSTAD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Glansfläck
Olivklotterlav</t>
        </is>
      </c>
      <c r="W63">
        <f>HYPERLINK("https://klasma.github.io/Logging_1290/artfynd/A 12744-2026 artfynd.xlsx", "A 12744-2026")</f>
        <v/>
      </c>
      <c r="X63">
        <f>HYPERLINK("https://klasma.github.io/Logging_1290/kartor/A 12744-2026 karta.png", "A 12744-2026")</f>
        <v/>
      </c>
      <c r="Y63">
        <f>HYPERLINK("https://klasma.github.io/Logging_1290/kartor_geotiff/A 12744-2026 georefererad karta.tif", "A 12744-2026")</f>
        <v/>
      </c>
      <c r="AA63">
        <f>HYPERLINK("https://klasma.github.io/Logging_1290/klagomål/A 12744-2026 FSC-klagomål.docx", "A 12744-2026")</f>
        <v/>
      </c>
      <c r="AB63">
        <f>HYPERLINK("https://klasma.github.io/Logging_1290/klagomålsmail/A 12744-2026 FSC-klagomål mail.docx", "A 12744-2026")</f>
        <v/>
      </c>
      <c r="AC63">
        <f>HYPERLINK("https://klasma.github.io/Logging_1290/tillsyn/A 12744-2026 tillsynsbegäran.docx", "A 12744-2026")</f>
        <v/>
      </c>
      <c r="AD63">
        <f>HYPERLINK("https://klasma.github.io/Logging_1290/tillsynsmail/A 12744-2026 tillsynsbegäran mail.docx", "A 12744-2026")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46260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2888-2024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45315</v>
      </c>
      <c r="E65" s="1" t="n">
        <v>46260</v>
      </c>
      <c r="F65" t="inlineStr">
        <is>
          <t>SKÅNE LÄN</t>
        </is>
      </c>
      <c r="G65" t="inlineStr">
        <is>
          <t>KRISTIANSTAD</t>
        </is>
      </c>
      <c r="I65" t="n">
        <v>10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Kransrams
Stor häxört</t>
        </is>
      </c>
      <c r="W65">
        <f>HYPERLINK("https://klasma.github.io/Logging_1290/artfynd/A 2888-2024 artfynd.xlsx", "A 2888-2024")</f>
        <v/>
      </c>
      <c r="X65">
        <f>HYPERLINK("https://klasma.github.io/Logging_1290/kartor/A 2888-2024 karta.png", "A 2888-2024")</f>
        <v/>
      </c>
      <c r="Y65">
        <f>HYPERLINK("https://klasma.github.io/Logging_1290/kartor_geotiff/A 2888-2024 georefererad karta.tif", "A 2888-2024")</f>
        <v/>
      </c>
      <c r="AA65">
        <f>HYPERLINK("https://klasma.github.io/Logging_1290/klagomål/A 2888-2024 FSC-klagomål.docx", "A 2888-2024")</f>
        <v/>
      </c>
      <c r="AB65">
        <f>HYPERLINK("https://klasma.github.io/Logging_1290/klagomålsmail/A 2888-2024 FSC-klagomål mail.docx", "A 2888-2024")</f>
        <v/>
      </c>
      <c r="AC65">
        <f>HYPERLINK("https://klasma.github.io/Logging_1290/tillsyn/A 2888-2024 tillsynsbegäran.docx", "A 2888-2024")</f>
        <v/>
      </c>
      <c r="AD65">
        <f>HYPERLINK("https://klasma.github.io/Logging_1290/tillsynsmail/A 2888-2024 tillsynsbegäran mail.docx", "A 2888-2024")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46260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46260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Gropticka
Stenticka</t>
        </is>
      </c>
      <c r="W67">
        <f>HYPERLINK("https://klasma.github.io/Logging_1290/artfynd/A 1418-2024 artfynd.xlsx", "A 1418-2024")</f>
        <v/>
      </c>
      <c r="X67">
        <f>HYPERLINK("https://klasma.github.io/Logging_1290/kartor/A 1418-2024 karta.png", "A 1418-2024")</f>
        <v/>
      </c>
      <c r="Y67">
        <f>HYPERLINK("https://klasma.github.io/Logging_1290/kartor_geotiff/A 1418-2024 georefererad karta.tif", "A 1418-2024")</f>
        <v/>
      </c>
      <c r="AA67">
        <f>HYPERLINK("https://klasma.github.io/Logging_1290/klagomål/A 1418-2024 FSC-klagomål.docx", "A 1418-2024")</f>
        <v/>
      </c>
      <c r="AB67">
        <f>HYPERLINK("https://klasma.github.io/Logging_1290/klagomålsmail/A 1418-2024 FSC-klagomål mail.docx", "A 1418-2024")</f>
        <v/>
      </c>
      <c r="AC67">
        <f>HYPERLINK("https://klasma.github.io/Logging_1290/tillsyn/A 1418-2024 tillsynsbegäran.docx", "A 1418-2024")</f>
        <v/>
      </c>
      <c r="AD67">
        <f>HYPERLINK("https://klasma.github.io/Logging_1290/tillsynsmail/A 1418-2024 tillsynsbegäran mail.docx", "A 1418-2024")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46260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46260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11720-2025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46260</v>
      </c>
      <c r="F70" t="inlineStr">
        <is>
          <t>SKÅNE LÄN</t>
        </is>
      </c>
      <c r="G70" t="inlineStr">
        <is>
          <t>KRISTIANSTAD</t>
        </is>
      </c>
      <c r="I70" t="n">
        <v>3.1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Igelkottsröksvamp
Åkergroda</t>
        </is>
      </c>
      <c r="W70">
        <f>HYPERLINK("https://klasma.github.io/Logging_1290/artfynd/A 11720-2025 artfynd.xlsx", "A 11720-2025")</f>
        <v/>
      </c>
      <c r="X70">
        <f>HYPERLINK("https://klasma.github.io/Logging_1290/kartor/A 11720-2025 karta.png", "A 11720-2025")</f>
        <v/>
      </c>
      <c r="Y70">
        <f>HYPERLINK("https://klasma.github.io/Logging_1290/kartor_geotiff/A 11720-2025 georefererad karta.tif", "A 11720-2025")</f>
        <v/>
      </c>
      <c r="AA70">
        <f>HYPERLINK("https://klasma.github.io/Logging_1290/klagomål/A 11720-2025 FSC-klagomål.docx", "A 11720-2025")</f>
        <v/>
      </c>
      <c r="AB70">
        <f>HYPERLINK("https://klasma.github.io/Logging_1290/klagomålsmail/A 11720-2025 FSC-klagomål mail.docx", "A 11720-2025")</f>
        <v/>
      </c>
      <c r="AC70">
        <f>HYPERLINK("https://klasma.github.io/Logging_1290/tillsyn/A 11720-2025 tillsynsbegäran.docx", "A 11720-2025")</f>
        <v/>
      </c>
      <c r="AD70">
        <f>HYPERLINK("https://klasma.github.io/Logging_1290/tillsynsmail/A 11720-2025 tillsynsbegäran mail.docx", "A 11720-2025")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46260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15229-2023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46260</v>
      </c>
      <c r="F72" t="inlineStr">
        <is>
          <t>SKÅNE LÄN</t>
        </is>
      </c>
      <c r="G72" t="inlineStr">
        <is>
          <t>KRISTIANSTAD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Drillsnäppa
Buskskvätta</t>
        </is>
      </c>
      <c r="W72">
        <f>HYPERLINK("https://klasma.github.io/Logging_1290/artfynd/A 15229-2023 artfynd.xlsx", "A 15229-2023")</f>
        <v/>
      </c>
      <c r="X72">
        <f>HYPERLINK("https://klasma.github.io/Logging_1290/kartor/A 15229-2023 karta.png", "A 15229-2023")</f>
        <v/>
      </c>
      <c r="Y72">
        <f>HYPERLINK("https://klasma.github.io/Logging_1290/kartor_geotiff/A 15229-2023 georefererad karta.tif", "A 15229-2023")</f>
        <v/>
      </c>
      <c r="AA72">
        <f>HYPERLINK("https://klasma.github.io/Logging_1290/klagomål/A 15229-2023 FSC-klagomål.docx", "A 15229-2023")</f>
        <v/>
      </c>
      <c r="AB72">
        <f>HYPERLINK("https://klasma.github.io/Logging_1290/klagomålsmail/A 15229-2023 FSC-klagomål mail.docx", "A 15229-2023")</f>
        <v/>
      </c>
      <c r="AC72">
        <f>HYPERLINK("https://klasma.github.io/Logging_1290/tillsyn/A 15229-2023 tillsynsbegäran.docx", "A 15229-2023")</f>
        <v/>
      </c>
      <c r="AD72">
        <f>HYPERLINK("https://klasma.github.io/Logging_1290/tillsynsmail/A 15229-2023 tillsynsbegäran mail.docx", "A 15229-2023")</f>
        <v/>
      </c>
      <c r="AE72">
        <f>HYPERLINK("https://klasma.github.io/Logging_1290/fåglar/A 15229-2023 prioriterade fågelarter.docx", "A 15229-2023")</f>
        <v/>
      </c>
    </row>
    <row r="73" ht="15" customHeight="1">
      <c r="A73" t="inlineStr">
        <is>
          <t>A 55737-2021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44476</v>
      </c>
      <c r="E73" s="1" t="n">
        <v>46260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7.4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tåtelsmygare
Kopparödla</t>
        </is>
      </c>
      <c r="W73">
        <f>HYPERLINK("https://klasma.github.io/Logging_1290/artfynd/A 55737-2021 artfynd.xlsx", "A 55737-2021")</f>
        <v/>
      </c>
      <c r="X73">
        <f>HYPERLINK("https://klasma.github.io/Logging_1290/kartor/A 55737-2021 karta.png", "A 55737-2021")</f>
        <v/>
      </c>
      <c r="Y73">
        <f>HYPERLINK("https://klasma.github.io/Logging_1290/kartor_geotiff/A 55737-2021 georefererad karta.tif", "A 55737-2021")</f>
        <v/>
      </c>
      <c r="AA73">
        <f>HYPERLINK("https://klasma.github.io/Logging_1290/klagomål/A 55737-2021 FSC-klagomål.docx", "A 55737-2021")</f>
        <v/>
      </c>
      <c r="AB73">
        <f>HYPERLINK("https://klasma.github.io/Logging_1290/klagomålsmail/A 55737-2021 FSC-klagomål mail.docx", "A 55737-2021")</f>
        <v/>
      </c>
      <c r="AC73">
        <f>HYPERLINK("https://klasma.github.io/Logging_1290/tillsyn/A 55737-2021 tillsynsbegäran.docx", "A 55737-2021")</f>
        <v/>
      </c>
      <c r="AD73">
        <f>HYPERLINK("https://klasma.github.io/Logging_1290/tillsynsmail/A 55737-2021 tillsynsbegäran mail.docx", "A 55737-2021")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46260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46260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46260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46260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46260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46260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46260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46260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46260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46260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46260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27956-2022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46260</v>
      </c>
      <c r="F85" t="inlineStr">
        <is>
          <t>SKÅNE LÄN</t>
        </is>
      </c>
      <c r="G85" t="inlineStr">
        <is>
          <t>KRISTIANSTAD</t>
        </is>
      </c>
      <c r="I85" t="n">
        <v>14.1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Kärrviol</t>
        </is>
      </c>
      <c r="W85">
        <f>HYPERLINK("https://klasma.github.io/Logging_1290/artfynd/A 27956-2022 artfynd.xlsx", "A 27956-2022")</f>
        <v/>
      </c>
      <c r="X85">
        <f>HYPERLINK("https://klasma.github.io/Logging_1290/kartor/A 27956-2022 karta.png", "A 27956-2022")</f>
        <v/>
      </c>
      <c r="Y85">
        <f>HYPERLINK("https://klasma.github.io/Logging_1290/kartor_geotiff/A 27956-2022 georefererad karta.tif", "A 27956-2022")</f>
        <v/>
      </c>
      <c r="AA85">
        <f>HYPERLINK("https://klasma.github.io/Logging_1290/klagomål/A 27956-2022 FSC-klagomål.docx", "A 27956-2022")</f>
        <v/>
      </c>
      <c r="AB85">
        <f>HYPERLINK("https://klasma.github.io/Logging_1290/klagomålsmail/A 27956-2022 FSC-klagomål mail.docx", "A 27956-2022")</f>
        <v/>
      </c>
      <c r="AC85">
        <f>HYPERLINK("https://klasma.github.io/Logging_1290/tillsyn/A 27956-2022 tillsynsbegäran.docx", "A 27956-2022")</f>
        <v/>
      </c>
      <c r="AD85">
        <f>HYPERLINK("https://klasma.github.io/Logging_1290/tillsynsmail/A 27956-2022 tillsynsbegäran mail.docx", "A 27956-2022")</f>
        <v/>
      </c>
    </row>
    <row r="86" ht="15" customHeight="1">
      <c r="A86" t="inlineStr">
        <is>
          <t>A 45495-2024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45577</v>
      </c>
      <c r="E86" s="1" t="n">
        <v>46260</v>
      </c>
      <c r="F86" t="inlineStr">
        <is>
          <t>SKÅNE LÄN</t>
        </is>
      </c>
      <c r="G86" t="inlineStr">
        <is>
          <t>KRISTIANSTAD</t>
        </is>
      </c>
      <c r="I86" t="n">
        <v>9.1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Koralltaggsvamp</t>
        </is>
      </c>
      <c r="W86">
        <f>HYPERLINK("https://klasma.github.io/Logging_1290/artfynd/A 45495-2024 artfynd.xlsx", "A 45495-2024")</f>
        <v/>
      </c>
      <c r="X86">
        <f>HYPERLINK("https://klasma.github.io/Logging_1290/kartor/A 45495-2024 karta.png", "A 45495-2024")</f>
        <v/>
      </c>
      <c r="Y86">
        <f>HYPERLINK("https://klasma.github.io/Logging_1290/kartor_geotiff/A 45495-2024 georefererad karta.tif", "A 45495-2024")</f>
        <v/>
      </c>
      <c r="AA86">
        <f>HYPERLINK("https://klasma.github.io/Logging_1290/klagomål/A 45495-2024 FSC-klagomål.docx", "A 45495-2024")</f>
        <v/>
      </c>
      <c r="AB86">
        <f>HYPERLINK("https://klasma.github.io/Logging_1290/klagomålsmail/A 45495-2024 FSC-klagomål mail.docx", "A 45495-2024")</f>
        <v/>
      </c>
      <c r="AC86">
        <f>HYPERLINK("https://klasma.github.io/Logging_1290/tillsyn/A 45495-2024 tillsynsbegäran.docx", "A 45495-2024")</f>
        <v/>
      </c>
      <c r="AD86">
        <f>HYPERLINK("https://klasma.github.io/Logging_1290/tillsynsmail/A 45495-2024 tillsynsbegäran mail.docx", "A 45495-2024")</f>
        <v/>
      </c>
    </row>
    <row r="87" ht="15" customHeight="1">
      <c r="A87" t="inlineStr">
        <is>
          <t>A 28425-2024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46260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Missne</t>
        </is>
      </c>
      <c r="W87">
        <f>HYPERLINK("https://klasma.github.io/Logging_1290/artfynd/A 28425-2024 artfynd.xlsx", "A 28425-2024")</f>
        <v/>
      </c>
      <c r="X87">
        <f>HYPERLINK("https://klasma.github.io/Logging_1290/kartor/A 28425-2024 karta.png", "A 28425-2024")</f>
        <v/>
      </c>
      <c r="Y87">
        <f>HYPERLINK("https://klasma.github.io/Logging_1290/kartor_geotiff/A 28425-2024 georefererad karta.tif", "A 28425-2024")</f>
        <v/>
      </c>
      <c r="AA87">
        <f>HYPERLINK("https://klasma.github.io/Logging_1290/klagomål/A 28425-2024 FSC-klagomål.docx", "A 28425-2024")</f>
        <v/>
      </c>
      <c r="AB87">
        <f>HYPERLINK("https://klasma.github.io/Logging_1290/klagomålsmail/A 28425-2024 FSC-klagomål mail.docx", "A 28425-2024")</f>
        <v/>
      </c>
      <c r="AC87">
        <f>HYPERLINK("https://klasma.github.io/Logging_1290/tillsyn/A 28425-2024 tillsynsbegäran.docx", "A 28425-2024")</f>
        <v/>
      </c>
      <c r="AD87">
        <f>HYPERLINK("https://klasma.github.io/Logging_1290/tillsynsmail/A 28425-2024 tillsynsbegäran mail.docx", "A 28425-2024")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46260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18539-2022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44686</v>
      </c>
      <c r="E89" s="1" t="n">
        <v>46260</v>
      </c>
      <c r="F89" t="inlineStr">
        <is>
          <t>SKÅNE LÄN</t>
        </is>
      </c>
      <c r="G89" t="inlineStr">
        <is>
          <t>KRISTIANSTAD</t>
        </is>
      </c>
      <c r="I89" t="n">
        <v>4.3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Skogslysing</t>
        </is>
      </c>
      <c r="W89">
        <f>HYPERLINK("https://klasma.github.io/Logging_1290/artfynd/A 18539-2022 artfynd.xlsx", "A 18539-2022")</f>
        <v/>
      </c>
      <c r="X89">
        <f>HYPERLINK("https://klasma.github.io/Logging_1290/kartor/A 18539-2022 karta.png", "A 18539-2022")</f>
        <v/>
      </c>
      <c r="Y89">
        <f>HYPERLINK("https://klasma.github.io/Logging_1290/kartor_geotiff/A 18539-2022 georefererad karta.tif", "A 18539-2022")</f>
        <v/>
      </c>
      <c r="AA89">
        <f>HYPERLINK("https://klasma.github.io/Logging_1290/klagomål/A 18539-2022 FSC-klagomål.docx", "A 18539-2022")</f>
        <v/>
      </c>
      <c r="AB89">
        <f>HYPERLINK("https://klasma.github.io/Logging_1290/klagomålsmail/A 18539-2022 FSC-klagomål mail.docx", "A 18539-2022")</f>
        <v/>
      </c>
      <c r="AC89">
        <f>HYPERLINK("https://klasma.github.io/Logging_1290/tillsyn/A 18539-2022 tillsynsbegäran.docx", "A 18539-2022")</f>
        <v/>
      </c>
      <c r="AD89">
        <f>HYPERLINK("https://klasma.github.io/Logging_1290/tillsynsmail/A 18539-2022 tillsynsbegäran mail.docx", "A 18539-2022")</f>
        <v/>
      </c>
    </row>
    <row r="90" ht="15" customHeight="1">
      <c r="A90" t="inlineStr">
        <is>
          <t>A 13977-2025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45738</v>
      </c>
      <c r="E90" s="1" t="n">
        <v>46260</v>
      </c>
      <c r="F90" t="inlineStr">
        <is>
          <t>SKÅNE LÄN</t>
        </is>
      </c>
      <c r="G90" t="inlineStr">
        <is>
          <t>KRISTIANSTAD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Rostfläck</t>
        </is>
      </c>
      <c r="W90">
        <f>HYPERLINK("https://klasma.github.io/Logging_1290/artfynd/A 13977-2025 artfynd.xlsx", "A 13977-2025")</f>
        <v/>
      </c>
      <c r="X90">
        <f>HYPERLINK("https://klasma.github.io/Logging_1290/kartor/A 13977-2025 karta.png", "A 13977-2025")</f>
        <v/>
      </c>
      <c r="Y90">
        <f>HYPERLINK("https://klasma.github.io/Logging_1290/kartor_geotiff/A 13977-2025 georefererad karta.tif", "A 13977-2025")</f>
        <v/>
      </c>
      <c r="AA90">
        <f>HYPERLINK("https://klasma.github.io/Logging_1290/klagomål/A 13977-2025 FSC-klagomål.docx", "A 13977-2025")</f>
        <v/>
      </c>
      <c r="AB90">
        <f>HYPERLINK("https://klasma.github.io/Logging_1290/klagomålsmail/A 13977-2025 FSC-klagomål mail.docx", "A 13977-2025")</f>
        <v/>
      </c>
      <c r="AC90">
        <f>HYPERLINK("https://klasma.github.io/Logging_1290/tillsyn/A 13977-2025 tillsynsbegäran.docx", "A 13977-2025")</f>
        <v/>
      </c>
      <c r="AD90">
        <f>HYPERLINK("https://klasma.github.io/Logging_1290/tillsynsmail/A 13977-2025 tillsynsbegäran mail.docx", "A 13977-2025")</f>
        <v/>
      </c>
    </row>
    <row r="91" ht="15" customHeight="1">
      <c r="A91" t="inlineStr">
        <is>
          <t>A 61605-2023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46260</v>
      </c>
      <c r="F91" t="inlineStr">
        <is>
          <t>SKÅNE LÄN</t>
        </is>
      </c>
      <c r="G91" t="inlineStr">
        <is>
          <t>KRISTIANSTAD</t>
        </is>
      </c>
      <c r="I91" t="n">
        <v>6.3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HYPERLINK("https://klasma.github.io/Logging_1290/artfynd/A 61605-2023 artfynd.xlsx", "A 61605-2023")</f>
        <v/>
      </c>
      <c r="X91">
        <f>HYPERLINK("https://klasma.github.io/Logging_1290/kartor/A 61605-2023 karta.png", "A 61605-2023")</f>
        <v/>
      </c>
      <c r="Y91">
        <f>HYPERLINK("https://klasma.github.io/Logging_1290/kartor_geotiff/A 61605-2023 georefererad karta.tif", "A 61605-2023")</f>
        <v/>
      </c>
      <c r="AA91">
        <f>HYPERLINK("https://klasma.github.io/Logging_1290/klagomål/A 61605-2023 FSC-klagomål.docx", "A 61605-2023")</f>
        <v/>
      </c>
      <c r="AB91">
        <f>HYPERLINK("https://klasma.github.io/Logging_1290/klagomålsmail/A 61605-2023 FSC-klagomål mail.docx", "A 61605-2023")</f>
        <v/>
      </c>
      <c r="AC91">
        <f>HYPERLINK("https://klasma.github.io/Logging_1290/tillsyn/A 61605-2023 tillsynsbegäran.docx", "A 61605-2023")</f>
        <v/>
      </c>
      <c r="AD91">
        <f>HYPERLINK("https://klasma.github.io/Logging_1290/tillsynsmail/A 61605-2023 tillsynsbegäran mail.docx", "A 61605-2023")</f>
        <v/>
      </c>
    </row>
    <row r="92" ht="15" customHeight="1">
      <c r="A92" t="inlineStr">
        <is>
          <t>A 27234-2025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46260</v>
      </c>
      <c r="F92" t="inlineStr">
        <is>
          <t>SKÅNE LÄN</t>
        </is>
      </c>
      <c r="G92" t="inlineStr">
        <is>
          <t>KRISTIANSTAD</t>
        </is>
      </c>
      <c r="I92" t="n">
        <v>1.5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Småvänderot</t>
        </is>
      </c>
      <c r="W92">
        <f>HYPERLINK("https://klasma.github.io/Logging_1290/artfynd/A 27234-2025 artfynd.xlsx", "A 27234-2025")</f>
        <v/>
      </c>
      <c r="X92">
        <f>HYPERLINK("https://klasma.github.io/Logging_1290/kartor/A 27234-2025 karta.png", "A 27234-2025")</f>
        <v/>
      </c>
      <c r="Y92">
        <f>HYPERLINK("https://klasma.github.io/Logging_1290/kartor_geotiff/A 27234-2025 georefererad karta.tif", "A 27234-2025")</f>
        <v/>
      </c>
      <c r="AA92">
        <f>HYPERLINK("https://klasma.github.io/Logging_1290/klagomål/A 27234-2025 FSC-klagomål.docx", "A 27234-2025")</f>
        <v/>
      </c>
      <c r="AB92">
        <f>HYPERLINK("https://klasma.github.io/Logging_1290/klagomålsmail/A 27234-2025 FSC-klagomål mail.docx", "A 27234-2025")</f>
        <v/>
      </c>
      <c r="AC92">
        <f>HYPERLINK("https://klasma.github.io/Logging_1290/tillsyn/A 27234-2025 tillsynsbegäran.docx", "A 27234-2025")</f>
        <v/>
      </c>
      <c r="AD92">
        <f>HYPERLINK("https://klasma.github.io/Logging_1290/tillsynsmail/A 27234-2025 tillsynsbegäran mail.docx", "A 27234-2025")</f>
        <v/>
      </c>
    </row>
    <row r="93" ht="15" customHeight="1">
      <c r="A93" t="inlineStr">
        <is>
          <t>A 30918-2022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44767</v>
      </c>
      <c r="E93" s="1" t="n">
        <v>46260</v>
      </c>
      <c r="F93" t="inlineStr">
        <is>
          <t>SKÅNE LÄN</t>
        </is>
      </c>
      <c r="G93" t="inlineStr">
        <is>
          <t>KRISTIANSTAD</t>
        </is>
      </c>
      <c r="I93" t="n">
        <v>3.4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Sjötåtel</t>
        </is>
      </c>
      <c r="W93">
        <f>HYPERLINK("https://klasma.github.io/Logging_1290/artfynd/A 30918-2022 artfynd.xlsx", "A 30918-2022")</f>
        <v/>
      </c>
      <c r="X93">
        <f>HYPERLINK("https://klasma.github.io/Logging_1290/kartor/A 30918-2022 karta.png", "A 30918-2022")</f>
        <v/>
      </c>
      <c r="Y93">
        <f>HYPERLINK("https://klasma.github.io/Logging_1290/kartor_geotiff/A 30918-2022 georefererad karta.tif", "A 30918-2022")</f>
        <v/>
      </c>
      <c r="AA93">
        <f>HYPERLINK("https://klasma.github.io/Logging_1290/klagomål/A 30918-2022 FSC-klagomål.docx", "A 30918-2022")</f>
        <v/>
      </c>
      <c r="AB93">
        <f>HYPERLINK("https://klasma.github.io/Logging_1290/klagomålsmail/A 30918-2022 FSC-klagomål mail.docx", "A 30918-2022")</f>
        <v/>
      </c>
      <c r="AC93">
        <f>HYPERLINK("https://klasma.github.io/Logging_1290/tillsyn/A 30918-2022 tillsynsbegäran.docx", "A 30918-2022")</f>
        <v/>
      </c>
      <c r="AD93">
        <f>HYPERLINK("https://klasma.github.io/Logging_1290/tillsynsmail/A 30918-2022 tillsynsbegäran mail.docx", "A 30918-2022")</f>
        <v/>
      </c>
    </row>
    <row r="94" ht="15" customHeight="1">
      <c r="A94" t="inlineStr">
        <is>
          <t>A 50702-2025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46260</v>
      </c>
      <c r="F94" t="inlineStr">
        <is>
          <t>SKÅNE LÄN</t>
        </is>
      </c>
      <c r="G94" t="inlineStr">
        <is>
          <t>KRISTIANSTAD</t>
        </is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Guldlockmossa</t>
        </is>
      </c>
      <c r="W94">
        <f>HYPERLINK("https://klasma.github.io/Logging_1290/artfynd/A 50702-2025 artfynd.xlsx", "A 50702-2025")</f>
        <v/>
      </c>
      <c r="X94">
        <f>HYPERLINK("https://klasma.github.io/Logging_1290/kartor/A 50702-2025 karta.png", "A 50702-2025")</f>
        <v/>
      </c>
      <c r="Y94">
        <f>HYPERLINK("https://klasma.github.io/Logging_1290/kartor_geotiff/A 50702-2025 georefererad karta.tif", "A 50702-2025")</f>
        <v/>
      </c>
      <c r="AA94">
        <f>HYPERLINK("https://klasma.github.io/Logging_1290/klagomål/A 50702-2025 FSC-klagomål.docx", "A 50702-2025")</f>
        <v/>
      </c>
      <c r="AB94">
        <f>HYPERLINK("https://klasma.github.io/Logging_1290/klagomålsmail/A 50702-2025 FSC-klagomål mail.docx", "A 50702-2025")</f>
        <v/>
      </c>
      <c r="AC94">
        <f>HYPERLINK("https://klasma.github.io/Logging_1290/tillsyn/A 50702-2025 tillsynsbegäran.docx", "A 50702-2025")</f>
        <v/>
      </c>
      <c r="AD94">
        <f>HYPERLINK("https://klasma.github.io/Logging_1290/tillsynsmail/A 50702-2025 tillsynsbegäran mail.docx", "A 50702-2025")</f>
        <v/>
      </c>
    </row>
    <row r="95" ht="15" customHeight="1">
      <c r="A95" t="inlineStr">
        <is>
          <t>A 34096-2025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45845</v>
      </c>
      <c r="E95" s="1" t="n">
        <v>46260</v>
      </c>
      <c r="F95" t="inlineStr">
        <is>
          <t>SKÅNE LÄN</t>
        </is>
      </c>
      <c r="G95" t="inlineStr">
        <is>
          <t>KRISTIANSTAD</t>
        </is>
      </c>
      <c r="I95" t="n">
        <v>6.5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Dunmossa</t>
        </is>
      </c>
      <c r="W95">
        <f>HYPERLINK("https://klasma.github.io/Logging_1290/artfynd/A 34096-2025 artfynd.xlsx", "A 34096-2025")</f>
        <v/>
      </c>
      <c r="X95">
        <f>HYPERLINK("https://klasma.github.io/Logging_1290/kartor/A 34096-2025 karta.png", "A 34096-2025")</f>
        <v/>
      </c>
      <c r="Y95">
        <f>HYPERLINK("https://klasma.github.io/Logging_1290/kartor_geotiff/A 34096-2025 georefererad karta.tif", "A 34096-2025")</f>
        <v/>
      </c>
      <c r="AA95">
        <f>HYPERLINK("https://klasma.github.io/Logging_1290/klagomål/A 34096-2025 FSC-klagomål.docx", "A 34096-2025")</f>
        <v/>
      </c>
      <c r="AB95">
        <f>HYPERLINK("https://klasma.github.io/Logging_1290/klagomålsmail/A 34096-2025 FSC-klagomål mail.docx", "A 34096-2025")</f>
        <v/>
      </c>
      <c r="AC95">
        <f>HYPERLINK("https://klasma.github.io/Logging_1290/tillsyn/A 34096-2025 tillsynsbegäran.docx", "A 34096-2025")</f>
        <v/>
      </c>
      <c r="AD95">
        <f>HYPERLINK("https://klasma.github.io/Logging_1290/tillsynsmail/A 34096-2025 tillsynsbegäran mail.docx", "A 34096-2025")</f>
        <v/>
      </c>
    </row>
    <row r="96" ht="15" customHeight="1">
      <c r="A96" t="inlineStr">
        <is>
          <t>A 46931-2025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46260</v>
      </c>
      <c r="F96" t="inlineStr">
        <is>
          <t>SKÅNE LÄN</t>
        </is>
      </c>
      <c r="G96" t="inlineStr">
        <is>
          <t>KRISTIANSTAD</t>
        </is>
      </c>
      <c r="I96" t="n">
        <v>2.2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Blåmossa</t>
        </is>
      </c>
      <c r="W96">
        <f>HYPERLINK("https://klasma.github.io/Logging_1290/artfynd/A 46931-2025 artfynd.xlsx", "A 46931-2025")</f>
        <v/>
      </c>
      <c r="X96">
        <f>HYPERLINK("https://klasma.github.io/Logging_1290/kartor/A 46931-2025 karta.png", "A 46931-2025")</f>
        <v/>
      </c>
      <c r="Y96">
        <f>HYPERLINK("https://klasma.github.io/Logging_1290/kartor_geotiff/A 46931-2025 georefererad karta.tif", "A 46931-2025")</f>
        <v/>
      </c>
      <c r="AA96">
        <f>HYPERLINK("https://klasma.github.io/Logging_1290/klagomål/A 46931-2025 FSC-klagomål.docx", "A 46931-2025")</f>
        <v/>
      </c>
      <c r="AB96">
        <f>HYPERLINK("https://klasma.github.io/Logging_1290/klagomålsmail/A 46931-2025 FSC-klagomål mail.docx", "A 46931-2025")</f>
        <v/>
      </c>
      <c r="AC96">
        <f>HYPERLINK("https://klasma.github.io/Logging_1290/tillsyn/A 46931-2025 tillsynsbegäran.docx", "A 46931-2025")</f>
        <v/>
      </c>
      <c r="AD96">
        <f>HYPERLINK("https://klasma.github.io/Logging_1290/tillsynsmail/A 46931-2025 tillsynsbegäran mail.docx", "A 46931-2025")</f>
        <v/>
      </c>
    </row>
    <row r="97" ht="15" customHeight="1">
      <c r="A97" t="inlineStr">
        <is>
          <t>A 47317-2025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46260</v>
      </c>
      <c r="F97" t="inlineStr">
        <is>
          <t>SKÅNE LÄN</t>
        </is>
      </c>
      <c r="G97" t="inlineStr">
        <is>
          <t>KRISTIANSTAD</t>
        </is>
      </c>
      <c r="I97" t="n">
        <v>10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Lungrot</t>
        </is>
      </c>
      <c r="W97">
        <f>HYPERLINK("https://klasma.github.io/Logging_1290/artfynd/A 47317-2025 artfynd.xlsx", "A 47317-2025")</f>
        <v/>
      </c>
      <c r="X97">
        <f>HYPERLINK("https://klasma.github.io/Logging_1290/kartor/A 47317-2025 karta.png", "A 47317-2025")</f>
        <v/>
      </c>
      <c r="Y97">
        <f>HYPERLINK("https://klasma.github.io/Logging_1290/kartor_geotiff/A 47317-2025 georefererad karta.tif", "A 47317-2025")</f>
        <v/>
      </c>
      <c r="AA97">
        <f>HYPERLINK("https://klasma.github.io/Logging_1290/klagomål/A 47317-2025 FSC-klagomål.docx", "A 47317-2025")</f>
        <v/>
      </c>
      <c r="AB97">
        <f>HYPERLINK("https://klasma.github.io/Logging_1290/klagomålsmail/A 47317-2025 FSC-klagomål mail.docx", "A 47317-2025")</f>
        <v/>
      </c>
      <c r="AC97">
        <f>HYPERLINK("https://klasma.github.io/Logging_1290/tillsyn/A 47317-2025 tillsynsbegäran.docx", "A 47317-2025")</f>
        <v/>
      </c>
      <c r="AD97">
        <f>HYPERLINK("https://klasma.github.io/Logging_1290/tillsynsmail/A 47317-2025 tillsynsbegäran mail.docx", "A 47317-2025")</f>
        <v/>
      </c>
    </row>
    <row r="98" ht="15" customHeight="1">
      <c r="A98" t="inlineStr">
        <is>
          <t>A 49428-2025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46260</v>
      </c>
      <c r="F98" t="inlineStr">
        <is>
          <t>SKÅNE LÄN</t>
        </is>
      </c>
      <c r="G98" t="inlineStr">
        <is>
          <t>KRISTIANSTAD</t>
        </is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Större vattensalamander</t>
        </is>
      </c>
      <c r="W98">
        <f>HYPERLINK("https://klasma.github.io/Logging_1290/artfynd/A 49428-2025 artfynd.xlsx", "A 49428-2025")</f>
        <v/>
      </c>
      <c r="X98">
        <f>HYPERLINK("https://klasma.github.io/Logging_1290/kartor/A 49428-2025 karta.png", "A 49428-2025")</f>
        <v/>
      </c>
      <c r="Y98">
        <f>HYPERLINK("https://klasma.github.io/Logging_1290/kartor_geotiff/A 49428-2025 georefererad karta.tif", "A 49428-2025")</f>
        <v/>
      </c>
      <c r="AA98">
        <f>HYPERLINK("https://klasma.github.io/Logging_1290/klagomål/A 49428-2025 FSC-klagomål.docx", "A 49428-2025")</f>
        <v/>
      </c>
      <c r="AB98">
        <f>HYPERLINK("https://klasma.github.io/Logging_1290/klagomålsmail/A 49428-2025 FSC-klagomål mail.docx", "A 49428-2025")</f>
        <v/>
      </c>
      <c r="AC98">
        <f>HYPERLINK("https://klasma.github.io/Logging_1290/tillsyn/A 49428-2025 tillsynsbegäran.docx", "A 49428-2025")</f>
        <v/>
      </c>
      <c r="AD98">
        <f>HYPERLINK("https://klasma.github.io/Logging_1290/tillsynsmail/A 49428-2025 tillsynsbegäran mail.docx", "A 49428-2025")</f>
        <v/>
      </c>
    </row>
    <row r="99" ht="15" customHeight="1">
      <c r="A99" t="inlineStr">
        <is>
          <t>A 16079-2026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46108</v>
      </c>
      <c r="E99" s="1" t="n">
        <v>46260</v>
      </c>
      <c r="F99" t="inlineStr">
        <is>
          <t>SKÅNE LÄN</t>
        </is>
      </c>
      <c r="G99" t="inlineStr">
        <is>
          <t>KRISTIANSTAD</t>
        </is>
      </c>
      <c r="I99" t="n">
        <v>13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2</v>
      </c>
      <c r="V99" s="2" t="inlineStr">
        <is>
          <t>Småvänderot</t>
        </is>
      </c>
      <c r="W99">
        <f>HYPERLINK("https://klasma.github.io/Logging_1290/artfynd/A 16079-2026 artfynd.xlsx", "A 16079-2026")</f>
        <v/>
      </c>
      <c r="X99">
        <f>HYPERLINK("https://klasma.github.io/Logging_1290/kartor/A 16079-2026 karta.png", "A 16079-2026")</f>
        <v/>
      </c>
      <c r="Y99">
        <f>HYPERLINK("https://klasma.github.io/Logging_1290/kartor_geotiff/A 16079-2026 georefererad karta.tif", "A 16079-2026")</f>
        <v/>
      </c>
      <c r="AA99">
        <f>HYPERLINK("https://klasma.github.io/Logging_1290/klagomål/A 16079-2026 FSC-klagomål.docx", "A 16079-2026")</f>
        <v/>
      </c>
      <c r="AB99">
        <f>HYPERLINK("https://klasma.github.io/Logging_1290/klagomålsmail/A 16079-2026 FSC-klagomål mail.docx", "A 16079-2026")</f>
        <v/>
      </c>
      <c r="AC99">
        <f>HYPERLINK("https://klasma.github.io/Logging_1290/tillsyn/A 16079-2026 tillsynsbegäran.docx", "A 16079-2026")</f>
        <v/>
      </c>
      <c r="AD99">
        <f>HYPERLINK("https://klasma.github.io/Logging_1290/tillsynsmail/A 16079-2026 tillsynsbegäran mail.docx", "A 16079-2026")</f>
        <v/>
      </c>
    </row>
    <row r="100" ht="15" customHeight="1">
      <c r="A100" t="inlineStr">
        <is>
          <t>A 28342-2024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45477</v>
      </c>
      <c r="E100" s="1" t="n">
        <v>46260</v>
      </c>
      <c r="F100" t="inlineStr">
        <is>
          <t>SKÅNE LÄN</t>
        </is>
      </c>
      <c r="G100" t="inlineStr">
        <is>
          <t>KRISTIANSTAD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Knölspindel</t>
        </is>
      </c>
      <c r="W100">
        <f>HYPERLINK("https://klasma.github.io/Logging_1290/artfynd/A 28342-2024 artfynd.xlsx", "A 28342-2024")</f>
        <v/>
      </c>
      <c r="X100">
        <f>HYPERLINK("https://klasma.github.io/Logging_1290/kartor/A 28342-2024 karta.png", "A 28342-2024")</f>
        <v/>
      </c>
      <c r="Y100">
        <f>HYPERLINK("https://klasma.github.io/Logging_1290/kartor_geotiff/A 28342-2024 georefererad karta.tif", "A 28342-2024")</f>
        <v/>
      </c>
      <c r="AA100">
        <f>HYPERLINK("https://klasma.github.io/Logging_1290/klagomål/A 28342-2024 FSC-klagomål.docx", "A 28342-2024")</f>
        <v/>
      </c>
      <c r="AB100">
        <f>HYPERLINK("https://klasma.github.io/Logging_1290/klagomålsmail/A 28342-2024 FSC-klagomål mail.docx", "A 28342-2024")</f>
        <v/>
      </c>
      <c r="AC100">
        <f>HYPERLINK("https://klasma.github.io/Logging_1290/tillsyn/A 28342-2024 tillsynsbegäran.docx", "A 28342-2024")</f>
        <v/>
      </c>
      <c r="AD100">
        <f>HYPERLINK("https://klasma.github.io/Logging_1290/tillsynsmail/A 28342-2024 tillsynsbegäran mail.docx", "A 28342-2024")</f>
        <v/>
      </c>
    </row>
    <row r="101" ht="15" customHeight="1">
      <c r="A101" t="inlineStr">
        <is>
          <t>A 53189-2025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46260</v>
      </c>
      <c r="F101" t="inlineStr">
        <is>
          <t>SKÅNE LÄN</t>
        </is>
      </c>
      <c r="G101" t="inlineStr">
        <is>
          <t>KRISTIANSTAD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HYPERLINK("https://klasma.github.io/Logging_1290/artfynd/A 53189-2025 artfynd.xlsx", "A 53189-2025")</f>
        <v/>
      </c>
      <c r="X101">
        <f>HYPERLINK("https://klasma.github.io/Logging_1290/kartor/A 53189-2025 karta.png", "A 53189-2025")</f>
        <v/>
      </c>
      <c r="Y101">
        <f>HYPERLINK("https://klasma.github.io/Logging_1290/kartor_geotiff/A 53189-2025 georefererad karta.tif", "A 53189-2025")</f>
        <v/>
      </c>
      <c r="AA101">
        <f>HYPERLINK("https://klasma.github.io/Logging_1290/klagomål/A 53189-2025 FSC-klagomål.docx", "A 53189-2025")</f>
        <v/>
      </c>
      <c r="AB101">
        <f>HYPERLINK("https://klasma.github.io/Logging_1290/klagomålsmail/A 53189-2025 FSC-klagomål mail.docx", "A 53189-2025")</f>
        <v/>
      </c>
      <c r="AC101">
        <f>HYPERLINK("https://klasma.github.io/Logging_1290/tillsyn/A 53189-2025 tillsynsbegäran.docx", "A 53189-2025")</f>
        <v/>
      </c>
      <c r="AD101">
        <f>HYPERLINK("https://klasma.github.io/Logging_1290/tillsynsmail/A 53189-2025 tillsynsbegäran mail.docx", "A 53189-2025")</f>
        <v/>
      </c>
    </row>
    <row r="102" ht="15" customHeight="1">
      <c r="A102" t="inlineStr">
        <is>
          <t>A 53182-2025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46260</v>
      </c>
      <c r="F102" t="inlineStr">
        <is>
          <t>SKÅNE LÄN</t>
        </is>
      </c>
      <c r="G102" t="inlineStr">
        <is>
          <t>KRISTIANSTAD</t>
        </is>
      </c>
      <c r="I102" t="n">
        <v>0.9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Entita</t>
        </is>
      </c>
      <c r="W102">
        <f>HYPERLINK("https://klasma.github.io/Logging_1290/artfynd/A 53182-2025 artfynd.xlsx", "A 53182-2025")</f>
        <v/>
      </c>
      <c r="X102">
        <f>HYPERLINK("https://klasma.github.io/Logging_1290/kartor/A 53182-2025 karta.png", "A 53182-2025")</f>
        <v/>
      </c>
      <c r="Y102">
        <f>HYPERLINK("https://klasma.github.io/Logging_1290/kartor_geotiff/A 53182-2025 georefererad karta.tif", "A 53182-2025")</f>
        <v/>
      </c>
      <c r="AA102">
        <f>HYPERLINK("https://klasma.github.io/Logging_1290/klagomål/A 53182-2025 FSC-klagomål.docx", "A 53182-2025")</f>
        <v/>
      </c>
      <c r="AB102">
        <f>HYPERLINK("https://klasma.github.io/Logging_1290/klagomålsmail/A 53182-2025 FSC-klagomål mail.docx", "A 53182-2025")</f>
        <v/>
      </c>
      <c r="AC102">
        <f>HYPERLINK("https://klasma.github.io/Logging_1290/tillsyn/A 53182-2025 tillsynsbegäran.docx", "A 53182-2025")</f>
        <v/>
      </c>
      <c r="AD102">
        <f>HYPERLINK("https://klasma.github.io/Logging_1290/tillsynsmail/A 53182-2025 tillsynsbegäran mail.docx", "A 53182-2025")</f>
        <v/>
      </c>
      <c r="AE102">
        <f>HYPERLINK("https://klasma.github.io/Logging_1290/fåglar/A 53182-2025 prioriterade fågelarter.docx", "A 53182-2025")</f>
        <v/>
      </c>
    </row>
    <row r="103" ht="15" customHeight="1">
      <c r="A103" t="inlineStr">
        <is>
          <t>A 17023-2025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45755</v>
      </c>
      <c r="E103" s="1" t="n">
        <v>46260</v>
      </c>
      <c r="F103" t="inlineStr">
        <is>
          <t>SKÅNE LÄN</t>
        </is>
      </c>
      <c r="G103" t="inlineStr">
        <is>
          <t>KRISTIANSTAD</t>
        </is>
      </c>
      <c r="I103" t="n">
        <v>5.7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Ekskinn</t>
        </is>
      </c>
      <c r="W103">
        <f>HYPERLINK("https://klasma.github.io/Logging_1290/artfynd/A 17023-2025 artfynd.xlsx", "A 17023-2025")</f>
        <v/>
      </c>
      <c r="X103">
        <f>HYPERLINK("https://klasma.github.io/Logging_1290/kartor/A 17023-2025 karta.png", "A 17023-2025")</f>
        <v/>
      </c>
      <c r="Y103">
        <f>HYPERLINK("https://klasma.github.io/Logging_1290/kartor_geotiff/A 17023-2025 georefererad karta.tif", "A 17023-2025")</f>
        <v/>
      </c>
      <c r="AA103">
        <f>HYPERLINK("https://klasma.github.io/Logging_1290/klagomål/A 17023-2025 FSC-klagomål.docx", "A 17023-2025")</f>
        <v/>
      </c>
      <c r="AB103">
        <f>HYPERLINK("https://klasma.github.io/Logging_1290/klagomålsmail/A 17023-2025 FSC-klagomål mail.docx", "A 17023-2025")</f>
        <v/>
      </c>
      <c r="AC103">
        <f>HYPERLINK("https://klasma.github.io/Logging_1290/tillsyn/A 17023-2025 tillsynsbegäran.docx", "A 17023-2025")</f>
        <v/>
      </c>
      <c r="AD103">
        <f>HYPERLINK("https://klasma.github.io/Logging_1290/tillsynsmail/A 17023-2025 tillsynsbegäran mail.docx", "A 17023-2025")</f>
        <v/>
      </c>
    </row>
    <row r="104" ht="15" customHeight="1">
      <c r="A104" t="inlineStr">
        <is>
          <t>A 19704-2026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46134</v>
      </c>
      <c r="E104" s="1" t="n">
        <v>46260</v>
      </c>
      <c r="F104" t="inlineStr">
        <is>
          <t>SKÅNE LÄN</t>
        </is>
      </c>
      <c r="G104" t="inlineStr">
        <is>
          <t>KRISTIANSTAD</t>
        </is>
      </c>
      <c r="H104" t="inlineStr">
        <is>
          <t>Övriga Aktiebolag</t>
        </is>
      </c>
      <c r="I104" t="n">
        <v>6.3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Desmeknopp</t>
        </is>
      </c>
      <c r="W104">
        <f>HYPERLINK("https://klasma.github.io/Logging_1290/artfynd/A 19704-2026 artfynd.xlsx", "A 19704-2026")</f>
        <v/>
      </c>
      <c r="X104">
        <f>HYPERLINK("https://klasma.github.io/Logging_1290/kartor/A 19704-2026 karta.png", "A 19704-2026")</f>
        <v/>
      </c>
      <c r="Y104">
        <f>HYPERLINK("https://klasma.github.io/Logging_1290/kartor_geotiff/A 19704-2026 georefererad karta.tif", "A 19704-2026")</f>
        <v/>
      </c>
      <c r="AA104">
        <f>HYPERLINK("https://klasma.github.io/Logging_1290/klagomål/A 19704-2026 FSC-klagomål.docx", "A 19704-2026")</f>
        <v/>
      </c>
      <c r="AB104">
        <f>HYPERLINK("https://klasma.github.io/Logging_1290/klagomålsmail/A 19704-2026 FSC-klagomål mail.docx", "A 19704-2026")</f>
        <v/>
      </c>
      <c r="AC104">
        <f>HYPERLINK("https://klasma.github.io/Logging_1290/tillsyn/A 19704-2026 tillsynsbegäran.docx", "A 19704-2026")</f>
        <v/>
      </c>
      <c r="AD104">
        <f>HYPERLINK("https://klasma.github.io/Logging_1290/tillsynsmail/A 19704-2026 tillsynsbegäran mail.docx", "A 19704-2026")</f>
        <v/>
      </c>
    </row>
    <row r="105" ht="15" customHeight="1">
      <c r="A105" t="inlineStr">
        <is>
          <t>A 44582-2022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46260</v>
      </c>
      <c r="F105" t="inlineStr">
        <is>
          <t>SKÅNE LÄN</t>
        </is>
      </c>
      <c r="G105" t="inlineStr">
        <is>
          <t>KRISTIANSTAD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Orangepudrad klotterlav</t>
        </is>
      </c>
      <c r="W105">
        <f>HYPERLINK("https://klasma.github.io/Logging_1290/artfynd/A 44582-2022 artfynd.xlsx", "A 44582-2022")</f>
        <v/>
      </c>
      <c r="X105">
        <f>HYPERLINK("https://klasma.github.io/Logging_1290/kartor/A 44582-2022 karta.png", "A 44582-2022")</f>
        <v/>
      </c>
      <c r="Y105">
        <f>HYPERLINK("https://klasma.github.io/Logging_1290/kartor_geotiff/A 44582-2022 georefererad karta.tif", "A 44582-2022")</f>
        <v/>
      </c>
      <c r="AA105">
        <f>HYPERLINK("https://klasma.github.io/Logging_1290/klagomål/A 44582-2022 FSC-klagomål.docx", "A 44582-2022")</f>
        <v/>
      </c>
      <c r="AB105">
        <f>HYPERLINK("https://klasma.github.io/Logging_1290/klagomålsmail/A 44582-2022 FSC-klagomål mail.docx", "A 44582-2022")</f>
        <v/>
      </c>
      <c r="AC105">
        <f>HYPERLINK("https://klasma.github.io/Logging_1290/tillsyn/A 44582-2022 tillsynsbegäran.docx", "A 44582-2022")</f>
        <v/>
      </c>
      <c r="AD105">
        <f>HYPERLINK("https://klasma.github.io/Logging_1290/tillsynsmail/A 44582-2022 tillsynsbegäran mail.docx", "A 44582-2022")</f>
        <v/>
      </c>
    </row>
    <row r="106" ht="15" customHeight="1">
      <c r="A106" t="inlineStr">
        <is>
          <t>A 58474-2025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46260</v>
      </c>
      <c r="F106" t="inlineStr">
        <is>
          <t>SKÅNE LÄN</t>
        </is>
      </c>
      <c r="G106" t="inlineStr">
        <is>
          <t>KRISTIANSTAD</t>
        </is>
      </c>
      <c r="I106" t="n">
        <v>4.7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Storspov</t>
        </is>
      </c>
      <c r="W106">
        <f>HYPERLINK("https://klasma.github.io/Logging_1290/artfynd/A 58474-2025 artfynd.xlsx", "A 58474-2025")</f>
        <v/>
      </c>
      <c r="X106">
        <f>HYPERLINK("https://klasma.github.io/Logging_1290/kartor/A 58474-2025 karta.png", "A 58474-2025")</f>
        <v/>
      </c>
      <c r="Y106">
        <f>HYPERLINK("https://klasma.github.io/Logging_1290/kartor_geotiff/A 58474-2025 georefererad karta.tif", "A 58474-2025")</f>
        <v/>
      </c>
      <c r="AA106">
        <f>HYPERLINK("https://klasma.github.io/Logging_1290/klagomål/A 58474-2025 FSC-klagomål.docx", "A 58474-2025")</f>
        <v/>
      </c>
      <c r="AB106">
        <f>HYPERLINK("https://klasma.github.io/Logging_1290/klagomålsmail/A 58474-2025 FSC-klagomål mail.docx", "A 58474-2025")</f>
        <v/>
      </c>
      <c r="AC106">
        <f>HYPERLINK("https://klasma.github.io/Logging_1290/tillsyn/A 58474-2025 tillsynsbegäran.docx", "A 58474-2025")</f>
        <v/>
      </c>
      <c r="AD106">
        <f>HYPERLINK("https://klasma.github.io/Logging_1290/tillsynsmail/A 58474-2025 tillsynsbegäran mail.docx", "A 58474-2025")</f>
        <v/>
      </c>
    </row>
    <row r="107" ht="15" customHeight="1">
      <c r="A107" t="inlineStr">
        <is>
          <t>A 52014-2024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45607</v>
      </c>
      <c r="E107" s="1" t="n">
        <v>46260</v>
      </c>
      <c r="F107" t="inlineStr">
        <is>
          <t>SKÅNE LÄN</t>
        </is>
      </c>
      <c r="G107" t="inlineStr">
        <is>
          <t>KRISTIANSTAD</t>
        </is>
      </c>
      <c r="H107" t="inlineStr">
        <is>
          <t>Övriga Aktiebolag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Luddfingerört</t>
        </is>
      </c>
      <c r="W107">
        <f>HYPERLINK("https://klasma.github.io/Logging_1290/artfynd/A 52014-2024 artfynd.xlsx", "A 52014-2024")</f>
        <v/>
      </c>
      <c r="X107">
        <f>HYPERLINK("https://klasma.github.io/Logging_1290/kartor/A 52014-2024 karta.png", "A 52014-2024")</f>
        <v/>
      </c>
      <c r="Y107">
        <f>HYPERLINK("https://klasma.github.io/Logging_1290/kartor_geotiff/A 52014-2024 georefererad karta.tif", "A 52014-2024")</f>
        <v/>
      </c>
      <c r="AA107">
        <f>HYPERLINK("https://klasma.github.io/Logging_1290/klagomål/A 52014-2024 FSC-klagomål.docx", "A 52014-2024")</f>
        <v/>
      </c>
      <c r="AB107">
        <f>HYPERLINK("https://klasma.github.io/Logging_1290/klagomålsmail/A 52014-2024 FSC-klagomål mail.docx", "A 52014-2024")</f>
        <v/>
      </c>
      <c r="AC107">
        <f>HYPERLINK("https://klasma.github.io/Logging_1290/tillsyn/A 52014-2024 tillsynsbegäran.docx", "A 52014-2024")</f>
        <v/>
      </c>
      <c r="AD107">
        <f>HYPERLINK("https://klasma.github.io/Logging_1290/tillsynsmail/A 52014-2024 tillsynsbegäran mail.docx", "A 52014-2024")</f>
        <v/>
      </c>
    </row>
    <row r="108" ht="15" customHeight="1">
      <c r="A108" t="inlineStr">
        <is>
          <t>A 60006-2025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46260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4.8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Ekoxe</t>
        </is>
      </c>
      <c r="W108">
        <f>HYPERLINK("https://klasma.github.io/Logging_1290/artfynd/A 60006-2025 artfynd.xlsx", "A 60006-2025")</f>
        <v/>
      </c>
      <c r="X108">
        <f>HYPERLINK("https://klasma.github.io/Logging_1290/kartor/A 60006-2025 karta.png", "A 60006-2025")</f>
        <v/>
      </c>
      <c r="Y108">
        <f>HYPERLINK("https://klasma.github.io/Logging_1290/kartor_geotiff/A 60006-2025 georefererad karta.tif", "A 60006-2025")</f>
        <v/>
      </c>
      <c r="AA108">
        <f>HYPERLINK("https://klasma.github.io/Logging_1290/klagomål/A 60006-2025 FSC-klagomål.docx", "A 60006-2025")</f>
        <v/>
      </c>
      <c r="AB108">
        <f>HYPERLINK("https://klasma.github.io/Logging_1290/klagomålsmail/A 60006-2025 FSC-klagomål mail.docx", "A 60006-2025")</f>
        <v/>
      </c>
      <c r="AC108">
        <f>HYPERLINK("https://klasma.github.io/Logging_1290/tillsyn/A 60006-2025 tillsynsbegäran.docx", "A 60006-2025")</f>
        <v/>
      </c>
      <c r="AD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32219-2025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46260</v>
      </c>
      <c r="F109" t="inlineStr">
        <is>
          <t>SKÅNE LÄN</t>
        </is>
      </c>
      <c r="G109" t="inlineStr">
        <is>
          <t>KRISTIANSTAD</t>
        </is>
      </c>
      <c r="I109" t="n">
        <v>2.6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Ägretthäger</t>
        </is>
      </c>
      <c r="W109">
        <f>HYPERLINK("https://klasma.github.io/Logging_1290/artfynd/A 32219-2025 artfynd.xlsx", "A 32219-2025")</f>
        <v/>
      </c>
      <c r="X109">
        <f>HYPERLINK("https://klasma.github.io/Logging_1290/kartor/A 32219-2025 karta.png", "A 32219-2025")</f>
        <v/>
      </c>
      <c r="Y109">
        <f>HYPERLINK("https://klasma.github.io/Logging_1290/kartor_geotiff/A 32219-2025 georefererad karta.tif", "A 32219-2025")</f>
        <v/>
      </c>
      <c r="AA109">
        <f>HYPERLINK("https://klasma.github.io/Logging_1290/klagomål/A 32219-2025 FSC-klagomål.docx", "A 32219-2025")</f>
        <v/>
      </c>
      <c r="AB109">
        <f>HYPERLINK("https://klasma.github.io/Logging_1290/klagomålsmail/A 32219-2025 FSC-klagomål mail.docx", "A 32219-2025")</f>
        <v/>
      </c>
      <c r="AC109">
        <f>HYPERLINK("https://klasma.github.io/Logging_1290/tillsyn/A 32219-2025 tillsynsbegäran.docx", "A 32219-2025")</f>
        <v/>
      </c>
      <c r="AD109">
        <f>HYPERLINK("https://klasma.github.io/Logging_1290/tillsynsmail/A 32219-2025 tillsynsbegäran mail.docx", "A 32219-2025")</f>
        <v/>
      </c>
      <c r="AE109">
        <f>HYPERLINK("https://klasma.github.io/Logging_1290/fåglar/A 32219-2025 prioriterade fågelarter.docx", "A 32219-2025")</f>
        <v/>
      </c>
    </row>
    <row r="110" ht="15" customHeight="1">
      <c r="A110" t="inlineStr">
        <is>
          <t>A 15706-2025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46260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Ask</t>
        </is>
      </c>
      <c r="W110">
        <f>HYPERLINK("https://klasma.github.io/Logging_1290/artfynd/A 15706-2025 artfynd.xlsx", "A 15706-2025")</f>
        <v/>
      </c>
      <c r="X110">
        <f>HYPERLINK("https://klasma.github.io/Logging_1290/kartor/A 15706-2025 karta.png", "A 15706-2025")</f>
        <v/>
      </c>
      <c r="Y110">
        <f>HYPERLINK("https://klasma.github.io/Logging_1290/kartor_geotiff/A 15706-2025 georefererad karta.tif", "A 15706-2025")</f>
        <v/>
      </c>
      <c r="AA110">
        <f>HYPERLINK("https://klasma.github.io/Logging_1290/klagomål/A 15706-2025 FSC-klagomål.docx", "A 15706-2025")</f>
        <v/>
      </c>
      <c r="AB110">
        <f>HYPERLINK("https://klasma.github.io/Logging_1290/klagomålsmail/A 15706-2025 FSC-klagomål mail.docx", "A 15706-2025")</f>
        <v/>
      </c>
      <c r="AC110">
        <f>HYPERLINK("https://klasma.github.io/Logging_1290/tillsyn/A 15706-2025 tillsynsbegäran.docx", "A 15706-2025")</f>
        <v/>
      </c>
      <c r="AD110">
        <f>HYPERLINK("https://klasma.github.io/Logging_1290/tillsynsmail/A 15706-2025 tillsynsbegäran mail.docx", "A 15706-2025")</f>
        <v/>
      </c>
    </row>
    <row r="111" ht="15" customHeight="1">
      <c r="A111" t="inlineStr">
        <is>
          <t>A 4615-2024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45328</v>
      </c>
      <c r="E111" s="1" t="n">
        <v>46260</v>
      </c>
      <c r="F111" t="inlineStr">
        <is>
          <t>SKÅNE LÄN</t>
        </is>
      </c>
      <c r="G111" t="inlineStr">
        <is>
          <t>KRISTIANSTAD</t>
        </is>
      </c>
      <c r="I111" t="n">
        <v>6.6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Skogslysing</t>
        </is>
      </c>
      <c r="W111">
        <f>HYPERLINK("https://klasma.github.io/Logging_1290/artfynd/A 4615-2024 artfynd.xlsx", "A 4615-2024")</f>
        <v/>
      </c>
      <c r="X111">
        <f>HYPERLINK("https://klasma.github.io/Logging_1290/kartor/A 4615-2024 karta.png", "A 4615-2024")</f>
        <v/>
      </c>
      <c r="Y111">
        <f>HYPERLINK("https://klasma.github.io/Logging_1290/kartor_geotiff/A 4615-2024 georefererad karta.tif", "A 4615-2024")</f>
        <v/>
      </c>
      <c r="AA111">
        <f>HYPERLINK("https://klasma.github.io/Logging_1290/klagomål/A 4615-2024 FSC-klagomål.docx", "A 4615-2024")</f>
        <v/>
      </c>
      <c r="AB111">
        <f>HYPERLINK("https://klasma.github.io/Logging_1290/klagomålsmail/A 4615-2024 FSC-klagomål mail.docx", "A 4615-2024")</f>
        <v/>
      </c>
      <c r="AC111">
        <f>HYPERLINK("https://klasma.github.io/Logging_1290/tillsyn/A 4615-2024 tillsynsbegäran.docx", "A 4615-2024")</f>
        <v/>
      </c>
      <c r="AD111">
        <f>HYPERLINK("https://klasma.github.io/Logging_1290/tillsynsmail/A 4615-2024 tillsynsbegäran mail.docx", "A 4615-2024")</f>
        <v/>
      </c>
    </row>
    <row r="112" ht="15" customHeight="1">
      <c r="A112" t="inlineStr">
        <is>
          <t>A 30925-2022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44767</v>
      </c>
      <c r="E112" s="1" t="n">
        <v>46260</v>
      </c>
      <c r="F112" t="inlineStr">
        <is>
          <t>SKÅNE LÄN</t>
        </is>
      </c>
      <c r="G112" t="inlineStr">
        <is>
          <t>KRISTIANSTAD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Sjötåtel</t>
        </is>
      </c>
      <c r="W112">
        <f>HYPERLINK("https://klasma.github.io/Logging_1290/artfynd/A 30925-2022 artfynd.xlsx", "A 30925-2022")</f>
        <v/>
      </c>
      <c r="X112">
        <f>HYPERLINK("https://klasma.github.io/Logging_1290/kartor/A 30925-2022 karta.png", "A 30925-2022")</f>
        <v/>
      </c>
      <c r="Y112">
        <f>HYPERLINK("https://klasma.github.io/Logging_1290/kartor_geotiff/A 30925-2022 georefererad karta.tif", "A 30925-2022")</f>
        <v/>
      </c>
      <c r="AA112">
        <f>HYPERLINK("https://klasma.github.io/Logging_1290/klagomål/A 30925-2022 FSC-klagomål.docx", "A 30925-2022")</f>
        <v/>
      </c>
      <c r="AB112">
        <f>HYPERLINK("https://klasma.github.io/Logging_1290/klagomålsmail/A 30925-2022 FSC-klagomål mail.docx", "A 30925-2022")</f>
        <v/>
      </c>
      <c r="AC112">
        <f>HYPERLINK("https://klasma.github.io/Logging_1290/tillsyn/A 30925-2022 tillsynsbegäran.docx", "A 30925-2022")</f>
        <v/>
      </c>
      <c r="AD112">
        <f>HYPERLINK("https://klasma.github.io/Logging_1290/tillsynsmail/A 30925-2022 tillsynsbegäran mail.docx", "A 30925-2022")</f>
        <v/>
      </c>
    </row>
    <row r="113" ht="15" customHeight="1">
      <c r="A113" t="inlineStr">
        <is>
          <t>A 50699-2025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45945</v>
      </c>
      <c r="E113" s="1" t="n">
        <v>46260</v>
      </c>
      <c r="F113" t="inlineStr">
        <is>
          <t>SKÅNE LÄN</t>
        </is>
      </c>
      <c r="G113" t="inlineStr">
        <is>
          <t>KRISTIANSTAD</t>
        </is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Guldlockmossa</t>
        </is>
      </c>
      <c r="W113">
        <f>HYPERLINK("https://klasma.github.io/Logging_1290/artfynd/A 50699-2025 artfynd.xlsx", "A 50699-2025")</f>
        <v/>
      </c>
      <c r="X113">
        <f>HYPERLINK("https://klasma.github.io/Logging_1290/kartor/A 50699-2025 karta.png", "A 50699-2025")</f>
        <v/>
      </c>
      <c r="Y113">
        <f>HYPERLINK("https://klasma.github.io/Logging_1290/kartor_geotiff/A 50699-2025 georefererad karta.tif", "A 50699-2025")</f>
        <v/>
      </c>
      <c r="AA113">
        <f>HYPERLINK("https://klasma.github.io/Logging_1290/klagomål/A 50699-2025 FSC-klagomål.docx", "A 50699-2025")</f>
        <v/>
      </c>
      <c r="AB113">
        <f>HYPERLINK("https://klasma.github.io/Logging_1290/klagomålsmail/A 50699-2025 FSC-klagomål mail.docx", "A 50699-2025")</f>
        <v/>
      </c>
      <c r="AC113">
        <f>HYPERLINK("https://klasma.github.io/Logging_1290/tillsyn/A 50699-2025 tillsynsbegäran.docx", "A 50699-2025")</f>
        <v/>
      </c>
      <c r="AD113">
        <f>HYPERLINK("https://klasma.github.io/Logging_1290/tillsynsmail/A 50699-2025 tillsynsbegäran mail.docx", "A 50699-2025")</f>
        <v/>
      </c>
    </row>
    <row r="114" ht="15" customHeight="1">
      <c r="A114" t="inlineStr">
        <is>
          <t>A 21835-2026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46260</v>
      </c>
      <c r="F114" t="inlineStr">
        <is>
          <t>SKÅNE LÄN</t>
        </is>
      </c>
      <c r="G114" t="inlineStr">
        <is>
          <t>KRISTIANSTAD</t>
        </is>
      </c>
      <c r="I114" t="n">
        <v>7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Skogsbräsma</t>
        </is>
      </c>
      <c r="W114">
        <f>HYPERLINK("https://klasma.github.io/Logging_1290/artfynd/A 21835-2026 artfynd.xlsx", "A 21835-2026")</f>
        <v/>
      </c>
      <c r="X114">
        <f>HYPERLINK("https://klasma.github.io/Logging_1290/kartor/A 21835-2026 karta.png", "A 21835-2026")</f>
        <v/>
      </c>
      <c r="Y114">
        <f>HYPERLINK("https://klasma.github.io/Logging_1290/kartor_geotiff/A 21835-2026 georefererad karta.tif", "A 21835-2026")</f>
        <v/>
      </c>
      <c r="AA114">
        <f>HYPERLINK("https://klasma.github.io/Logging_1290/klagomål/A 21835-2026 FSC-klagomål.docx", "A 21835-2026")</f>
        <v/>
      </c>
      <c r="AB114">
        <f>HYPERLINK("https://klasma.github.io/Logging_1290/klagomålsmail/A 21835-2026 FSC-klagomål mail.docx", "A 21835-2026")</f>
        <v/>
      </c>
      <c r="AC114">
        <f>HYPERLINK("https://klasma.github.io/Logging_1290/tillsyn/A 21835-2026 tillsynsbegäran.docx", "A 21835-2026")</f>
        <v/>
      </c>
      <c r="AD114">
        <f>HYPERLINK("https://klasma.github.io/Logging_1290/tillsynsmail/A 21835-2026 tillsynsbegäran mail.docx", "A 21835-2026")</f>
        <v/>
      </c>
    </row>
    <row r="115" ht="15" customHeight="1">
      <c r="A115" t="inlineStr">
        <is>
          <t>A 26965-2023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45093</v>
      </c>
      <c r="E115" s="1" t="n">
        <v>46260</v>
      </c>
      <c r="F115" t="inlineStr">
        <is>
          <t>SKÅNE LÄN</t>
        </is>
      </c>
      <c r="G115" t="inlineStr">
        <is>
          <t>KRISTIANSTAD</t>
        </is>
      </c>
      <c r="H115" t="inlineStr">
        <is>
          <t>Sveaskog</t>
        </is>
      </c>
      <c r="I115" t="n">
        <v>9.9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4</v>
      </c>
      <c r="U115" t="n">
        <v>0</v>
      </c>
      <c r="V115" s="2" t="inlineStr">
        <is>
          <t>Sjötåtel</t>
        </is>
      </c>
      <c r="W115">
        <f>HYPERLINK("https://klasma.github.io/Logging_1290/artfynd/A 26965-2023 artfynd.xlsx", "A 26965-2023")</f>
        <v/>
      </c>
      <c r="X115">
        <f>HYPERLINK("https://klasma.github.io/Logging_1290/kartor/A 26965-2023 karta.png", "A 26965-2023")</f>
        <v/>
      </c>
      <c r="Y115">
        <f>HYPERLINK("https://klasma.github.io/Logging_1290/kartor_geotiff/A 26965-2023 georefererad karta.tif", "A 26965-2023")</f>
        <v/>
      </c>
      <c r="AA115">
        <f>HYPERLINK("https://klasma.github.io/Logging_1290/klagomål/A 26965-2023 FSC-klagomål.docx", "A 26965-2023")</f>
        <v/>
      </c>
      <c r="AB115">
        <f>HYPERLINK("https://klasma.github.io/Logging_1290/klagomålsmail/A 26965-2023 FSC-klagomål mail.docx", "A 26965-2023")</f>
        <v/>
      </c>
      <c r="AC115">
        <f>HYPERLINK("https://klasma.github.io/Logging_1290/tillsyn/A 26965-2023 tillsynsbegäran.docx", "A 26965-2023")</f>
        <v/>
      </c>
      <c r="AD115">
        <f>HYPERLINK("https://klasma.github.io/Logging_1290/tillsynsmail/A 26965-2023 tillsynsbegäran mail.docx", "A 26965-2023")</f>
        <v/>
      </c>
    </row>
    <row r="116" ht="15" customHeight="1">
      <c r="A116" t="inlineStr">
        <is>
          <t>A 34360-2023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45139</v>
      </c>
      <c r="E116" s="1" t="n">
        <v>46260</v>
      </c>
      <c r="F116" t="inlineStr">
        <is>
          <t>SKÅNE LÄN</t>
        </is>
      </c>
      <c r="G116" t="inlineStr">
        <is>
          <t>KRISTIANSTAD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Småvänderot</t>
        </is>
      </c>
      <c r="W116">
        <f>HYPERLINK("https://klasma.github.io/Logging_1290/artfynd/A 34360-2023 artfynd.xlsx", "A 34360-2023")</f>
        <v/>
      </c>
      <c r="X116">
        <f>HYPERLINK("https://klasma.github.io/Logging_1290/kartor/A 34360-2023 karta.png", "A 34360-2023")</f>
        <v/>
      </c>
      <c r="Y116">
        <f>HYPERLINK("https://klasma.github.io/Logging_1290/kartor_geotiff/A 34360-2023 georefererad karta.tif", "A 34360-2023")</f>
        <v/>
      </c>
      <c r="AA116">
        <f>HYPERLINK("https://klasma.github.io/Logging_1290/klagomål/A 34360-2023 FSC-klagomål.docx", "A 34360-2023")</f>
        <v/>
      </c>
      <c r="AB116">
        <f>HYPERLINK("https://klasma.github.io/Logging_1290/klagomålsmail/A 34360-2023 FSC-klagomål mail.docx", "A 34360-2023")</f>
        <v/>
      </c>
      <c r="AC116">
        <f>HYPERLINK("https://klasma.github.io/Logging_1290/tillsyn/A 34360-2023 tillsynsbegäran.docx", "A 34360-2023")</f>
        <v/>
      </c>
      <c r="AD116">
        <f>HYPERLINK("https://klasma.github.io/Logging_1290/tillsynsmail/A 34360-2023 tillsynsbegäran mail.docx", "A 34360-2023")</f>
        <v/>
      </c>
    </row>
    <row r="117" ht="15" customHeight="1">
      <c r="A117" t="inlineStr">
        <is>
          <t>A 14232-2023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45009</v>
      </c>
      <c r="E117" s="1" t="n">
        <v>46260</v>
      </c>
      <c r="F117" t="inlineStr">
        <is>
          <t>SKÅNE LÄN</t>
        </is>
      </c>
      <c r="G117" t="inlineStr">
        <is>
          <t>KRISTIANSTAD</t>
        </is>
      </c>
      <c r="I117" t="n">
        <v>7.1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Gullviva</t>
        </is>
      </c>
      <c r="W117">
        <f>HYPERLINK("https://klasma.github.io/Logging_1290/artfynd/A 14232-2023 artfynd.xlsx", "A 14232-2023")</f>
        <v/>
      </c>
      <c r="X117">
        <f>HYPERLINK("https://klasma.github.io/Logging_1290/kartor/A 14232-2023 karta.png", "A 14232-2023")</f>
        <v/>
      </c>
      <c r="Y117">
        <f>HYPERLINK("https://klasma.github.io/Logging_1290/kartor_geotiff/A 14232-2023 georefererad karta.tif", "A 14232-2023")</f>
        <v/>
      </c>
      <c r="AA117">
        <f>HYPERLINK("https://klasma.github.io/Logging_1290/klagomål/A 14232-2023 FSC-klagomål.docx", "A 14232-2023")</f>
        <v/>
      </c>
      <c r="AB117">
        <f>HYPERLINK("https://klasma.github.io/Logging_1290/klagomålsmail/A 14232-2023 FSC-klagomål mail.docx", "A 14232-2023")</f>
        <v/>
      </c>
      <c r="AC117">
        <f>HYPERLINK("https://klasma.github.io/Logging_1290/tillsyn/A 14232-2023 tillsynsbegäran.docx", "A 14232-2023")</f>
        <v/>
      </c>
      <c r="AD117">
        <f>HYPERLINK("https://klasma.github.io/Logging_1290/tillsynsmail/A 14232-2023 tillsynsbegäran mail.docx", "A 14232-2023")</f>
        <v/>
      </c>
    </row>
    <row r="118" ht="15" customHeight="1">
      <c r="A118" t="inlineStr">
        <is>
          <t>A 8290-2024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45352</v>
      </c>
      <c r="E118" s="1" t="n">
        <v>46260</v>
      </c>
      <c r="F118" t="inlineStr">
        <is>
          <t>SKÅNE LÄN</t>
        </is>
      </c>
      <c r="G118" t="inlineStr">
        <is>
          <t>KRISTIANSTAD</t>
        </is>
      </c>
      <c r="I118" t="n">
        <v>0.7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Lömsk flugsvamp</t>
        </is>
      </c>
      <c r="W118">
        <f>HYPERLINK("https://klasma.github.io/Logging_1290/artfynd/A 8290-2024 artfynd.xlsx", "A 8290-2024")</f>
        <v/>
      </c>
      <c r="X118">
        <f>HYPERLINK("https://klasma.github.io/Logging_1290/kartor/A 8290-2024 karta.png", "A 8290-2024")</f>
        <v/>
      </c>
      <c r="Y118">
        <f>HYPERLINK("https://klasma.github.io/Logging_1290/kartor_geotiff/A 8290-2024 georefererad karta.tif", "A 8290-2024")</f>
        <v/>
      </c>
      <c r="AA118">
        <f>HYPERLINK("https://klasma.github.io/Logging_1290/klagomål/A 8290-2024 FSC-klagomål.docx", "A 8290-2024")</f>
        <v/>
      </c>
      <c r="AB118">
        <f>HYPERLINK("https://klasma.github.io/Logging_1290/klagomålsmail/A 8290-2024 FSC-klagomål mail.docx", "A 8290-2024")</f>
        <v/>
      </c>
      <c r="AC118">
        <f>HYPERLINK("https://klasma.github.io/Logging_1290/tillsyn/A 8290-2024 tillsynsbegäran.docx", "A 8290-2024")</f>
        <v/>
      </c>
      <c r="AD118">
        <f>HYPERLINK("https://klasma.github.io/Logging_1290/tillsynsmail/A 8290-2024 tillsynsbegäran mail.docx", "A 8290-2024")</f>
        <v/>
      </c>
    </row>
    <row r="119" ht="15" customHeight="1">
      <c r="A119" t="inlineStr">
        <is>
          <t>A 16783-2025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46260</v>
      </c>
      <c r="F119" t="inlineStr">
        <is>
          <t>SKÅNE LÄN</t>
        </is>
      </c>
      <c r="G119" t="inlineStr">
        <is>
          <t>KRISTIANSTAD</t>
        </is>
      </c>
      <c r="I119" t="n">
        <v>20.2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Öring</t>
        </is>
      </c>
      <c r="W119">
        <f>HYPERLINK("https://klasma.github.io/Logging_1290/artfynd/A 16783-2025 artfynd.xlsx", "A 16783-2025")</f>
        <v/>
      </c>
      <c r="X119">
        <f>HYPERLINK("https://klasma.github.io/Logging_1290/kartor/A 16783-2025 karta.png", "A 16783-2025")</f>
        <v/>
      </c>
      <c r="Y119">
        <f>HYPERLINK("https://klasma.github.io/Logging_1290/kartor_geotiff/A 16783-2025 georefererad karta.tif", "A 16783-2025")</f>
        <v/>
      </c>
      <c r="AA119">
        <f>HYPERLINK("https://klasma.github.io/Logging_1290/klagomål/A 16783-2025 FSC-klagomål.docx", "A 16783-2025")</f>
        <v/>
      </c>
      <c r="AB119">
        <f>HYPERLINK("https://klasma.github.io/Logging_1290/klagomålsmail/A 16783-2025 FSC-klagomål mail.docx", "A 16783-2025")</f>
        <v/>
      </c>
      <c r="AC119">
        <f>HYPERLINK("https://klasma.github.io/Logging_1290/tillsyn/A 16783-2025 tillsynsbegäran.docx", "A 16783-2025")</f>
        <v/>
      </c>
      <c r="AD119">
        <f>HYPERLINK("https://klasma.github.io/Logging_1290/tillsynsmail/A 16783-2025 tillsynsbegäran mail.docx", "A 16783-2025")</f>
        <v/>
      </c>
    </row>
    <row r="120" ht="15" customHeight="1">
      <c r="A120" t="inlineStr">
        <is>
          <t>A 33362-2023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45128</v>
      </c>
      <c r="E120" s="1" t="n">
        <v>46260</v>
      </c>
      <c r="F120" t="inlineStr">
        <is>
          <t>SKÅNE LÄN</t>
        </is>
      </c>
      <c r="G120" t="inlineStr">
        <is>
          <t>KRISTIANSTAD</t>
        </is>
      </c>
      <c r="I120" t="n">
        <v>4.9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Rostfläck</t>
        </is>
      </c>
      <c r="W120">
        <f>HYPERLINK("https://klasma.github.io/Logging_1290/artfynd/A 33362-2023 artfynd.xlsx", "A 33362-2023")</f>
        <v/>
      </c>
      <c r="X120">
        <f>HYPERLINK("https://klasma.github.io/Logging_1290/kartor/A 33362-2023 karta.png", "A 33362-2023")</f>
        <v/>
      </c>
      <c r="Y120">
        <f>HYPERLINK("https://klasma.github.io/Logging_1290/kartor_geotiff/A 33362-2023 georefererad karta.tif", "A 33362-2023")</f>
        <v/>
      </c>
      <c r="AA120">
        <f>HYPERLINK("https://klasma.github.io/Logging_1290/klagomål/A 33362-2023 FSC-klagomål.docx", "A 33362-2023")</f>
        <v/>
      </c>
      <c r="AB120">
        <f>HYPERLINK("https://klasma.github.io/Logging_1290/klagomålsmail/A 33362-2023 FSC-klagomål mail.docx", "A 33362-2023")</f>
        <v/>
      </c>
      <c r="AC120">
        <f>HYPERLINK("https://klasma.github.io/Logging_1290/tillsyn/A 33362-2023 tillsynsbegäran.docx", "A 33362-2023")</f>
        <v/>
      </c>
      <c r="AD120">
        <f>HYPERLINK("https://klasma.github.io/Logging_1290/tillsynsmail/A 33362-2023 tillsynsbegäran mail.docx", "A 33362-2023")</f>
        <v/>
      </c>
    </row>
    <row r="121" ht="15" customHeight="1">
      <c r="A121" t="inlineStr">
        <is>
          <t>A 40668-2024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46260</v>
      </c>
      <c r="F121" t="inlineStr">
        <is>
          <t>SKÅNE LÄN</t>
        </is>
      </c>
      <c r="G121" t="inlineStr">
        <is>
          <t>KRISTIANSTAD</t>
        </is>
      </c>
      <c r="I121" t="n">
        <v>1.3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Spillkråka</t>
        </is>
      </c>
      <c r="W121">
        <f>HYPERLINK("https://klasma.github.io/Logging_1290/artfynd/A 40668-2024 artfynd.xlsx", "A 40668-2024")</f>
        <v/>
      </c>
      <c r="X121">
        <f>HYPERLINK("https://klasma.github.io/Logging_1290/kartor/A 40668-2024 karta.png", "A 40668-2024")</f>
        <v/>
      </c>
      <c r="Y121">
        <f>HYPERLINK("https://klasma.github.io/Logging_1290/kartor_geotiff/A 40668-2024 georefererad karta.tif", "A 40668-2024")</f>
        <v/>
      </c>
      <c r="AA121">
        <f>HYPERLINK("https://klasma.github.io/Logging_1290/klagomål/A 40668-2024 FSC-klagomål.docx", "A 40668-2024")</f>
        <v/>
      </c>
      <c r="AB121">
        <f>HYPERLINK("https://klasma.github.io/Logging_1290/klagomålsmail/A 40668-2024 FSC-klagomål mail.docx", "A 40668-2024")</f>
        <v/>
      </c>
      <c r="AC121">
        <f>HYPERLINK("https://klasma.github.io/Logging_1290/tillsyn/A 40668-2024 tillsynsbegäran.docx", "A 40668-2024")</f>
        <v/>
      </c>
      <c r="AD121">
        <f>HYPERLINK("https://klasma.github.io/Logging_1290/tillsynsmail/A 40668-2024 tillsynsbegäran mail.docx", "A 40668-2024")</f>
        <v/>
      </c>
      <c r="AE121">
        <f>HYPERLINK("https://klasma.github.io/Logging_1290/fåglar/A 40668-2024 prioriterade fågelarter.docx", "A 40668-2024")</f>
        <v/>
      </c>
    </row>
    <row r="122" ht="15" customHeight="1">
      <c r="A122" t="inlineStr">
        <is>
          <t>A 62367-2023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45267</v>
      </c>
      <c r="E122" s="1" t="n">
        <v>46260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Sjötåtel</t>
        </is>
      </c>
      <c r="W122">
        <f>HYPERLINK("https://klasma.github.io/Logging_1290/artfynd/A 62367-2023 artfynd.xlsx", "A 62367-2023")</f>
        <v/>
      </c>
      <c r="X122">
        <f>HYPERLINK("https://klasma.github.io/Logging_1290/kartor/A 62367-2023 karta.png", "A 62367-2023")</f>
        <v/>
      </c>
      <c r="Y122">
        <f>HYPERLINK("https://klasma.github.io/Logging_1290/kartor_geotiff/A 62367-2023 georefererad karta.tif", "A 62367-2023")</f>
        <v/>
      </c>
      <c r="AA122">
        <f>HYPERLINK("https://klasma.github.io/Logging_1290/klagomål/A 62367-2023 FSC-klagomål.docx", "A 62367-2023")</f>
        <v/>
      </c>
      <c r="AB122">
        <f>HYPERLINK("https://klasma.github.io/Logging_1290/klagomålsmail/A 62367-2023 FSC-klagomål mail.docx", "A 62367-2023")</f>
        <v/>
      </c>
      <c r="AC122">
        <f>HYPERLINK("https://klasma.github.io/Logging_1290/tillsyn/A 62367-2023 tillsynsbegäran.docx", "A 62367-2023")</f>
        <v/>
      </c>
      <c r="AD122">
        <f>HYPERLINK("https://klasma.github.io/Logging_1290/tillsynsmail/A 62367-2023 tillsynsbegäran mail.docx", "A 62367-2023")</f>
        <v/>
      </c>
    </row>
    <row r="123" ht="15" customHeight="1">
      <c r="A123" t="inlineStr">
        <is>
          <t>A 7054-2024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45343</v>
      </c>
      <c r="E123" s="1" t="n">
        <v>46260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0.4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Törnskata</t>
        </is>
      </c>
      <c r="W123">
        <f>HYPERLINK("https://klasma.github.io/Logging_1290/artfynd/A 7054-2024 artfynd.xlsx", "A 7054-2024")</f>
        <v/>
      </c>
      <c r="X123">
        <f>HYPERLINK("https://klasma.github.io/Logging_1290/kartor/A 7054-2024 karta.png", "A 7054-2024")</f>
        <v/>
      </c>
      <c r="Y123">
        <f>HYPERLINK("https://klasma.github.io/Logging_1290/kartor_geotiff/A 7054-2024 georefererad karta.tif", "A 7054-2024")</f>
        <v/>
      </c>
      <c r="AA123">
        <f>HYPERLINK("https://klasma.github.io/Logging_1290/klagomål/A 7054-2024 FSC-klagomål.docx", "A 7054-2024")</f>
        <v/>
      </c>
      <c r="AB123">
        <f>HYPERLINK("https://klasma.github.io/Logging_1290/klagomålsmail/A 7054-2024 FSC-klagomål mail.docx", "A 7054-2024")</f>
        <v/>
      </c>
      <c r="AC123">
        <f>HYPERLINK("https://klasma.github.io/Logging_1290/tillsyn/A 7054-2024 tillsynsbegäran.docx", "A 7054-2024")</f>
        <v/>
      </c>
      <c r="AD123">
        <f>HYPERLINK("https://klasma.github.io/Logging_1290/tillsynsmail/A 7054-2024 tillsynsbegäran mail.docx", "A 7054-2024")</f>
        <v/>
      </c>
      <c r="AE123">
        <f>HYPERLINK("https://klasma.github.io/Logging_1290/fåglar/A 7054-2024 prioriterade fågelarter.docx", "A 7054-2024")</f>
        <v/>
      </c>
    </row>
    <row r="124" ht="15" customHeight="1">
      <c r="A124" t="inlineStr">
        <is>
          <t>A 30857-2023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46260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Sommarfibbla</t>
        </is>
      </c>
      <c r="W124">
        <f>HYPERLINK("https://klasma.github.io/Logging_1290/artfynd/A 30857-2023 artfynd.xlsx", "A 30857-2023")</f>
        <v/>
      </c>
      <c r="X124">
        <f>HYPERLINK("https://klasma.github.io/Logging_1290/kartor/A 30857-2023 karta.png", "A 30857-2023")</f>
        <v/>
      </c>
      <c r="Y124">
        <f>HYPERLINK("https://klasma.github.io/Logging_1290/kartor_geotiff/A 30857-2023 georefererad karta.tif", "A 30857-2023")</f>
        <v/>
      </c>
      <c r="AA124">
        <f>HYPERLINK("https://klasma.github.io/Logging_1290/klagomål/A 30857-2023 FSC-klagomål.docx", "A 30857-2023")</f>
        <v/>
      </c>
      <c r="AB124">
        <f>HYPERLINK("https://klasma.github.io/Logging_1290/klagomålsmail/A 30857-2023 FSC-klagomål mail.docx", "A 30857-2023")</f>
        <v/>
      </c>
      <c r="AC124">
        <f>HYPERLINK("https://klasma.github.io/Logging_1290/tillsyn/A 30857-2023 tillsynsbegäran.docx", "A 30857-2023")</f>
        <v/>
      </c>
      <c r="AD124">
        <f>HYPERLINK("https://klasma.github.io/Logging_1290/tillsynsmail/A 30857-2023 tillsynsbegäran mail.docx", "A 30857-2023")</f>
        <v/>
      </c>
    </row>
    <row r="125" ht="15" customHeight="1">
      <c r="A125" t="inlineStr">
        <is>
          <t>A 32101-2024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45511</v>
      </c>
      <c r="E125" s="1" t="n">
        <v>46260</v>
      </c>
      <c r="F125" t="inlineStr">
        <is>
          <t>SKÅNE LÄN</t>
        </is>
      </c>
      <c r="G125" t="inlineStr">
        <is>
          <t>KRISTIANSTAD</t>
        </is>
      </c>
      <c r="I125" t="n">
        <v>6.6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Skogsknipprot</t>
        </is>
      </c>
      <c r="W125">
        <f>HYPERLINK("https://klasma.github.io/Logging_1290/artfynd/A 32101-2024 artfynd.xlsx", "A 32101-2024")</f>
        <v/>
      </c>
      <c r="X125">
        <f>HYPERLINK("https://klasma.github.io/Logging_1290/kartor/A 32101-2024 karta.png", "A 32101-2024")</f>
        <v/>
      </c>
      <c r="Y125">
        <f>HYPERLINK("https://klasma.github.io/Logging_1290/kartor_geotiff/A 32101-2024 georefererad karta.tif", "A 32101-2024")</f>
        <v/>
      </c>
      <c r="AA125">
        <f>HYPERLINK("https://klasma.github.io/Logging_1290/klagomål/A 32101-2024 FSC-klagomål.docx", "A 32101-2024")</f>
        <v/>
      </c>
      <c r="AB125">
        <f>HYPERLINK("https://klasma.github.io/Logging_1290/klagomålsmail/A 32101-2024 FSC-klagomål mail.docx", "A 32101-2024")</f>
        <v/>
      </c>
      <c r="AC125">
        <f>HYPERLINK("https://klasma.github.io/Logging_1290/tillsyn/A 32101-2024 tillsynsbegäran.docx", "A 32101-2024")</f>
        <v/>
      </c>
      <c r="AD125">
        <f>HYPERLINK("https://klasma.github.io/Logging_1290/tillsynsmail/A 32101-2024 tillsynsbegäran mail.docx", "A 32101-2024")</f>
        <v/>
      </c>
    </row>
    <row r="126" ht="15" customHeight="1">
      <c r="A126" t="inlineStr">
        <is>
          <t>A 38440-2024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46260</v>
      </c>
      <c r="F126" t="inlineStr">
        <is>
          <t>SKÅNE LÄN</t>
        </is>
      </c>
      <c r="G126" t="inlineStr">
        <is>
          <t>KRISTIANSTAD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Igelkott</t>
        </is>
      </c>
      <c r="W126">
        <f>HYPERLINK("https://klasma.github.io/Logging_1290/artfynd/A 38440-2024 artfynd.xlsx", "A 38440-2024")</f>
        <v/>
      </c>
      <c r="X126">
        <f>HYPERLINK("https://klasma.github.io/Logging_1290/kartor/A 38440-2024 karta.png", "A 38440-2024")</f>
        <v/>
      </c>
      <c r="Y126">
        <f>HYPERLINK("https://klasma.github.io/Logging_1290/kartor_geotiff/A 38440-2024 georefererad karta.tif", "A 38440-2024")</f>
        <v/>
      </c>
      <c r="AA126">
        <f>HYPERLINK("https://klasma.github.io/Logging_1290/klagomål/A 38440-2024 FSC-klagomål.docx", "A 38440-2024")</f>
        <v/>
      </c>
      <c r="AB126">
        <f>HYPERLINK("https://klasma.github.io/Logging_1290/klagomålsmail/A 38440-2024 FSC-klagomål mail.docx", "A 38440-2024")</f>
        <v/>
      </c>
      <c r="AC126">
        <f>HYPERLINK("https://klasma.github.io/Logging_1290/tillsyn/A 38440-2024 tillsynsbegäran.docx", "A 38440-2024")</f>
        <v/>
      </c>
      <c r="AD126">
        <f>HYPERLINK("https://klasma.github.io/Logging_1290/tillsynsmail/A 38440-2024 tillsynsbegäran mail.docx", "A 38440-2024")</f>
        <v/>
      </c>
    </row>
    <row r="127" ht="15" customHeight="1">
      <c r="A127" t="inlineStr">
        <is>
          <t>A 52012-2024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46260</v>
      </c>
      <c r="F127" t="inlineStr">
        <is>
          <t>SKÅNE LÄN</t>
        </is>
      </c>
      <c r="G127" t="inlineStr">
        <is>
          <t>KRISTIANSTAD</t>
        </is>
      </c>
      <c r="H127" t="inlineStr">
        <is>
          <t>Övriga Aktiebolag</t>
        </is>
      </c>
      <c r="I127" t="n">
        <v>2.6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Luddfingerört</t>
        </is>
      </c>
      <c r="W127">
        <f>HYPERLINK("https://klasma.github.io/Logging_1290/artfynd/A 52012-2024 artfynd.xlsx", "A 52012-2024")</f>
        <v/>
      </c>
      <c r="X127">
        <f>HYPERLINK("https://klasma.github.io/Logging_1290/kartor/A 52012-2024 karta.png", "A 52012-2024")</f>
        <v/>
      </c>
      <c r="Y127">
        <f>HYPERLINK("https://klasma.github.io/Logging_1290/kartor_geotiff/A 52012-2024 georefererad karta.tif", "A 52012-2024")</f>
        <v/>
      </c>
      <c r="AA127">
        <f>HYPERLINK("https://klasma.github.io/Logging_1290/klagomål/A 52012-2024 FSC-klagomål.docx", "A 52012-2024")</f>
        <v/>
      </c>
      <c r="AB127">
        <f>HYPERLINK("https://klasma.github.io/Logging_1290/klagomålsmail/A 52012-2024 FSC-klagomål mail.docx", "A 52012-2024")</f>
        <v/>
      </c>
      <c r="AC127">
        <f>HYPERLINK("https://klasma.github.io/Logging_1290/tillsyn/A 52012-2024 tillsynsbegäran.docx", "A 52012-2024")</f>
        <v/>
      </c>
      <c r="AD127">
        <f>HYPERLINK("https://klasma.github.io/Logging_1290/tillsynsmail/A 52012-2024 tillsynsbegäran mail.docx", "A 52012-2024")</f>
        <v/>
      </c>
    </row>
    <row r="128" ht="15" customHeight="1">
      <c r="A128" t="inlineStr">
        <is>
          <t>A 27462-2026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46189</v>
      </c>
      <c r="E128" s="1" t="n">
        <v>46260</v>
      </c>
      <c r="F128" t="inlineStr">
        <is>
          <t>SKÅNE LÄN</t>
        </is>
      </c>
      <c r="G128" t="inlineStr">
        <is>
          <t>KRISTIANSTAD</t>
        </is>
      </c>
      <c r="I128" t="n">
        <v>9.1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Skuggsprötmossa</t>
        </is>
      </c>
      <c r="W128">
        <f>HYPERLINK("https://klasma.github.io/Logging_1290/artfynd/A 27462-2026 artfynd.xlsx", "A 27462-2026")</f>
        <v/>
      </c>
      <c r="X128">
        <f>HYPERLINK("https://klasma.github.io/Logging_1290/kartor/A 27462-2026 karta.png", "A 27462-2026")</f>
        <v/>
      </c>
      <c r="Y128">
        <f>HYPERLINK("https://klasma.github.io/Logging_1290/kartor_geotiff/A 27462-2026 georefererad karta.tif", "A 27462-2026")</f>
        <v/>
      </c>
      <c r="AA128">
        <f>HYPERLINK("https://klasma.github.io/Logging_1290/klagomål/A 27462-2026 FSC-klagomål.docx", "A 27462-2026")</f>
        <v/>
      </c>
      <c r="AB128">
        <f>HYPERLINK("https://klasma.github.io/Logging_1290/klagomålsmail/A 27462-2026 FSC-klagomål mail.docx", "A 27462-2026")</f>
        <v/>
      </c>
      <c r="AC128">
        <f>HYPERLINK("https://klasma.github.io/Logging_1290/tillsyn/A 27462-2026 tillsynsbegäran.docx", "A 27462-2026")</f>
        <v/>
      </c>
      <c r="AD128">
        <f>HYPERLINK("https://klasma.github.io/Logging_1290/tillsynsmail/A 27462-2026 tillsynsbegäran mail.docx", "A 27462-2026")</f>
        <v/>
      </c>
    </row>
    <row r="129" ht="15" customHeight="1">
      <c r="A129" t="inlineStr">
        <is>
          <t>A 27606-2026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46188</v>
      </c>
      <c r="E129" s="1" t="n">
        <v>46260</v>
      </c>
      <c r="F129" t="inlineStr">
        <is>
          <t>SKÅNE LÄN</t>
        </is>
      </c>
      <c r="G129" t="inlineStr">
        <is>
          <t>KRISTIANSTAD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0</v>
      </c>
      <c r="V129" s="2" t="inlineStr">
        <is>
          <t>Flodpärlmussla</t>
        </is>
      </c>
      <c r="W129">
        <f>HYPERLINK("https://klasma.github.io/Logging_1290/artfynd/A 27606-2026 artfynd.xlsx", "A 27606-2026")</f>
        <v/>
      </c>
      <c r="X129">
        <f>HYPERLINK("https://klasma.github.io/Logging_1290/kartor/A 27606-2026 karta.png", "A 27606-2026")</f>
        <v/>
      </c>
      <c r="Y129">
        <f>HYPERLINK("https://klasma.github.io/Logging_1290/kartor_geotiff/A 27606-2026 georefererad karta.tif", "A 27606-2026")</f>
        <v/>
      </c>
      <c r="AA129">
        <f>HYPERLINK("https://klasma.github.io/Logging_1290/klagomål/A 27606-2026 FSC-klagomål.docx", "A 27606-2026")</f>
        <v/>
      </c>
      <c r="AB129">
        <f>HYPERLINK("https://klasma.github.io/Logging_1290/klagomålsmail/A 27606-2026 FSC-klagomål mail.docx", "A 27606-2026")</f>
        <v/>
      </c>
      <c r="AC129">
        <f>HYPERLINK("https://klasma.github.io/Logging_1290/tillsyn/A 27606-2026 tillsynsbegäran.docx", "A 27606-2026")</f>
        <v/>
      </c>
      <c r="AD129">
        <f>HYPERLINK("https://klasma.github.io/Logging_1290/tillsynsmail/A 27606-2026 tillsynsbegäran mail.docx", "A 27606-2026")</f>
        <v/>
      </c>
    </row>
    <row r="130" ht="15" customHeight="1">
      <c r="A130" t="inlineStr">
        <is>
          <t>A 33883-2025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45842</v>
      </c>
      <c r="E130" s="1" t="n">
        <v>46260</v>
      </c>
      <c r="F130" t="inlineStr">
        <is>
          <t>SKÅNE LÄN</t>
        </is>
      </c>
      <c r="G130" t="inlineStr">
        <is>
          <t>KRISTIANSTAD</t>
        </is>
      </c>
      <c r="I130" t="n">
        <v>2.3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Stor häxört</t>
        </is>
      </c>
      <c r="W130">
        <f>HYPERLINK("https://klasma.github.io/Logging_1290/artfynd/A 33883-2025 artfynd.xlsx", "A 33883-2025")</f>
        <v/>
      </c>
      <c r="X130">
        <f>HYPERLINK("https://klasma.github.io/Logging_1290/kartor/A 33883-2025 karta.png", "A 33883-2025")</f>
        <v/>
      </c>
      <c r="Y130">
        <f>HYPERLINK("https://klasma.github.io/Logging_1290/kartor_geotiff/A 33883-2025 georefererad karta.tif", "A 33883-2025")</f>
        <v/>
      </c>
      <c r="AA130">
        <f>HYPERLINK("https://klasma.github.io/Logging_1290/klagomål/A 33883-2025 FSC-klagomål.docx", "A 33883-2025")</f>
        <v/>
      </c>
      <c r="AB130">
        <f>HYPERLINK("https://klasma.github.io/Logging_1290/klagomålsmail/A 33883-2025 FSC-klagomål mail.docx", "A 33883-2025")</f>
        <v/>
      </c>
      <c r="AC130">
        <f>HYPERLINK("https://klasma.github.io/Logging_1290/tillsyn/A 33883-2025 tillsynsbegäran.docx", "A 33883-2025")</f>
        <v/>
      </c>
      <c r="AD130">
        <f>HYPERLINK("https://klasma.github.io/Logging_1290/tillsynsmail/A 33883-2025 tillsynsbegäran mail.docx", "A 33883-2025")</f>
        <v/>
      </c>
    </row>
    <row r="131" ht="15" customHeight="1">
      <c r="A131" t="inlineStr">
        <is>
          <t>A 1188-2024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45302</v>
      </c>
      <c r="E131" s="1" t="n">
        <v>46260</v>
      </c>
      <c r="F131" t="inlineStr">
        <is>
          <t>SKÅNE LÄN</t>
        </is>
      </c>
      <c r="G131" t="inlineStr">
        <is>
          <t>KRISTIANSTAD</t>
        </is>
      </c>
      <c r="I131" t="n">
        <v>6.1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t="n">
        <v>2</v>
      </c>
      <c r="V131" s="2" t="inlineStr">
        <is>
          <t>Backsippa</t>
        </is>
      </c>
      <c r="W131">
        <f>HYPERLINK("https://klasma.github.io/Logging_1290/artfynd/A 1188-2024 artfynd.xlsx", "A 1188-2024")</f>
        <v/>
      </c>
      <c r="X131">
        <f>HYPERLINK("https://klasma.github.io/Logging_1290/kartor/A 1188-2024 karta.png", "A 1188-2024")</f>
        <v/>
      </c>
      <c r="Y131">
        <f>HYPERLINK("https://klasma.github.io/Logging_1290/kartor_geotiff/A 1188-2024 georefererad karta.tif", "A 1188-2024")</f>
        <v/>
      </c>
      <c r="AA131">
        <f>HYPERLINK("https://klasma.github.io/Logging_1290/klagomål/A 1188-2024 FSC-klagomål.docx", "A 1188-2024")</f>
        <v/>
      </c>
      <c r="AB131">
        <f>HYPERLINK("https://klasma.github.io/Logging_1290/klagomålsmail/A 1188-2024 FSC-klagomål mail.docx", "A 1188-2024")</f>
        <v/>
      </c>
      <c r="AC131">
        <f>HYPERLINK("https://klasma.github.io/Logging_1290/tillsyn/A 1188-2024 tillsynsbegäran.docx", "A 1188-2024")</f>
        <v/>
      </c>
      <c r="AD131">
        <f>HYPERLINK("https://klasma.github.io/Logging_1290/tillsynsmail/A 1188-2024 tillsynsbegäran mail.docx", "A 1188-2024")</f>
        <v/>
      </c>
    </row>
    <row r="132" ht="15" customHeight="1">
      <c r="A132" t="inlineStr">
        <is>
          <t>A 8208-2023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44971</v>
      </c>
      <c r="E132" s="1" t="n">
        <v>46260</v>
      </c>
      <c r="F132" t="inlineStr">
        <is>
          <t>SKÅNE LÄN</t>
        </is>
      </c>
      <c r="G132" t="inlineStr">
        <is>
          <t>KRISTIANSTAD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Flodpärlmussla</t>
        </is>
      </c>
      <c r="W132">
        <f>HYPERLINK("https://klasma.github.io/Logging_1290/artfynd/A 8208-2023 artfynd.xlsx", "A 8208-2023")</f>
        <v/>
      </c>
      <c r="X132">
        <f>HYPERLINK("https://klasma.github.io/Logging_1290/kartor/A 8208-2023 karta.png", "A 8208-2023")</f>
        <v/>
      </c>
      <c r="Y132">
        <f>HYPERLINK("https://klasma.github.io/Logging_1290/kartor_geotiff/A 8208-2023 georefererad karta.tif", "A 8208-2023")</f>
        <v/>
      </c>
      <c r="AA132">
        <f>HYPERLINK("https://klasma.github.io/Logging_1290/klagomål/A 8208-2023 FSC-klagomål.docx", "A 8208-2023")</f>
        <v/>
      </c>
      <c r="AB132">
        <f>HYPERLINK("https://klasma.github.io/Logging_1290/klagomålsmail/A 8208-2023 FSC-klagomål mail.docx", "A 8208-2023")</f>
        <v/>
      </c>
      <c r="AC132">
        <f>HYPERLINK("https://klasma.github.io/Logging_1290/tillsyn/A 8208-2023 tillsynsbegäran.docx", "A 8208-2023")</f>
        <v/>
      </c>
      <c r="AD132">
        <f>HYPERLINK("https://klasma.github.io/Logging_1290/tillsynsmail/A 8208-2023 tillsynsbegäran mail.docx", "A 8208-2023")</f>
        <v/>
      </c>
    </row>
    <row r="133" ht="15" customHeight="1">
      <c r="A133" t="inlineStr">
        <is>
          <t>A 26243-2024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45468</v>
      </c>
      <c r="E133" s="1" t="n">
        <v>46260</v>
      </c>
      <c r="F133" t="inlineStr">
        <is>
          <t>SKÅNE LÄN</t>
        </is>
      </c>
      <c r="G133" t="inlineStr">
        <is>
          <t>KRISTIANSTAD</t>
        </is>
      </c>
      <c r="I133" t="n">
        <v>7.8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HYPERLINK("https://klasma.github.io/Logging_1290/artfynd/A 26243-2024 artfynd.xlsx", "A 26243-2024")</f>
        <v/>
      </c>
      <c r="X133">
        <f>HYPERLINK("https://klasma.github.io/Logging_1290/kartor/A 26243-2024 karta.png", "A 26243-2024")</f>
        <v/>
      </c>
      <c r="Y133">
        <f>HYPERLINK("https://klasma.github.io/Logging_1290/kartor_geotiff/A 26243-2024 georefererad karta.tif", "A 26243-2024")</f>
        <v/>
      </c>
      <c r="AA133">
        <f>HYPERLINK("https://klasma.github.io/Logging_1290/klagomål/A 26243-2024 FSC-klagomål.docx", "A 26243-2024")</f>
        <v/>
      </c>
      <c r="AB133">
        <f>HYPERLINK("https://klasma.github.io/Logging_1290/klagomålsmail/A 26243-2024 FSC-klagomål mail.docx", "A 26243-2024")</f>
        <v/>
      </c>
      <c r="AC133">
        <f>HYPERLINK("https://klasma.github.io/Logging_1290/tillsyn/A 26243-2024 tillsynsbegäran.docx", "A 26243-2024")</f>
        <v/>
      </c>
      <c r="AD133">
        <f>HYPERLINK("https://klasma.github.io/Logging_1290/tillsynsmail/A 26243-2024 tillsynsbegäran mail.docx", "A 26243-2024")</f>
        <v/>
      </c>
    </row>
    <row r="134" ht="15" customHeight="1">
      <c r="A134" t="inlineStr">
        <is>
          <t>A 34113-2026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46253</v>
      </c>
      <c r="E134" s="1" t="n">
        <v>46260</v>
      </c>
      <c r="F134" t="inlineStr">
        <is>
          <t>SKÅNE LÄN</t>
        </is>
      </c>
      <c r="G134" t="inlineStr">
        <is>
          <t>KRISTIANSTAD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Småvänderot</t>
        </is>
      </c>
      <c r="W134">
        <f>HYPERLINK("https://klasma.github.io/Logging_1290/artfynd/A 34113-2026 artfynd.xlsx", "A 34113-2026")</f>
        <v/>
      </c>
      <c r="X134">
        <f>HYPERLINK("https://klasma.github.io/Logging_1290/kartor/A 34113-2026 karta.png", "A 34113-2026")</f>
        <v/>
      </c>
      <c r="Y134">
        <f>HYPERLINK("https://klasma.github.io/Logging_1290/kartor_geotiff/A 34113-2026 georefererad karta.tif", "A 34113-2026")</f>
        <v/>
      </c>
      <c r="AA134">
        <f>HYPERLINK("https://klasma.github.io/Logging_1290/klagomål/A 34113-2026 FSC-klagomål.docx", "A 34113-2026")</f>
        <v/>
      </c>
      <c r="AB134">
        <f>HYPERLINK("https://klasma.github.io/Logging_1290/klagomålsmail/A 34113-2026 FSC-klagomål mail.docx", "A 34113-2026")</f>
        <v/>
      </c>
      <c r="AC134">
        <f>HYPERLINK("https://klasma.github.io/Logging_1290/tillsyn/A 34113-2026 tillsynsbegäran.docx", "A 34113-2026")</f>
        <v/>
      </c>
      <c r="AD134">
        <f>HYPERLINK("https://klasma.github.io/Logging_1290/tillsynsmail/A 34113-2026 tillsynsbegäran mail.docx", "A 34113-2026")</f>
        <v/>
      </c>
    </row>
    <row r="135" ht="15" customHeight="1">
      <c r="A135" t="inlineStr">
        <is>
          <t>A 28429-2024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45477</v>
      </c>
      <c r="E135" s="1" t="n">
        <v>46260</v>
      </c>
      <c r="F135" t="inlineStr">
        <is>
          <t>SKÅNE LÄN</t>
        </is>
      </c>
      <c r="G135" t="inlineStr">
        <is>
          <t>KRISTIANSTAD</t>
        </is>
      </c>
      <c r="I135" t="n">
        <v>0.4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Knölspindel</t>
        </is>
      </c>
      <c r="W135">
        <f>HYPERLINK("https://klasma.github.io/Logging_1290/artfynd/A 28429-2024 artfynd.xlsx", "A 28429-2024")</f>
        <v/>
      </c>
      <c r="X135">
        <f>HYPERLINK("https://klasma.github.io/Logging_1290/kartor/A 28429-2024 karta.png", "A 28429-2024")</f>
        <v/>
      </c>
      <c r="Y135">
        <f>HYPERLINK("https://klasma.github.io/Logging_1290/kartor_geotiff/A 28429-2024 georefererad karta.tif", "A 28429-2024")</f>
        <v/>
      </c>
      <c r="AA135">
        <f>HYPERLINK("https://klasma.github.io/Logging_1290/klagomål/A 28429-2024 FSC-klagomål.docx", "A 28429-2024")</f>
        <v/>
      </c>
      <c r="AB135">
        <f>HYPERLINK("https://klasma.github.io/Logging_1290/klagomålsmail/A 28429-2024 FSC-klagomål mail.docx", "A 28429-2024")</f>
        <v/>
      </c>
      <c r="AC135">
        <f>HYPERLINK("https://klasma.github.io/Logging_1290/tillsyn/A 28429-2024 tillsynsbegäran.docx", "A 28429-2024")</f>
        <v/>
      </c>
      <c r="AD135">
        <f>HYPERLINK("https://klasma.github.io/Logging_1290/tillsynsmail/A 28429-2024 tillsynsbegäran mail.docx", "A 28429-2024")</f>
        <v/>
      </c>
    </row>
    <row r="136" ht="15" customHeight="1">
      <c r="A136" t="inlineStr">
        <is>
          <t>A 58003-2023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46260</v>
      </c>
      <c r="F136" t="inlineStr">
        <is>
          <t>SKÅNE LÄN</t>
        </is>
      </c>
      <c r="G136" t="inlineStr">
        <is>
          <t>KRISTIANSTAD</t>
        </is>
      </c>
      <c r="I136" t="n">
        <v>2.6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Ekskinn</t>
        </is>
      </c>
      <c r="W136">
        <f>HYPERLINK("https://klasma.github.io/Logging_1290/artfynd/A 58003-2023 artfynd.xlsx", "A 58003-2023")</f>
        <v/>
      </c>
      <c r="X136">
        <f>HYPERLINK("https://klasma.github.io/Logging_1290/kartor/A 58003-2023 karta.png", "A 58003-2023")</f>
        <v/>
      </c>
      <c r="Y136">
        <f>HYPERLINK("https://klasma.github.io/Logging_1290/kartor_geotiff/A 58003-2023 georefererad karta.tif", "A 58003-2023")</f>
        <v/>
      </c>
      <c r="AA136">
        <f>HYPERLINK("https://klasma.github.io/Logging_1290/klagomål/A 58003-2023 FSC-klagomål.docx", "A 58003-2023")</f>
        <v/>
      </c>
      <c r="AB136">
        <f>HYPERLINK("https://klasma.github.io/Logging_1290/klagomålsmail/A 58003-2023 FSC-klagomål mail.docx", "A 58003-2023")</f>
        <v/>
      </c>
      <c r="AC136">
        <f>HYPERLINK("https://klasma.github.io/Logging_1290/tillsyn/A 58003-2023 tillsynsbegäran.docx", "A 58003-2023")</f>
        <v/>
      </c>
      <c r="AD136">
        <f>HYPERLINK("https://klasma.github.io/Logging_1290/tillsynsmail/A 58003-2023 tillsynsbegäran mail.docx", "A 58003-2023")</f>
        <v/>
      </c>
    </row>
    <row r="137" ht="15" customHeight="1">
      <c r="A137" t="inlineStr">
        <is>
          <t>A 41004-2022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44825</v>
      </c>
      <c r="E137" s="1" t="n">
        <v>46260</v>
      </c>
      <c r="F137" t="inlineStr">
        <is>
          <t>SKÅNE LÄN</t>
        </is>
      </c>
      <c r="G137" t="inlineStr">
        <is>
          <t>KRISTIANSTAD</t>
        </is>
      </c>
      <c r="I137" t="n">
        <v>2.4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Skogsbräsma</t>
        </is>
      </c>
      <c r="W137">
        <f>HYPERLINK("https://klasma.github.io/Logging_1290/artfynd/A 41004-2022 artfynd.xlsx", "A 41004-2022")</f>
        <v/>
      </c>
      <c r="X137">
        <f>HYPERLINK("https://klasma.github.io/Logging_1290/kartor/A 41004-2022 karta.png", "A 41004-2022")</f>
        <v/>
      </c>
      <c r="Y137">
        <f>HYPERLINK("https://klasma.github.io/Logging_1290/kartor_geotiff/A 41004-2022 georefererad karta.tif", "A 41004-2022")</f>
        <v/>
      </c>
      <c r="AA137">
        <f>HYPERLINK("https://klasma.github.io/Logging_1290/klagomål/A 41004-2022 FSC-klagomål.docx", "A 41004-2022")</f>
        <v/>
      </c>
      <c r="AB137">
        <f>HYPERLINK("https://klasma.github.io/Logging_1290/klagomålsmail/A 41004-2022 FSC-klagomål mail.docx", "A 41004-2022")</f>
        <v/>
      </c>
      <c r="AC137">
        <f>HYPERLINK("https://klasma.github.io/Logging_1290/tillsyn/A 41004-2022 tillsynsbegäran.docx", "A 41004-2022")</f>
        <v/>
      </c>
      <c r="AD137">
        <f>HYPERLINK("https://klasma.github.io/Logging_1290/tillsynsmail/A 41004-2022 tillsynsbegäran mail.docx", "A 41004-2022")</f>
        <v/>
      </c>
    </row>
    <row r="138" ht="15" customHeight="1">
      <c r="A138" t="inlineStr">
        <is>
          <t>A 15105-2023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46260</v>
      </c>
      <c r="F138" t="inlineStr">
        <is>
          <t>SKÅNE LÄN</t>
        </is>
      </c>
      <c r="G138" t="inlineStr">
        <is>
          <t>KRISTIANSTAD</t>
        </is>
      </c>
      <c r="H138" t="inlineStr">
        <is>
          <t>Kyrkan</t>
        </is>
      </c>
      <c r="I138" t="n">
        <v>3.2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Liten baronmossa</t>
        </is>
      </c>
      <c r="W138">
        <f>HYPERLINK("https://klasma.github.io/Logging_1290/artfynd/A 15105-2023 artfynd.xlsx", "A 15105-2023")</f>
        <v/>
      </c>
      <c r="X138">
        <f>HYPERLINK("https://klasma.github.io/Logging_1290/kartor/A 15105-2023 karta.png", "A 15105-2023")</f>
        <v/>
      </c>
      <c r="Y138">
        <f>HYPERLINK("https://klasma.github.io/Logging_1290/kartor_geotiff/A 15105-2023 georefererad karta.tif", "A 15105-2023")</f>
        <v/>
      </c>
      <c r="AA138">
        <f>HYPERLINK("https://klasma.github.io/Logging_1290/klagomål/A 15105-2023 FSC-klagomål.docx", "A 15105-2023")</f>
        <v/>
      </c>
      <c r="AB138">
        <f>HYPERLINK("https://klasma.github.io/Logging_1290/klagomålsmail/A 15105-2023 FSC-klagomål mail.docx", "A 15105-2023")</f>
        <v/>
      </c>
      <c r="AC138">
        <f>HYPERLINK("https://klasma.github.io/Logging_1290/tillsyn/A 15105-2023 tillsynsbegäran.docx", "A 15105-2023")</f>
        <v/>
      </c>
      <c r="AD138">
        <f>HYPERLINK("https://klasma.github.io/Logging_1290/tillsynsmail/A 15105-2023 tillsynsbegäran mail.docx", "A 15105-2023")</f>
        <v/>
      </c>
    </row>
    <row r="139" ht="15" customHeight="1">
      <c r="A139" t="inlineStr">
        <is>
          <t>A 31616-2024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45506</v>
      </c>
      <c r="E139" s="1" t="n">
        <v>46260</v>
      </c>
      <c r="F139" t="inlineStr">
        <is>
          <t>SKÅNE LÄN</t>
        </is>
      </c>
      <c r="G139" t="inlineStr">
        <is>
          <t>KRISTIANSTAD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Crunoecia irrorata</t>
        </is>
      </c>
      <c r="W139">
        <f>HYPERLINK("https://klasma.github.io/Logging_1290/artfynd/A 31616-2024 artfynd.xlsx", "A 31616-2024")</f>
        <v/>
      </c>
      <c r="X139">
        <f>HYPERLINK("https://klasma.github.io/Logging_1290/kartor/A 31616-2024 karta.png", "A 31616-2024")</f>
        <v/>
      </c>
      <c r="Y139">
        <f>HYPERLINK("https://klasma.github.io/Logging_1290/kartor_geotiff/A 31616-2024 georefererad karta.tif", "A 31616-2024")</f>
        <v/>
      </c>
      <c r="AA139">
        <f>HYPERLINK("https://klasma.github.io/Logging_1290/klagomål/A 31616-2024 FSC-klagomål.docx", "A 31616-2024")</f>
        <v/>
      </c>
      <c r="AB139">
        <f>HYPERLINK("https://klasma.github.io/Logging_1290/klagomålsmail/A 31616-2024 FSC-klagomål mail.docx", "A 31616-2024")</f>
        <v/>
      </c>
      <c r="AC139">
        <f>HYPERLINK("https://klasma.github.io/Logging_1290/tillsyn/A 31616-2024 tillsynsbegäran.docx", "A 31616-2024")</f>
        <v/>
      </c>
      <c r="AD139">
        <f>HYPERLINK("https://klasma.github.io/Logging_1290/tillsynsmail/A 31616-2024 tillsynsbegäran mail.docx", "A 31616-2024")</f>
        <v/>
      </c>
    </row>
    <row r="140" ht="15" customHeight="1">
      <c r="A140" t="inlineStr">
        <is>
          <t>A 22272-2024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45446</v>
      </c>
      <c r="E140" s="1" t="n">
        <v>46260</v>
      </c>
      <c r="F140" t="inlineStr">
        <is>
          <t>SKÅNE LÄN</t>
        </is>
      </c>
      <c r="G140" t="inlineStr">
        <is>
          <t>KRISTIANSTAD</t>
        </is>
      </c>
      <c r="I140" t="n">
        <v>5.7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Dubbelnycklar</t>
        </is>
      </c>
      <c r="W140">
        <f>HYPERLINK("https://klasma.github.io/Logging_1290/artfynd/A 22272-2024 artfynd.xlsx", "A 22272-2024")</f>
        <v/>
      </c>
      <c r="X140">
        <f>HYPERLINK("https://klasma.github.io/Logging_1290/kartor/A 22272-2024 karta.png", "A 22272-2024")</f>
        <v/>
      </c>
      <c r="Y140">
        <f>HYPERLINK("https://klasma.github.io/Logging_1290/kartor_geotiff/A 22272-2024 georefererad karta.tif", "A 22272-2024")</f>
        <v/>
      </c>
      <c r="AA140">
        <f>HYPERLINK("https://klasma.github.io/Logging_1290/klagomål/A 22272-2024 FSC-klagomål.docx", "A 22272-2024")</f>
        <v/>
      </c>
      <c r="AB140">
        <f>HYPERLINK("https://klasma.github.io/Logging_1290/klagomålsmail/A 22272-2024 FSC-klagomål mail.docx", "A 22272-2024")</f>
        <v/>
      </c>
      <c r="AC140">
        <f>HYPERLINK("https://klasma.github.io/Logging_1290/tillsyn/A 22272-2024 tillsynsbegäran.docx", "A 22272-2024")</f>
        <v/>
      </c>
      <c r="AD140">
        <f>HYPERLINK("https://klasma.github.io/Logging_1290/tillsynsmail/A 22272-2024 tillsynsbegäran mail.docx", "A 22272-2024")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46260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46260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46260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46260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46260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46260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46260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46260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46260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43981-2021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44434</v>
      </c>
      <c r="E150" s="1" t="n">
        <v>46260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46260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53258-2021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44468</v>
      </c>
      <c r="E152" s="1" t="n">
        <v>46260</v>
      </c>
      <c r="F152" t="inlineStr">
        <is>
          <t>SKÅNE LÄN</t>
        </is>
      </c>
      <c r="G152" t="inlineStr">
        <is>
          <t>KRISTIANSTAD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48054-2021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44449</v>
      </c>
      <c r="E153" s="1" t="n">
        <v>46260</v>
      </c>
      <c r="F153" t="inlineStr">
        <is>
          <t>SKÅNE LÄN</t>
        </is>
      </c>
      <c r="G153" t="inlineStr">
        <is>
          <t>KRISTIANSTAD</t>
        </is>
      </c>
      <c r="H153" t="inlineStr">
        <is>
          <t>Övriga Aktiebolag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69993-2021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44533</v>
      </c>
      <c r="E154" s="1" t="n">
        <v>46260</v>
      </c>
      <c r="F154" t="inlineStr">
        <is>
          <t>SKÅNE LÄN</t>
        </is>
      </c>
      <c r="G154" t="inlineStr">
        <is>
          <t>KRISTIANSTAD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70357-2021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46260</v>
      </c>
      <c r="F155" t="inlineStr">
        <is>
          <t>SKÅNE LÄN</t>
        </is>
      </c>
      <c r="G155" t="inlineStr">
        <is>
          <t>KRISTIANSTAD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44670</v>
      </c>
      <c r="E156" s="1" t="n">
        <v>46260</v>
      </c>
      <c r="F156" t="inlineStr">
        <is>
          <t>SKÅNE LÄN</t>
        </is>
      </c>
      <c r="G156" t="inlineStr">
        <is>
          <t>KRISTIANSTAD</t>
        </is>
      </c>
      <c r="I156" t="n">
        <v>15.3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44672</v>
      </c>
      <c r="E157" s="1" t="n">
        <v>46260</v>
      </c>
      <c r="F157" t="inlineStr">
        <is>
          <t>SKÅNE LÄN</t>
        </is>
      </c>
      <c r="G157" t="inlineStr">
        <is>
          <t>KRISTIANSTAD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74289-2021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44558</v>
      </c>
      <c r="E158" s="1" t="n">
        <v>46260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46260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46260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46260</v>
      </c>
      <c r="F161" t="inlineStr">
        <is>
          <t>SKÅNE LÄN</t>
        </is>
      </c>
      <c r="G161" t="inlineStr">
        <is>
          <t>KRISTIANSTAD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46260</v>
      </c>
      <c r="F162" t="inlineStr">
        <is>
          <t>SKÅNE LÄN</t>
        </is>
      </c>
      <c r="G162" t="inlineStr">
        <is>
          <t>KRISTIANSTAD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27960-2022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44744</v>
      </c>
      <c r="E163" s="1" t="n">
        <v>46260</v>
      </c>
      <c r="F163" t="inlineStr">
        <is>
          <t>SKÅNE LÄN</t>
        </is>
      </c>
      <c r="G163" t="inlineStr">
        <is>
          <t>KRISTIANSTAD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44767</v>
      </c>
      <c r="E164" s="1" t="n">
        <v>46260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44361-2021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44435</v>
      </c>
      <c r="E165" s="1" t="n">
        <v>46260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44329-2021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44435</v>
      </c>
      <c r="E166" s="1" t="n">
        <v>46260</v>
      </c>
      <c r="F166" t="inlineStr">
        <is>
          <t>SKÅNE LÄN</t>
        </is>
      </c>
      <c r="G166" t="inlineStr">
        <is>
          <t>KRISTIANSTAD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8206-2022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44609</v>
      </c>
      <c r="E167" s="1" t="n">
        <v>46260</v>
      </c>
      <c r="F167" t="inlineStr">
        <is>
          <t>SKÅNE LÄN</t>
        </is>
      </c>
      <c r="G167" t="inlineStr">
        <is>
          <t>KRISTIANSTAD</t>
        </is>
      </c>
      <c r="H167" t="inlineStr">
        <is>
          <t>Kyrkan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44628</v>
      </c>
      <c r="E168" s="1" t="n">
        <v>46260</v>
      </c>
      <c r="F168" t="inlineStr">
        <is>
          <t>SKÅNE LÄN</t>
        </is>
      </c>
      <c r="G168" t="inlineStr">
        <is>
          <t>KRISTIANSTAD</t>
        </is>
      </c>
      <c r="I168" t="n">
        <v>14.5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44572</v>
      </c>
      <c r="E169" s="1" t="n">
        <v>46260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44607</v>
      </c>
      <c r="E170" s="1" t="n">
        <v>46260</v>
      </c>
      <c r="F170" t="inlineStr">
        <is>
          <t>SKÅNE LÄN</t>
        </is>
      </c>
      <c r="G170" t="inlineStr">
        <is>
          <t>KRISTIANSTAD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44592</v>
      </c>
      <c r="E171" s="1" t="n">
        <v>46260</v>
      </c>
      <c r="F171" t="inlineStr">
        <is>
          <t>SKÅNE LÄN</t>
        </is>
      </c>
      <c r="G171" t="inlineStr">
        <is>
          <t>KRISTIANSTAD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44623</v>
      </c>
      <c r="E172" s="1" t="n">
        <v>46260</v>
      </c>
      <c r="F172" t="inlineStr">
        <is>
          <t>SKÅNE LÄN</t>
        </is>
      </c>
      <c r="G172" t="inlineStr">
        <is>
          <t>KRISTIANSTAD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10355-2022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44623</v>
      </c>
      <c r="E173" s="1" t="n">
        <v>46260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43663-2022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44837</v>
      </c>
      <c r="E174" s="1" t="n">
        <v>46260</v>
      </c>
      <c r="F174" t="inlineStr">
        <is>
          <t>SKÅNE LÄN</t>
        </is>
      </c>
      <c r="G174" t="inlineStr">
        <is>
          <t>KRISTIANSTAD</t>
        </is>
      </c>
      <c r="H174" t="inlineStr">
        <is>
          <t>Övriga Aktiebolag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44627</v>
      </c>
      <c r="E175" s="1" t="n">
        <v>46260</v>
      </c>
      <c r="F175" t="inlineStr">
        <is>
          <t>SKÅNE LÄN</t>
        </is>
      </c>
      <c r="G175" t="inlineStr">
        <is>
          <t>KRISTIANSTAD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46190-2021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44442</v>
      </c>
      <c r="E176" s="1" t="n">
        <v>46260</v>
      </c>
      <c r="F176" t="inlineStr">
        <is>
          <t>SKÅNE LÄN</t>
        </is>
      </c>
      <c r="G176" t="inlineStr">
        <is>
          <t>KRISTIANSTAD</t>
        </is>
      </c>
      <c r="H176" t="inlineStr">
        <is>
          <t>Sveaskog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55670-2022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46260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44744</v>
      </c>
      <c r="E178" s="1" t="n">
        <v>46260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51318-2021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44461</v>
      </c>
      <c r="E179" s="1" t="n">
        <v>46260</v>
      </c>
      <c r="F179" t="inlineStr">
        <is>
          <t>SKÅNE LÄN</t>
        </is>
      </c>
      <c r="G179" t="inlineStr">
        <is>
          <t>KRISTIANSTAD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59831-2021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44491</v>
      </c>
      <c r="E180" s="1" t="n">
        <v>46260</v>
      </c>
      <c r="F180" t="inlineStr">
        <is>
          <t>SKÅNE LÄN</t>
        </is>
      </c>
      <c r="G180" t="inlineStr">
        <is>
          <t>KRISTIANSTAD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44596</v>
      </c>
      <c r="E181" s="1" t="n">
        <v>46260</v>
      </c>
      <c r="F181" t="inlineStr">
        <is>
          <t>SKÅNE LÄN</t>
        </is>
      </c>
      <c r="G181" t="inlineStr">
        <is>
          <t>KRISTIANSTAD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44841</v>
      </c>
      <c r="E182" s="1" t="n">
        <v>46260</v>
      </c>
      <c r="F182" t="inlineStr">
        <is>
          <t>SKÅNE LÄN</t>
        </is>
      </c>
      <c r="G182" t="inlineStr">
        <is>
          <t>KRISTIANSTAD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44866</v>
      </c>
      <c r="E183" s="1" t="n">
        <v>46260</v>
      </c>
      <c r="F183" t="inlineStr">
        <is>
          <t>SKÅNE LÄN</t>
        </is>
      </c>
      <c r="G183" t="inlineStr">
        <is>
          <t>KRISTIANSTAD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46260</v>
      </c>
      <c r="F184" t="inlineStr">
        <is>
          <t>SKÅNE LÄN</t>
        </is>
      </c>
      <c r="G184" t="inlineStr">
        <is>
          <t>KRISTIANSTAD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44706</v>
      </c>
      <c r="E185" s="1" t="n">
        <v>46260</v>
      </c>
      <c r="F185" t="inlineStr">
        <is>
          <t>SKÅNE LÄN</t>
        </is>
      </c>
      <c r="G185" t="inlineStr">
        <is>
          <t>KRISTIANSTAD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54057-2021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44470</v>
      </c>
      <c r="E186" s="1" t="n">
        <v>46260</v>
      </c>
      <c r="F186" t="inlineStr">
        <is>
          <t>SKÅNE LÄN</t>
        </is>
      </c>
      <c r="G186" t="inlineStr">
        <is>
          <t>KRISTIANSTAD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30863-2022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44767</v>
      </c>
      <c r="E187" s="1" t="n">
        <v>46260</v>
      </c>
      <c r="F187" t="inlineStr">
        <is>
          <t>SKÅNE LÄN</t>
        </is>
      </c>
      <c r="G187" t="inlineStr">
        <is>
          <t>KRISTIANSTAD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48173-2021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44449</v>
      </c>
      <c r="E188" s="1" t="n">
        <v>46260</v>
      </c>
      <c r="F188" t="inlineStr">
        <is>
          <t>SKÅNE LÄN</t>
        </is>
      </c>
      <c r="G188" t="inlineStr">
        <is>
          <t>KRISTIANSTAD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44713</v>
      </c>
      <c r="E189" s="1" t="n">
        <v>46260</v>
      </c>
      <c r="F189" t="inlineStr">
        <is>
          <t>SKÅNE LÄN</t>
        </is>
      </c>
      <c r="G189" t="inlineStr">
        <is>
          <t>KRISTIANSTAD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44838</v>
      </c>
      <c r="E190" s="1" t="n">
        <v>46260</v>
      </c>
      <c r="F190" t="inlineStr">
        <is>
          <t>SKÅNE LÄN</t>
        </is>
      </c>
      <c r="G190" t="inlineStr">
        <is>
          <t>KRISTIANSTAD</t>
        </is>
      </c>
      <c r="H190" t="inlineStr">
        <is>
          <t>Sveaskog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67024-2021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44522</v>
      </c>
      <c r="E191" s="1" t="n">
        <v>46260</v>
      </c>
      <c r="F191" t="inlineStr">
        <is>
          <t>SKÅNE LÄN</t>
        </is>
      </c>
      <c r="G191" t="inlineStr">
        <is>
          <t>KRISTIANSTAD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28853-2022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44749</v>
      </c>
      <c r="E192" s="1" t="n">
        <v>46260</v>
      </c>
      <c r="F192" t="inlineStr">
        <is>
          <t>SKÅNE LÄN</t>
        </is>
      </c>
      <c r="G192" t="inlineStr">
        <is>
          <t>KRISTIANSTAD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66449-2021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44518</v>
      </c>
      <c r="E193" s="1" t="n">
        <v>46260</v>
      </c>
      <c r="F193" t="inlineStr">
        <is>
          <t>SKÅNE LÄN</t>
        </is>
      </c>
      <c r="G193" t="inlineStr">
        <is>
          <t>KRISTIANSTAD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44587</v>
      </c>
      <c r="E194" s="1" t="n">
        <v>46260</v>
      </c>
      <c r="F194" t="inlineStr">
        <is>
          <t>SKÅNE LÄN</t>
        </is>
      </c>
      <c r="G194" t="inlineStr">
        <is>
          <t>KRISTIANSTAD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18322-2022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44685</v>
      </c>
      <c r="E195" s="1" t="n">
        <v>46260</v>
      </c>
      <c r="F195" t="inlineStr">
        <is>
          <t>SKÅNE LÄN</t>
        </is>
      </c>
      <c r="G195" t="inlineStr">
        <is>
          <t>KRISTIANSTAD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67994-2021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46260</v>
      </c>
      <c r="F196" t="inlineStr">
        <is>
          <t>SKÅNE LÄN</t>
        </is>
      </c>
      <c r="G196" t="inlineStr">
        <is>
          <t>KRISTIANSTAD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13433-2022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44645</v>
      </c>
      <c r="E197" s="1" t="n">
        <v>46260</v>
      </c>
      <c r="F197" t="inlineStr">
        <is>
          <t>SKÅNE LÄN</t>
        </is>
      </c>
      <c r="G197" t="inlineStr">
        <is>
          <t>KRISTIANSTAD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19910-2022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44697</v>
      </c>
      <c r="E198" s="1" t="n">
        <v>46260</v>
      </c>
      <c r="F198" t="inlineStr">
        <is>
          <t>SKÅNE LÄN</t>
        </is>
      </c>
      <c r="G198" t="inlineStr">
        <is>
          <t>KRISTIANSTAD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10970-2022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44628</v>
      </c>
      <c r="E199" s="1" t="n">
        <v>46260</v>
      </c>
      <c r="F199" t="inlineStr">
        <is>
          <t>SKÅNE LÄN</t>
        </is>
      </c>
      <c r="G199" t="inlineStr">
        <is>
          <t>KRISTIANSTAD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16579-2022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44672</v>
      </c>
      <c r="E200" s="1" t="n">
        <v>46260</v>
      </c>
      <c r="F200" t="inlineStr">
        <is>
          <t>SKÅNE LÄN</t>
        </is>
      </c>
      <c r="G200" t="inlineStr">
        <is>
          <t>KRISTIANSTAD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45416</v>
      </c>
      <c r="E201" s="1" t="n">
        <v>46260</v>
      </c>
      <c r="F201" t="inlineStr">
        <is>
          <t>SKÅNE LÄN</t>
        </is>
      </c>
      <c r="G201" t="inlineStr">
        <is>
          <t>KRISTIANSTAD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45338</v>
      </c>
      <c r="E202" s="1" t="n">
        <v>46260</v>
      </c>
      <c r="F202" t="inlineStr">
        <is>
          <t>SKÅNE LÄN</t>
        </is>
      </c>
      <c r="G202" t="inlineStr">
        <is>
          <t>KRISTIANSTAD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6616-2022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44601</v>
      </c>
      <c r="E203" s="1" t="n">
        <v>46260</v>
      </c>
      <c r="F203" t="inlineStr">
        <is>
          <t>SKÅNE LÄN</t>
        </is>
      </c>
      <c r="G203" t="inlineStr">
        <is>
          <t>KRISTIANSTAD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30858-2023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45112</v>
      </c>
      <c r="E204" s="1" t="n">
        <v>46260</v>
      </c>
      <c r="F204" t="inlineStr">
        <is>
          <t>SKÅNE LÄN</t>
        </is>
      </c>
      <c r="G204" t="inlineStr">
        <is>
          <t>KRISTIANSTAD</t>
        </is>
      </c>
      <c r="H204" t="inlineStr">
        <is>
          <t>Sveaskog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33752-2024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45520</v>
      </c>
      <c r="E205" s="1" t="n">
        <v>46260</v>
      </c>
      <c r="F205" t="inlineStr">
        <is>
          <t>SKÅNE LÄN</t>
        </is>
      </c>
      <c r="G205" t="inlineStr">
        <is>
          <t>KRISTIANSTAD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46260</v>
      </c>
      <c r="F206" t="inlineStr">
        <is>
          <t>SKÅNE LÄN</t>
        </is>
      </c>
      <c r="G206" t="inlineStr">
        <is>
          <t>KRISTIANSTAD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44339-2023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46260</v>
      </c>
      <c r="F207" t="inlineStr">
        <is>
          <t>SKÅNE LÄN</t>
        </is>
      </c>
      <c r="G207" t="inlineStr">
        <is>
          <t>KRISTIANSTAD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45665</v>
      </c>
      <c r="E208" s="1" t="n">
        <v>46260</v>
      </c>
      <c r="F208" t="inlineStr">
        <is>
          <t>SKÅNE LÄN</t>
        </is>
      </c>
      <c r="G208" t="inlineStr">
        <is>
          <t>KRISTIANSTAD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44824</v>
      </c>
      <c r="E209" s="1" t="n">
        <v>46260</v>
      </c>
      <c r="F209" t="inlineStr">
        <is>
          <t>SKÅNE LÄN</t>
        </is>
      </c>
      <c r="G209" t="inlineStr">
        <is>
          <t>KRISTIANSTAD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46260</v>
      </c>
      <c r="F210" t="inlineStr">
        <is>
          <t>SKÅNE LÄN</t>
        </is>
      </c>
      <c r="G210" t="inlineStr">
        <is>
          <t>KRISTIANSTAD</t>
        </is>
      </c>
      <c r="I210" t="n">
        <v>12.6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46260</v>
      </c>
      <c r="F211" t="inlineStr">
        <is>
          <t>SKÅNE LÄN</t>
        </is>
      </c>
      <c r="G211" t="inlineStr">
        <is>
          <t>KRISTIANSTAD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45127</v>
      </c>
      <c r="E212" s="1" t="n">
        <v>46260</v>
      </c>
      <c r="F212" t="inlineStr">
        <is>
          <t>SKÅNE LÄN</t>
        </is>
      </c>
      <c r="G212" t="inlineStr">
        <is>
          <t>KRISTIANSTAD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44744</v>
      </c>
      <c r="E213" s="1" t="n">
        <v>46260</v>
      </c>
      <c r="F213" t="inlineStr">
        <is>
          <t>SKÅNE LÄN</t>
        </is>
      </c>
      <c r="G213" t="inlineStr">
        <is>
          <t>KRISTIANSTAD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45577</v>
      </c>
      <c r="E214" s="1" t="n">
        <v>46260</v>
      </c>
      <c r="F214" t="inlineStr">
        <is>
          <t>SKÅNE LÄN</t>
        </is>
      </c>
      <c r="G214" t="inlineStr">
        <is>
          <t>KRISTIANSTAD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45419</v>
      </c>
      <c r="E215" s="1" t="n">
        <v>46260</v>
      </c>
      <c r="F215" t="inlineStr">
        <is>
          <t>SKÅNE LÄN</t>
        </is>
      </c>
      <c r="G215" t="inlineStr">
        <is>
          <t>KRISTIANSTAD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46260</v>
      </c>
      <c r="F216" t="inlineStr">
        <is>
          <t>SKÅNE LÄN</t>
        </is>
      </c>
      <c r="G216" t="inlineStr">
        <is>
          <t>KRISTIANSTAD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45307</v>
      </c>
      <c r="E217" s="1" t="n">
        <v>46260</v>
      </c>
      <c r="F217" t="inlineStr">
        <is>
          <t>SKÅNE LÄN</t>
        </is>
      </c>
      <c r="G217" t="inlineStr">
        <is>
          <t>KRISTIANSTAD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45198</v>
      </c>
      <c r="E218" s="1" t="n">
        <v>46260</v>
      </c>
      <c r="F218" t="inlineStr">
        <is>
          <t>SKÅNE LÄN</t>
        </is>
      </c>
      <c r="G218" t="inlineStr">
        <is>
          <t>KRISTIANSTAD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46260</v>
      </c>
      <c r="F219" t="inlineStr">
        <is>
          <t>SKÅNE LÄN</t>
        </is>
      </c>
      <c r="G219" t="inlineStr">
        <is>
          <t>KRISTIANSTAD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33592-2023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45132</v>
      </c>
      <c r="E220" s="1" t="n">
        <v>46260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45121</v>
      </c>
      <c r="E221" s="1" t="n">
        <v>46260</v>
      </c>
      <c r="F221" t="inlineStr">
        <is>
          <t>SKÅNE LÄN</t>
        </is>
      </c>
      <c r="G221" t="inlineStr">
        <is>
          <t>KRISTIANSTAD</t>
        </is>
      </c>
      <c r="H221" t="inlineStr">
        <is>
          <t>Sveaskog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45342</v>
      </c>
      <c r="E222" s="1" t="n">
        <v>46260</v>
      </c>
      <c r="F222" t="inlineStr">
        <is>
          <t>SKÅNE LÄN</t>
        </is>
      </c>
      <c r="G222" t="inlineStr">
        <is>
          <t>KRISTIANSTAD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35026-2023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45144</v>
      </c>
      <c r="E223" s="1" t="n">
        <v>46260</v>
      </c>
      <c r="F223" t="inlineStr">
        <is>
          <t>SKÅNE LÄN</t>
        </is>
      </c>
      <c r="G223" t="inlineStr">
        <is>
          <t>KRISTIANSTAD</t>
        </is>
      </c>
      <c r="H223" t="inlineStr">
        <is>
          <t>Övriga Aktiebolag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13431-2022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44645</v>
      </c>
      <c r="E224" s="1" t="n">
        <v>46260</v>
      </c>
      <c r="F224" t="inlineStr">
        <is>
          <t>SKÅNE LÄN</t>
        </is>
      </c>
      <c r="G224" t="inlineStr">
        <is>
          <t>KRISTIANSTAD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19257-2023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45049</v>
      </c>
      <c r="E225" s="1" t="n">
        <v>46260</v>
      </c>
      <c r="F225" t="inlineStr">
        <is>
          <t>SKÅNE LÄN</t>
        </is>
      </c>
      <c r="G225" t="inlineStr">
        <is>
          <t>KRISTIANSTAD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45764-2022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44846</v>
      </c>
      <c r="E226" s="1" t="n">
        <v>46260</v>
      </c>
      <c r="F226" t="inlineStr">
        <is>
          <t>SKÅNE LÄN</t>
        </is>
      </c>
      <c r="G226" t="inlineStr">
        <is>
          <t>KRISTIANSTAD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45110</v>
      </c>
      <c r="E227" s="1" t="n">
        <v>46260</v>
      </c>
      <c r="F227" t="inlineStr">
        <is>
          <t>SKÅNE LÄN</t>
        </is>
      </c>
      <c r="G227" t="inlineStr">
        <is>
          <t>KRISTIANSTAD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44743</v>
      </c>
      <c r="E228" s="1" t="n">
        <v>46260</v>
      </c>
      <c r="F228" t="inlineStr">
        <is>
          <t>SKÅNE LÄN</t>
        </is>
      </c>
      <c r="G228" t="inlineStr">
        <is>
          <t>KRISTIANSTAD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45300</v>
      </c>
      <c r="E229" s="1" t="n">
        <v>46260</v>
      </c>
      <c r="F229" t="inlineStr">
        <is>
          <t>SKÅNE LÄN</t>
        </is>
      </c>
      <c r="G229" t="inlineStr">
        <is>
          <t>KRISTIANSTAD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45652</v>
      </c>
      <c r="E230" s="1" t="n">
        <v>46260</v>
      </c>
      <c r="F230" t="inlineStr">
        <is>
          <t>SKÅNE LÄN</t>
        </is>
      </c>
      <c r="G230" t="inlineStr">
        <is>
          <t>KRISTIANSTAD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45761</v>
      </c>
      <c r="E231" s="1" t="n">
        <v>46260</v>
      </c>
      <c r="F231" t="inlineStr">
        <is>
          <t>SKÅNE LÄN</t>
        </is>
      </c>
      <c r="G231" t="inlineStr">
        <is>
          <t>KRISTIANSTAD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11786-2022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44634</v>
      </c>
      <c r="E232" s="1" t="n">
        <v>46260</v>
      </c>
      <c r="F232" t="inlineStr">
        <is>
          <t>SKÅNE LÄN</t>
        </is>
      </c>
      <c r="G232" t="inlineStr">
        <is>
          <t>KRISTIANSTAD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44961</v>
      </c>
      <c r="E233" s="1" t="n">
        <v>46260</v>
      </c>
      <c r="F233" t="inlineStr">
        <is>
          <t>SKÅNE LÄN</t>
        </is>
      </c>
      <c r="G233" t="inlineStr">
        <is>
          <t>KRISTIANSTAD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45665</v>
      </c>
      <c r="E234" s="1" t="n">
        <v>46260</v>
      </c>
      <c r="F234" t="inlineStr">
        <is>
          <t>SKÅNE LÄN</t>
        </is>
      </c>
      <c r="G234" t="inlineStr">
        <is>
          <t>KRISTIANSTAD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47235-2024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45586</v>
      </c>
      <c r="E235" s="1" t="n">
        <v>46260</v>
      </c>
      <c r="F235" t="inlineStr">
        <is>
          <t>SKÅNE LÄN</t>
        </is>
      </c>
      <c r="G235" t="inlineStr">
        <is>
          <t>KRISTIANSTAD</t>
        </is>
      </c>
      <c r="H235" t="inlineStr">
        <is>
          <t>Övriga Aktiebolag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45490</v>
      </c>
      <c r="E236" s="1" t="n">
        <v>46260</v>
      </c>
      <c r="F236" t="inlineStr">
        <is>
          <t>SKÅNE LÄN</t>
        </is>
      </c>
      <c r="G236" t="inlineStr">
        <is>
          <t>KRISTIANSTAD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14524-2022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44655</v>
      </c>
      <c r="E237" s="1" t="n">
        <v>46260</v>
      </c>
      <c r="F237" t="inlineStr">
        <is>
          <t>SKÅNE LÄN</t>
        </is>
      </c>
      <c r="G237" t="inlineStr">
        <is>
          <t>KRISTIANSTAD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45693</v>
      </c>
      <c r="E238" s="1" t="n">
        <v>46260</v>
      </c>
      <c r="F238" t="inlineStr">
        <is>
          <t>SKÅNE LÄN</t>
        </is>
      </c>
      <c r="G238" t="inlineStr">
        <is>
          <t>KRISTIANSTAD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25765-2024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45465</v>
      </c>
      <c r="E239" s="1" t="n">
        <v>46260</v>
      </c>
      <c r="F239" t="inlineStr">
        <is>
          <t>SKÅNE LÄN</t>
        </is>
      </c>
      <c r="G239" t="inlineStr">
        <is>
          <t>KRISTIANSTAD</t>
        </is>
      </c>
      <c r="I239" t="n">
        <v>16.6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15951-2024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45405</v>
      </c>
      <c r="E240" s="1" t="n">
        <v>46260</v>
      </c>
      <c r="F240" t="inlineStr">
        <is>
          <t>SKÅNE LÄN</t>
        </is>
      </c>
      <c r="G240" t="inlineStr">
        <is>
          <t>KRISTIANSTAD</t>
        </is>
      </c>
      <c r="I240" t="n">
        <v>12.2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13820-2023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45007</v>
      </c>
      <c r="E241" s="1" t="n">
        <v>46260</v>
      </c>
      <c r="F241" t="inlineStr">
        <is>
          <t>SKÅNE LÄN</t>
        </is>
      </c>
      <c r="G241" t="inlineStr">
        <is>
          <t>KRISTIANSTAD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8110-2025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45707</v>
      </c>
      <c r="E242" s="1" t="n">
        <v>46260</v>
      </c>
      <c r="F242" t="inlineStr">
        <is>
          <t>SKÅNE LÄN</t>
        </is>
      </c>
      <c r="G242" t="inlineStr">
        <is>
          <t>KRISTIANSTAD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37999-2024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45544</v>
      </c>
      <c r="E243" s="1" t="n">
        <v>46260</v>
      </c>
      <c r="F243" t="inlineStr">
        <is>
          <t>SKÅNE LÄN</t>
        </is>
      </c>
      <c r="G243" t="inlineStr">
        <is>
          <t>KRISTIANSTAD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25671-2023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45089</v>
      </c>
      <c r="E244" s="1" t="n">
        <v>46260</v>
      </c>
      <c r="F244" t="inlineStr">
        <is>
          <t>SKÅNE LÄN</t>
        </is>
      </c>
      <c r="G244" t="inlineStr">
        <is>
          <t>KRISTIANSTAD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45173</v>
      </c>
      <c r="E245" s="1" t="n">
        <v>46260</v>
      </c>
      <c r="F245" t="inlineStr">
        <is>
          <t>SKÅNE LÄN</t>
        </is>
      </c>
      <c r="G245" t="inlineStr">
        <is>
          <t>KRISTIANSTAD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45343</v>
      </c>
      <c r="E246" s="1" t="n">
        <v>46260</v>
      </c>
      <c r="F246" t="inlineStr">
        <is>
          <t>SKÅNE LÄN</t>
        </is>
      </c>
      <c r="G246" t="inlineStr">
        <is>
          <t>KRISTIANSTAD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45357</v>
      </c>
      <c r="E247" s="1" t="n">
        <v>46260</v>
      </c>
      <c r="F247" t="inlineStr">
        <is>
          <t>SKÅNE LÄN</t>
        </is>
      </c>
      <c r="G247" t="inlineStr">
        <is>
          <t>KRISTIANSTAD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45116</v>
      </c>
      <c r="E248" s="1" t="n">
        <v>46260</v>
      </c>
      <c r="F248" t="inlineStr">
        <is>
          <t>SKÅNE LÄN</t>
        </is>
      </c>
      <c r="G248" t="inlineStr">
        <is>
          <t>KRISTIANSTAD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46260</v>
      </c>
      <c r="F249" t="inlineStr">
        <is>
          <t>SKÅNE LÄN</t>
        </is>
      </c>
      <c r="G249" t="inlineStr">
        <is>
          <t>KRISTIANSTAD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46260</v>
      </c>
      <c r="F250" t="inlineStr">
        <is>
          <t>SKÅNE LÄN</t>
        </is>
      </c>
      <c r="G250" t="inlineStr">
        <is>
          <t>KRISTIANSTAD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45233</v>
      </c>
      <c r="E251" s="1" t="n">
        <v>46260</v>
      </c>
      <c r="F251" t="inlineStr">
        <is>
          <t>SKÅNE LÄN</t>
        </is>
      </c>
      <c r="G251" t="inlineStr">
        <is>
          <t>KRISTIANSTAD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45233</v>
      </c>
      <c r="E252" s="1" t="n">
        <v>46260</v>
      </c>
      <c r="F252" t="inlineStr">
        <is>
          <t>SKÅNE LÄN</t>
        </is>
      </c>
      <c r="G252" t="inlineStr">
        <is>
          <t>KRISTIANSTAD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46469-2024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46260</v>
      </c>
      <c r="F253" t="inlineStr">
        <is>
          <t>SKÅNE LÄN</t>
        </is>
      </c>
      <c r="G253" t="inlineStr">
        <is>
          <t>KRISTIANSTAD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48853-2023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46260</v>
      </c>
      <c r="F254" t="inlineStr">
        <is>
          <t>SKÅNE LÄN</t>
        </is>
      </c>
      <c r="G254" t="inlineStr">
        <is>
          <t>KRISTIANSTAD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40419-2024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45555</v>
      </c>
      <c r="E255" s="1" t="n">
        <v>46260</v>
      </c>
      <c r="F255" t="inlineStr">
        <is>
          <t>SKÅNE LÄN</t>
        </is>
      </c>
      <c r="G255" t="inlineStr">
        <is>
          <t>KRISTIANSTAD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58175-2021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44487</v>
      </c>
      <c r="E256" s="1" t="n">
        <v>46260</v>
      </c>
      <c r="F256" t="inlineStr">
        <is>
          <t>SKÅNE LÄN</t>
        </is>
      </c>
      <c r="G256" t="inlineStr">
        <is>
          <t>KRISTIANSTAD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44938</v>
      </c>
      <c r="E257" s="1" t="n">
        <v>46260</v>
      </c>
      <c r="F257" t="inlineStr">
        <is>
          <t>SKÅNE LÄN</t>
        </is>
      </c>
      <c r="G257" t="inlineStr">
        <is>
          <t>KRISTIANSTAD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38000-2024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45544</v>
      </c>
      <c r="E258" s="1" t="n">
        <v>46260</v>
      </c>
      <c r="F258" t="inlineStr">
        <is>
          <t>SKÅNE LÄN</t>
        </is>
      </c>
      <c r="G258" t="inlineStr">
        <is>
          <t>KRISTIANSTAD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50543-2024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45600</v>
      </c>
      <c r="E259" s="1" t="n">
        <v>46260</v>
      </c>
      <c r="F259" t="inlineStr">
        <is>
          <t>SKÅNE LÄN</t>
        </is>
      </c>
      <c r="G259" t="inlineStr">
        <is>
          <t>KRISTIANSTAD</t>
        </is>
      </c>
      <c r="I259" t="n">
        <v>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45121</v>
      </c>
      <c r="E260" s="1" t="n">
        <v>46260</v>
      </c>
      <c r="F260" t="inlineStr">
        <is>
          <t>SKÅNE LÄN</t>
        </is>
      </c>
      <c r="G260" t="inlineStr">
        <is>
          <t>KRISTIANSTAD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45343</v>
      </c>
      <c r="E261" s="1" t="n">
        <v>46260</v>
      </c>
      <c r="F261" t="inlineStr">
        <is>
          <t>SKÅNE LÄN</t>
        </is>
      </c>
      <c r="G261" t="inlineStr">
        <is>
          <t>KRISTIANSTAD</t>
        </is>
      </c>
      <c r="H261" t="inlineStr">
        <is>
          <t>Sveaskog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7018-2024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45343</v>
      </c>
      <c r="E262" s="1" t="n">
        <v>46260</v>
      </c>
      <c r="F262" t="inlineStr">
        <is>
          <t>SKÅNE LÄN</t>
        </is>
      </c>
      <c r="G262" t="inlineStr">
        <is>
          <t>KRISTIANSTAD</t>
        </is>
      </c>
      <c r="H262" t="inlineStr">
        <is>
          <t>Sveaskog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45121</v>
      </c>
      <c r="E263" s="1" t="n">
        <v>46260</v>
      </c>
      <c r="F263" t="inlineStr">
        <is>
          <t>SKÅNE LÄN</t>
        </is>
      </c>
      <c r="G263" t="inlineStr">
        <is>
          <t>KRISTIANSTAD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46260</v>
      </c>
      <c r="F264" t="inlineStr">
        <is>
          <t>SKÅNE LÄN</t>
        </is>
      </c>
      <c r="G264" t="inlineStr">
        <is>
          <t>KRISTIANSTAD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46260</v>
      </c>
      <c r="F265" t="inlineStr">
        <is>
          <t>SKÅNE LÄN</t>
        </is>
      </c>
      <c r="G265" t="inlineStr">
        <is>
          <t>KRISTIANSTAD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45810</v>
      </c>
      <c r="E266" s="1" t="n">
        <v>46260</v>
      </c>
      <c r="F266" t="inlineStr">
        <is>
          <t>SKÅNE LÄN</t>
        </is>
      </c>
      <c r="G266" t="inlineStr">
        <is>
          <t>KRISTIANSTAD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46260</v>
      </c>
      <c r="F267" t="inlineStr">
        <is>
          <t>SKÅNE LÄN</t>
        </is>
      </c>
      <c r="G267" t="inlineStr">
        <is>
          <t>KRISTIANSTAD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46036</v>
      </c>
      <c r="E268" s="1" t="n">
        <v>46260</v>
      </c>
      <c r="F268" t="inlineStr">
        <is>
          <t>SKÅNE LÄN</t>
        </is>
      </c>
      <c r="G268" t="inlineStr">
        <is>
          <t>KRISTIANSTAD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2215-2026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46031</v>
      </c>
      <c r="E269" s="1" t="n">
        <v>46260</v>
      </c>
      <c r="F269" t="inlineStr">
        <is>
          <t>SKÅNE LÄN</t>
        </is>
      </c>
      <c r="G269" t="inlineStr">
        <is>
          <t>KRISTIANSTAD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14611-2024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45396</v>
      </c>
      <c r="E270" s="1" t="n">
        <v>46260</v>
      </c>
      <c r="F270" t="inlineStr">
        <is>
          <t>SKÅNE LÄN</t>
        </is>
      </c>
      <c r="G270" t="inlineStr">
        <is>
          <t>KRISTIANSTAD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46041</v>
      </c>
      <c r="E271" s="1" t="n">
        <v>46260</v>
      </c>
      <c r="F271" t="inlineStr">
        <is>
          <t>SKÅNE LÄN</t>
        </is>
      </c>
      <c r="G271" t="inlineStr">
        <is>
          <t>KRISTIANSTAD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26678-2025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45810</v>
      </c>
      <c r="E272" s="1" t="n">
        <v>46260</v>
      </c>
      <c r="F272" t="inlineStr">
        <is>
          <t>SKÅNE LÄN</t>
        </is>
      </c>
      <c r="G272" t="inlineStr">
        <is>
          <t>KRISTIANSTAD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46041</v>
      </c>
      <c r="E273" s="1" t="n">
        <v>46260</v>
      </c>
      <c r="F273" t="inlineStr">
        <is>
          <t>SKÅNE LÄN</t>
        </is>
      </c>
      <c r="G273" t="inlineStr">
        <is>
          <t>KRISTIANSTAD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31400-2025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45833</v>
      </c>
      <c r="E274" s="1" t="n">
        <v>46260</v>
      </c>
      <c r="F274" t="inlineStr">
        <is>
          <t>SKÅNE LÄN</t>
        </is>
      </c>
      <c r="G274" t="inlineStr">
        <is>
          <t>KRISTIANSTAD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46043</v>
      </c>
      <c r="E275" s="1" t="n">
        <v>46260</v>
      </c>
      <c r="F275" t="inlineStr">
        <is>
          <t>SKÅNE LÄN</t>
        </is>
      </c>
      <c r="G275" t="inlineStr">
        <is>
          <t>KRISTIANSTAD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46260</v>
      </c>
      <c r="F276" t="inlineStr">
        <is>
          <t>SKÅNE LÄN</t>
        </is>
      </c>
      <c r="G276" t="inlineStr">
        <is>
          <t>KRISTIANSTAD</t>
        </is>
      </c>
      <c r="I276" t="n">
        <v>12.9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46260</v>
      </c>
      <c r="F277" t="inlineStr">
        <is>
          <t>SKÅNE LÄN</t>
        </is>
      </c>
      <c r="G277" t="inlineStr">
        <is>
          <t>KRISTIANSTAD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46042</v>
      </c>
      <c r="E278" s="1" t="n">
        <v>46260</v>
      </c>
      <c r="F278" t="inlineStr">
        <is>
          <t>SKÅNE LÄN</t>
        </is>
      </c>
      <c r="G278" t="inlineStr">
        <is>
          <t>KRISTIANSTAD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46260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8.9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46043</v>
      </c>
      <c r="E280" s="1" t="n">
        <v>46260</v>
      </c>
      <c r="F280" t="inlineStr">
        <is>
          <t>SKÅNE LÄN</t>
        </is>
      </c>
      <c r="G280" t="inlineStr">
        <is>
          <t>KRISTIANSTAD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46043</v>
      </c>
      <c r="E281" s="1" t="n">
        <v>46260</v>
      </c>
      <c r="F281" t="inlineStr">
        <is>
          <t>SKÅNE LÄN</t>
        </is>
      </c>
      <c r="G281" t="inlineStr">
        <is>
          <t>KRISTIANSTAD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46260</v>
      </c>
      <c r="F282" t="inlineStr">
        <is>
          <t>SKÅNE LÄN</t>
        </is>
      </c>
      <c r="G282" t="inlineStr">
        <is>
          <t>KRISTIANSTAD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10781-2022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44627</v>
      </c>
      <c r="E283" s="1" t="n">
        <v>46260</v>
      </c>
      <c r="F283" t="inlineStr">
        <is>
          <t>SKÅNE LÄN</t>
        </is>
      </c>
      <c r="G283" t="inlineStr">
        <is>
          <t>KRISTIANSTAD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47237-2024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46260</v>
      </c>
      <c r="F284" t="inlineStr">
        <is>
          <t>SKÅNE LÄN</t>
        </is>
      </c>
      <c r="G284" t="inlineStr">
        <is>
          <t>KRISTIANSTAD</t>
        </is>
      </c>
      <c r="H284" t="inlineStr">
        <is>
          <t>Övriga Aktiebolag</t>
        </is>
      </c>
      <c r="I284" t="n">
        <v>11.2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53299-2023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45229</v>
      </c>
      <c r="E285" s="1" t="n">
        <v>46260</v>
      </c>
      <c r="F285" t="inlineStr">
        <is>
          <t>SKÅNE LÄN</t>
        </is>
      </c>
      <c r="G285" t="inlineStr">
        <is>
          <t>KRISTIANSTAD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46260</v>
      </c>
      <c r="F286" t="inlineStr">
        <is>
          <t>SKÅNE LÄN</t>
        </is>
      </c>
      <c r="G286" t="inlineStr">
        <is>
          <t>KRISTIANSTAD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1875-2026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46035</v>
      </c>
      <c r="E287" s="1" t="n">
        <v>46260</v>
      </c>
      <c r="F287" t="inlineStr">
        <is>
          <t>SKÅNE LÄN</t>
        </is>
      </c>
      <c r="G287" t="inlineStr">
        <is>
          <t>KRISTIANSTAD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45326</v>
      </c>
      <c r="E288" s="1" t="n">
        <v>46260</v>
      </c>
      <c r="F288" t="inlineStr">
        <is>
          <t>SKÅNE LÄN</t>
        </is>
      </c>
      <c r="G288" t="inlineStr">
        <is>
          <t>KRISTIANSTAD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45496</v>
      </c>
      <c r="E289" s="1" t="n">
        <v>46260</v>
      </c>
      <c r="F289" t="inlineStr">
        <is>
          <t>SKÅNE LÄN</t>
        </is>
      </c>
      <c r="G289" t="inlineStr">
        <is>
          <t>KRISTIANSTAD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32015-2023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45119</v>
      </c>
      <c r="E290" s="1" t="n">
        <v>46260</v>
      </c>
      <c r="F290" t="inlineStr">
        <is>
          <t>SKÅNE LÄN</t>
        </is>
      </c>
      <c r="G290" t="inlineStr">
        <is>
          <t>KRISTIANSTAD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65097-2021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44513</v>
      </c>
      <c r="E291" s="1" t="n">
        <v>46260</v>
      </c>
      <c r="F291" t="inlineStr">
        <is>
          <t>SKÅNE LÄN</t>
        </is>
      </c>
      <c r="G291" t="inlineStr">
        <is>
          <t>KRISTIANSTAD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9794-2023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44984</v>
      </c>
      <c r="E292" s="1" t="n">
        <v>46260</v>
      </c>
      <c r="F292" t="inlineStr">
        <is>
          <t>SKÅNE LÄN</t>
        </is>
      </c>
      <c r="G292" t="inlineStr">
        <is>
          <t>KRISTIANSTAD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70705-2021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46260</v>
      </c>
      <c r="F293" t="inlineStr">
        <is>
          <t>SKÅNE LÄN</t>
        </is>
      </c>
      <c r="G293" t="inlineStr">
        <is>
          <t>KRISTIANSTAD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46260</v>
      </c>
      <c r="F294" t="inlineStr">
        <is>
          <t>SKÅNE LÄN</t>
        </is>
      </c>
      <c r="G294" t="inlineStr">
        <is>
          <t>KRISTIANSTAD</t>
        </is>
      </c>
      <c r="H294" t="inlineStr">
        <is>
          <t>Övriga Aktiebolag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39332-2025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45889</v>
      </c>
      <c r="E295" s="1" t="n">
        <v>46260</v>
      </c>
      <c r="F295" t="inlineStr">
        <is>
          <t>SKÅNE LÄN</t>
        </is>
      </c>
      <c r="G295" t="inlineStr">
        <is>
          <t>KRISTIANSTAD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45561</v>
      </c>
      <c r="E296" s="1" t="n">
        <v>46260</v>
      </c>
      <c r="F296" t="inlineStr">
        <is>
          <t>SKÅNE LÄN</t>
        </is>
      </c>
      <c r="G296" t="inlineStr">
        <is>
          <t>KRISTIANSTAD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35677-2024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45532</v>
      </c>
      <c r="E297" s="1" t="n">
        <v>46260</v>
      </c>
      <c r="F297" t="inlineStr">
        <is>
          <t>SKÅNE LÄN</t>
        </is>
      </c>
      <c r="G297" t="inlineStr">
        <is>
          <t>KRISTIANSTAD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45532</v>
      </c>
      <c r="E298" s="1" t="n">
        <v>46260</v>
      </c>
      <c r="F298" t="inlineStr">
        <is>
          <t>SKÅNE LÄN</t>
        </is>
      </c>
      <c r="G298" t="inlineStr">
        <is>
          <t>KRISTIANSTAD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45338</v>
      </c>
      <c r="E299" s="1" t="n">
        <v>46260</v>
      </c>
      <c r="F299" t="inlineStr">
        <is>
          <t>SKÅNE LÄN</t>
        </is>
      </c>
      <c r="G299" t="inlineStr">
        <is>
          <t>KRISTIANSTAD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45496-2024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45577</v>
      </c>
      <c r="E300" s="1" t="n">
        <v>46260</v>
      </c>
      <c r="F300" t="inlineStr">
        <is>
          <t>SKÅNE LÄN</t>
        </is>
      </c>
      <c r="G300" t="inlineStr">
        <is>
          <t>KRISTIANSTAD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44572</v>
      </c>
      <c r="E301" s="1" t="n">
        <v>46260</v>
      </c>
      <c r="F301" t="inlineStr">
        <is>
          <t>SKÅNE LÄN</t>
        </is>
      </c>
      <c r="G301" t="inlineStr">
        <is>
          <t>KRISTIANSTAD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12615-2023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45000</v>
      </c>
      <c r="E302" s="1" t="n">
        <v>46260</v>
      </c>
      <c r="F302" t="inlineStr">
        <is>
          <t>SKÅNE LÄN</t>
        </is>
      </c>
      <c r="G302" t="inlineStr">
        <is>
          <t>KRISTIANSTAD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46260</v>
      </c>
      <c r="F303" t="inlineStr">
        <is>
          <t>SKÅNE LÄN</t>
        </is>
      </c>
      <c r="G303" t="inlineStr">
        <is>
          <t>KRISTIANSTAD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18059-2024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45420</v>
      </c>
      <c r="E304" s="1" t="n">
        <v>46260</v>
      </c>
      <c r="F304" t="inlineStr">
        <is>
          <t>SKÅNE LÄN</t>
        </is>
      </c>
      <c r="G304" t="inlineStr">
        <is>
          <t>KRISTIANSTAD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46260</v>
      </c>
      <c r="F305" t="inlineStr">
        <is>
          <t>SKÅNE LÄN</t>
        </is>
      </c>
      <c r="G305" t="inlineStr">
        <is>
          <t>KRISTIANSTAD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46260</v>
      </c>
      <c r="F306" t="inlineStr">
        <is>
          <t>SKÅNE LÄN</t>
        </is>
      </c>
      <c r="G306" t="inlineStr">
        <is>
          <t>KRISTIANSTAD</t>
        </is>
      </c>
      <c r="I306" t="n">
        <v>12.8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45323</v>
      </c>
      <c r="E307" s="1" t="n">
        <v>46260</v>
      </c>
      <c r="F307" t="inlineStr">
        <is>
          <t>SKÅNE LÄN</t>
        </is>
      </c>
      <c r="G307" t="inlineStr">
        <is>
          <t>KRISTIANSTAD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27529-2022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44742</v>
      </c>
      <c r="E308" s="1" t="n">
        <v>46260</v>
      </c>
      <c r="F308" t="inlineStr">
        <is>
          <t>SKÅNE LÄN</t>
        </is>
      </c>
      <c r="G308" t="inlineStr">
        <is>
          <t>KRISTIANSTAD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40500-2025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45896</v>
      </c>
      <c r="E309" s="1" t="n">
        <v>46260</v>
      </c>
      <c r="F309" t="inlineStr">
        <is>
          <t>SKÅNE LÄN</t>
        </is>
      </c>
      <c r="G309" t="inlineStr">
        <is>
          <t>KRISTIANSTAD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46260</v>
      </c>
      <c r="F310" t="inlineStr">
        <is>
          <t>SKÅNE LÄN</t>
        </is>
      </c>
      <c r="G310" t="inlineStr">
        <is>
          <t>KRISTIANSTAD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22277-2024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45446</v>
      </c>
      <c r="E311" s="1" t="n">
        <v>46260</v>
      </c>
      <c r="F311" t="inlineStr">
        <is>
          <t>SKÅNE LÄN</t>
        </is>
      </c>
      <c r="G311" t="inlineStr">
        <is>
          <t>KRISTIANSTAD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46057</v>
      </c>
      <c r="E312" s="1" t="n">
        <v>46260</v>
      </c>
      <c r="F312" t="inlineStr">
        <is>
          <t>SKÅNE LÄN</t>
        </is>
      </c>
      <c r="G312" t="inlineStr">
        <is>
          <t>KRISTIANSTAD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41245-2025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45898</v>
      </c>
      <c r="E313" s="1" t="n">
        <v>46260</v>
      </c>
      <c r="F313" t="inlineStr">
        <is>
          <t>SKÅNE LÄN</t>
        </is>
      </c>
      <c r="G313" t="inlineStr">
        <is>
          <t>KRISTIANSTAD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45900</v>
      </c>
      <c r="E314" s="1" t="n">
        <v>46260</v>
      </c>
      <c r="F314" t="inlineStr">
        <is>
          <t>SKÅNE LÄN</t>
        </is>
      </c>
      <c r="G314" t="inlineStr">
        <is>
          <t>KRISTIANSTAD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41362-2025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45900</v>
      </c>
      <c r="E315" s="1" t="n">
        <v>46260</v>
      </c>
      <c r="F315" t="inlineStr">
        <is>
          <t>SKÅNE LÄN</t>
        </is>
      </c>
      <c r="G315" t="inlineStr">
        <is>
          <t>KRISTIANSTAD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41359-2025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45900</v>
      </c>
      <c r="E316" s="1" t="n">
        <v>46260</v>
      </c>
      <c r="F316" t="inlineStr">
        <is>
          <t>SKÅNE LÄN</t>
        </is>
      </c>
      <c r="G316" t="inlineStr">
        <is>
          <t>KRISTIANSTAD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39935-2023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46260</v>
      </c>
      <c r="F317" t="inlineStr">
        <is>
          <t>SKÅNE LÄN</t>
        </is>
      </c>
      <c r="G317" t="inlineStr">
        <is>
          <t>KRISTIANSTAD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41361-2025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45900</v>
      </c>
      <c r="E318" s="1" t="n">
        <v>46260</v>
      </c>
      <c r="F318" t="inlineStr">
        <is>
          <t>SKÅNE LÄN</t>
        </is>
      </c>
      <c r="G318" t="inlineStr">
        <is>
          <t>KRISTIANSTAD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41363-2025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45900</v>
      </c>
      <c r="E319" s="1" t="n">
        <v>46260</v>
      </c>
      <c r="F319" t="inlineStr">
        <is>
          <t>SKÅNE LÄN</t>
        </is>
      </c>
      <c r="G319" t="inlineStr">
        <is>
          <t>KRISTIANSTAD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44945</v>
      </c>
      <c r="E320" s="1" t="n">
        <v>46260</v>
      </c>
      <c r="F320" t="inlineStr">
        <is>
          <t>SKÅNE LÄN</t>
        </is>
      </c>
      <c r="G320" t="inlineStr">
        <is>
          <t>KRISTIANSTAD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45900</v>
      </c>
      <c r="E321" s="1" t="n">
        <v>46260</v>
      </c>
      <c r="F321" t="inlineStr">
        <is>
          <t>SKÅNE LÄN</t>
        </is>
      </c>
      <c r="G321" t="inlineStr">
        <is>
          <t>KRISTIANSTAD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28442-2024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45477</v>
      </c>
      <c r="E322" s="1" t="n">
        <v>46260</v>
      </c>
      <c r="F322" t="inlineStr">
        <is>
          <t>SKÅNE LÄN</t>
        </is>
      </c>
      <c r="G322" t="inlineStr">
        <is>
          <t>KRISTIANSTAD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46260</v>
      </c>
      <c r="F323" t="inlineStr">
        <is>
          <t>SKÅNE LÄN</t>
        </is>
      </c>
      <c r="G323" t="inlineStr">
        <is>
          <t>KRISTIANSTAD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45737</v>
      </c>
      <c r="E324" s="1" t="n">
        <v>46260</v>
      </c>
      <c r="F324" t="inlineStr">
        <is>
          <t>SKÅNE LÄN</t>
        </is>
      </c>
      <c r="G324" t="inlineStr">
        <is>
          <t>KRISTIANSTAD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45727</v>
      </c>
      <c r="E325" s="1" t="n">
        <v>46260</v>
      </c>
      <c r="F325" t="inlineStr">
        <is>
          <t>SKÅNE LÄN</t>
        </is>
      </c>
      <c r="G325" t="inlineStr">
        <is>
          <t>KRISTIANSTAD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23560-2025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45792</v>
      </c>
      <c r="E326" s="1" t="n">
        <v>46260</v>
      </c>
      <c r="F326" t="inlineStr">
        <is>
          <t>SKÅNE LÄN</t>
        </is>
      </c>
      <c r="G326" t="inlineStr">
        <is>
          <t>KRISTIANSTAD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44111-2025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46260</v>
      </c>
      <c r="F327" t="inlineStr">
        <is>
          <t>SKÅNE LÄN</t>
        </is>
      </c>
      <c r="G327" t="inlineStr">
        <is>
          <t>KRISTIANSTAD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43939-2025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45915</v>
      </c>
      <c r="E328" s="1" t="n">
        <v>46260</v>
      </c>
      <c r="F328" t="inlineStr">
        <is>
          <t>SKÅNE LÄN</t>
        </is>
      </c>
      <c r="G328" t="inlineStr">
        <is>
          <t>KRISTIANSTAD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24947-2023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45085</v>
      </c>
      <c r="E329" s="1" t="n">
        <v>46260</v>
      </c>
      <c r="F329" t="inlineStr">
        <is>
          <t>SKÅNE LÄN</t>
        </is>
      </c>
      <c r="G329" t="inlineStr">
        <is>
          <t>KRISTIANSTAD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44260-2025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46260</v>
      </c>
      <c r="F330" t="inlineStr">
        <is>
          <t>SKÅNE LÄN</t>
        </is>
      </c>
      <c r="G330" t="inlineStr">
        <is>
          <t>KRISTIANSTAD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10263-2026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46076</v>
      </c>
      <c r="E331" s="1" t="n">
        <v>46260</v>
      </c>
      <c r="F331" t="inlineStr">
        <is>
          <t>SKÅNE LÄN</t>
        </is>
      </c>
      <c r="G331" t="inlineStr">
        <is>
          <t>KRISTIANSTAD</t>
        </is>
      </c>
      <c r="H331" t="inlineStr">
        <is>
          <t>Övriga Aktiebolag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44817</v>
      </c>
      <c r="E332" s="1" t="n">
        <v>46260</v>
      </c>
      <c r="F332" t="inlineStr">
        <is>
          <t>SKÅNE LÄN</t>
        </is>
      </c>
      <c r="G332" t="inlineStr">
        <is>
          <t>KRISTIANSTAD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44587</v>
      </c>
      <c r="E333" s="1" t="n">
        <v>46260</v>
      </c>
      <c r="F333" t="inlineStr">
        <is>
          <t>SKÅNE LÄN</t>
        </is>
      </c>
      <c r="G333" t="inlineStr">
        <is>
          <t>KRISTIANSTAD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45069</v>
      </c>
      <c r="E334" s="1" t="n">
        <v>46260</v>
      </c>
      <c r="F334" t="inlineStr">
        <is>
          <t>SKÅNE LÄN</t>
        </is>
      </c>
      <c r="G334" t="inlineStr">
        <is>
          <t>KRISTIANSTAD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45894</v>
      </c>
      <c r="E335" s="1" t="n">
        <v>46260</v>
      </c>
      <c r="F335" t="inlineStr">
        <is>
          <t>SKÅNE LÄN</t>
        </is>
      </c>
      <c r="G335" t="inlineStr">
        <is>
          <t>KRISTIANSTAD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46260</v>
      </c>
      <c r="F336" t="inlineStr">
        <is>
          <t>SKÅNE LÄN</t>
        </is>
      </c>
      <c r="G336" t="inlineStr">
        <is>
          <t>KRISTIANSTAD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46083</v>
      </c>
      <c r="E337" s="1" t="n">
        <v>46260</v>
      </c>
      <c r="F337" t="inlineStr">
        <is>
          <t>SKÅNE LÄN</t>
        </is>
      </c>
      <c r="G337" t="inlineStr">
        <is>
          <t>KRISTIANSTAD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39997-2025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46260</v>
      </c>
      <c r="F338" t="inlineStr">
        <is>
          <t>SKÅNE LÄN</t>
        </is>
      </c>
      <c r="G338" t="inlineStr">
        <is>
          <t>KRISTIANSTAD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40005-2025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45894</v>
      </c>
      <c r="E339" s="1" t="n">
        <v>46260</v>
      </c>
      <c r="F339" t="inlineStr">
        <is>
          <t>SKÅNE LÄN</t>
        </is>
      </c>
      <c r="G339" t="inlineStr">
        <is>
          <t>KRISTIANSTAD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38173-2025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45882</v>
      </c>
      <c r="E340" s="1" t="n">
        <v>46260</v>
      </c>
      <c r="F340" t="inlineStr">
        <is>
          <t>SKÅNE LÄN</t>
        </is>
      </c>
      <c r="G340" t="inlineStr">
        <is>
          <t>KRISTIANSTAD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46260</v>
      </c>
      <c r="F341" t="inlineStr">
        <is>
          <t>SKÅNE LÄN</t>
        </is>
      </c>
      <c r="G341" t="inlineStr">
        <is>
          <t>KRISTIANSTAD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10062-2024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45364</v>
      </c>
      <c r="E342" s="1" t="n">
        <v>46260</v>
      </c>
      <c r="F342" t="inlineStr">
        <is>
          <t>SKÅNE LÄN</t>
        </is>
      </c>
      <c r="G342" t="inlineStr">
        <is>
          <t>KRISTIANSTAD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46340-2025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46260</v>
      </c>
      <c r="F343" t="inlineStr">
        <is>
          <t>SKÅNE LÄN</t>
        </is>
      </c>
      <c r="G343" t="inlineStr">
        <is>
          <t>KRISTIANSTAD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46336-2025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46260</v>
      </c>
      <c r="F344" t="inlineStr">
        <is>
          <t>SKÅNE LÄN</t>
        </is>
      </c>
      <c r="G344" t="inlineStr">
        <is>
          <t>KRISTIANSTAD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46092</v>
      </c>
      <c r="E345" s="1" t="n">
        <v>46260</v>
      </c>
      <c r="F345" t="inlineStr">
        <is>
          <t>SKÅNE LÄN</t>
        </is>
      </c>
      <c r="G345" t="inlineStr">
        <is>
          <t>KRISTIANSTAD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31374-2022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44774</v>
      </c>
      <c r="E346" s="1" t="n">
        <v>46260</v>
      </c>
      <c r="F346" t="inlineStr">
        <is>
          <t>SKÅNE LÄN</t>
        </is>
      </c>
      <c r="G346" t="inlineStr">
        <is>
          <t>KRISTIANSTAD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46092</v>
      </c>
      <c r="E347" s="1" t="n">
        <v>46260</v>
      </c>
      <c r="F347" t="inlineStr">
        <is>
          <t>SKÅNE LÄN</t>
        </is>
      </c>
      <c r="G347" t="inlineStr">
        <is>
          <t>KRISTIANSTAD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57987-2023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45247</v>
      </c>
      <c r="E348" s="1" t="n">
        <v>46260</v>
      </c>
      <c r="F348" t="inlineStr">
        <is>
          <t>SKÅNE LÄN</t>
        </is>
      </c>
      <c r="G348" t="inlineStr">
        <is>
          <t>KRISTIANSTAD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47303-2025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46260</v>
      </c>
      <c r="F349" t="inlineStr">
        <is>
          <t>SKÅNE LÄN</t>
        </is>
      </c>
      <c r="G349" t="inlineStr">
        <is>
          <t>KRISTIANSTAD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13430-2026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46260</v>
      </c>
      <c r="F350" t="inlineStr">
        <is>
          <t>SKÅNE LÄN</t>
        </is>
      </c>
      <c r="G350" t="inlineStr">
        <is>
          <t>KRISTIANSTAD</t>
        </is>
      </c>
      <c r="H350" t="inlineStr">
        <is>
          <t>Övriga Aktiebolag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47665-2025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45931</v>
      </c>
      <c r="E351" s="1" t="n">
        <v>46260</v>
      </c>
      <c r="F351" t="inlineStr">
        <is>
          <t>SKÅNE LÄN</t>
        </is>
      </c>
      <c r="G351" t="inlineStr">
        <is>
          <t>KRISTIANSTAD</t>
        </is>
      </c>
      <c r="H351" t="inlineStr">
        <is>
          <t>Övriga Aktiebolag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13444-2026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46094</v>
      </c>
      <c r="E352" s="1" t="n">
        <v>46260</v>
      </c>
      <c r="F352" t="inlineStr">
        <is>
          <t>SKÅNE LÄN</t>
        </is>
      </c>
      <c r="G352" t="inlineStr">
        <is>
          <t>KRISTIANSTAD</t>
        </is>
      </c>
      <c r="H352" t="inlineStr">
        <is>
          <t>Övriga Aktiebolag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29832-2024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45485</v>
      </c>
      <c r="E353" s="1" t="n">
        <v>46260</v>
      </c>
      <c r="F353" t="inlineStr">
        <is>
          <t>SKÅNE LÄN</t>
        </is>
      </c>
      <c r="G353" t="inlineStr">
        <is>
          <t>KRISTIANSTAD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48378-2025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45933</v>
      </c>
      <c r="E354" s="1" t="n">
        <v>46260</v>
      </c>
      <c r="F354" t="inlineStr">
        <is>
          <t>SKÅNE LÄN</t>
        </is>
      </c>
      <c r="G354" t="inlineStr">
        <is>
          <t>KRISTIANSTAD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13587-2026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46095</v>
      </c>
      <c r="E355" s="1" t="n">
        <v>46260</v>
      </c>
      <c r="F355" t="inlineStr">
        <is>
          <t>SKÅNE LÄN</t>
        </is>
      </c>
      <c r="G355" t="inlineStr">
        <is>
          <t>KRISTIANSTAD</t>
        </is>
      </c>
      <c r="H355" t="inlineStr">
        <is>
          <t>Övriga Aktiebolag</t>
        </is>
      </c>
      <c r="I355" t="n">
        <v>10.9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43966-2025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45915</v>
      </c>
      <c r="E356" s="1" t="n">
        <v>46260</v>
      </c>
      <c r="F356" t="inlineStr">
        <is>
          <t>SKÅNE LÄN</t>
        </is>
      </c>
      <c r="G356" t="inlineStr">
        <is>
          <t>KRISTIANSTAD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46260</v>
      </c>
      <c r="F357" t="inlineStr">
        <is>
          <t>SKÅNE LÄN</t>
        </is>
      </c>
      <c r="G357" t="inlineStr">
        <is>
          <t>KRISTIANSTAD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49564-2025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46260</v>
      </c>
      <c r="F358" t="inlineStr">
        <is>
          <t>SKÅNE LÄN</t>
        </is>
      </c>
      <c r="G358" t="inlineStr">
        <is>
          <t>KRISTIANSTAD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14561-2026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46100</v>
      </c>
      <c r="E359" s="1" t="n">
        <v>46260</v>
      </c>
      <c r="F359" t="inlineStr">
        <is>
          <t>SKÅNE LÄN</t>
        </is>
      </c>
      <c r="G359" t="inlineStr">
        <is>
          <t>KRISTIANSTAD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32103-2023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45119</v>
      </c>
      <c r="E360" s="1" t="n">
        <v>46260</v>
      </c>
      <c r="F360" t="inlineStr">
        <is>
          <t>SKÅNE LÄN</t>
        </is>
      </c>
      <c r="G360" t="inlineStr">
        <is>
          <t>KRISTIANSTAD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32701-2023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45121</v>
      </c>
      <c r="E361" s="1" t="n">
        <v>46260</v>
      </c>
      <c r="F361" t="inlineStr">
        <is>
          <t>SKÅNE LÄN</t>
        </is>
      </c>
      <c r="G361" t="inlineStr">
        <is>
          <t>KRISTIANSTAD</t>
        </is>
      </c>
      <c r="H361" t="inlineStr">
        <is>
          <t>Sveaskog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46260</v>
      </c>
      <c r="F362" t="inlineStr">
        <is>
          <t>SKÅNE LÄN</t>
        </is>
      </c>
      <c r="G362" t="inlineStr">
        <is>
          <t>KRISTIANSTAD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46627-2024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45583</v>
      </c>
      <c r="E363" s="1" t="n">
        <v>46260</v>
      </c>
      <c r="F363" t="inlineStr">
        <is>
          <t>SKÅNE LÄN</t>
        </is>
      </c>
      <c r="G363" t="inlineStr">
        <is>
          <t>KRISTIANSTAD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49568-2025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46260</v>
      </c>
      <c r="F364" t="inlineStr">
        <is>
          <t>SKÅNE LÄN</t>
        </is>
      </c>
      <c r="G364" t="inlineStr">
        <is>
          <t>KRISTIANSTAD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46515-2022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44847</v>
      </c>
      <c r="E365" s="1" t="n">
        <v>46260</v>
      </c>
      <c r="F365" t="inlineStr">
        <is>
          <t>SKÅNE LÄN</t>
        </is>
      </c>
      <c r="G365" t="inlineStr">
        <is>
          <t>KRISTIANSTAD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49630-2025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46260</v>
      </c>
      <c r="F366" t="inlineStr">
        <is>
          <t>SKÅNE LÄN</t>
        </is>
      </c>
      <c r="G366" t="inlineStr">
        <is>
          <t>KRISTIANSTAD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46260</v>
      </c>
      <c r="F367" t="inlineStr">
        <is>
          <t>SKÅNE LÄN</t>
        </is>
      </c>
      <c r="G367" t="inlineStr">
        <is>
          <t>KRISTIANSTAD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64626-2023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45281</v>
      </c>
      <c r="E368" s="1" t="n">
        <v>46260</v>
      </c>
      <c r="F368" t="inlineStr">
        <is>
          <t>SKÅNE LÄN</t>
        </is>
      </c>
      <c r="G368" t="inlineStr">
        <is>
          <t>KRISTIANSTAD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40149-2024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45554</v>
      </c>
      <c r="E369" s="1" t="n">
        <v>46260</v>
      </c>
      <c r="F369" t="inlineStr">
        <is>
          <t>SKÅNE LÄN</t>
        </is>
      </c>
      <c r="G369" t="inlineStr">
        <is>
          <t>KRISTIANSTAD</t>
        </is>
      </c>
      <c r="I369" t="n">
        <v>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50655-2025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46260</v>
      </c>
      <c r="F370" t="inlineStr">
        <is>
          <t>SKÅNE LÄN</t>
        </is>
      </c>
      <c r="G370" t="inlineStr">
        <is>
          <t>KRISTIANSTAD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43314-2024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45568</v>
      </c>
      <c r="E371" s="1" t="n">
        <v>46260</v>
      </c>
      <c r="F371" t="inlineStr">
        <is>
          <t>SKÅNE LÄN</t>
        </is>
      </c>
      <c r="G371" t="inlineStr">
        <is>
          <t>KRISTIANSTAD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46260</v>
      </c>
      <c r="F372" t="inlineStr">
        <is>
          <t>SKÅNE LÄN</t>
        </is>
      </c>
      <c r="G372" t="inlineStr">
        <is>
          <t>KRISTIANSTAD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46260</v>
      </c>
      <c r="F373" t="inlineStr">
        <is>
          <t>SKÅNE LÄN</t>
        </is>
      </c>
      <c r="G373" t="inlineStr">
        <is>
          <t>KRISTIANSTAD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33984-2025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45843</v>
      </c>
      <c r="E374" s="1" t="n">
        <v>46260</v>
      </c>
      <c r="F374" t="inlineStr">
        <is>
          <t>SKÅNE LÄN</t>
        </is>
      </c>
      <c r="G374" t="inlineStr">
        <is>
          <t>KRISTIANSTAD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16384-2026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46260</v>
      </c>
      <c r="F375" t="inlineStr">
        <is>
          <t>SKÅNE LÄN</t>
        </is>
      </c>
      <c r="G375" t="inlineStr">
        <is>
          <t>KRISTIANSTAD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16762-2026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46113</v>
      </c>
      <c r="E376" s="1" t="n">
        <v>46260</v>
      </c>
      <c r="F376" t="inlineStr">
        <is>
          <t>SKÅNE LÄN</t>
        </is>
      </c>
      <c r="G376" t="inlineStr">
        <is>
          <t>KRISTIANSTAD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54458-2023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45226</v>
      </c>
      <c r="E377" s="1" t="n">
        <v>46260</v>
      </c>
      <c r="F377" t="inlineStr">
        <is>
          <t>SKÅNE LÄN</t>
        </is>
      </c>
      <c r="G377" t="inlineStr">
        <is>
          <t>KRISTIANSTAD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46260</v>
      </c>
      <c r="F378" t="inlineStr">
        <is>
          <t>SKÅNE LÄN</t>
        </is>
      </c>
      <c r="G378" t="inlineStr">
        <is>
          <t>KRISTIANSTAD</t>
        </is>
      </c>
      <c r="H378" t="inlineStr">
        <is>
          <t>Sveaskog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52171-2025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46260</v>
      </c>
      <c r="F379" t="inlineStr">
        <is>
          <t>SKÅNE LÄN</t>
        </is>
      </c>
      <c r="G379" t="inlineStr">
        <is>
          <t>KRISTIANSTAD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46120</v>
      </c>
      <c r="E380" s="1" t="n">
        <v>46260</v>
      </c>
      <c r="F380" t="inlineStr">
        <is>
          <t>SKÅNE LÄN</t>
        </is>
      </c>
      <c r="G380" t="inlineStr">
        <is>
          <t>KRISTIANSTAD</t>
        </is>
      </c>
      <c r="H380" t="inlineStr">
        <is>
          <t>Sveaskog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46120</v>
      </c>
      <c r="E381" s="1" t="n">
        <v>46260</v>
      </c>
      <c r="F381" t="inlineStr">
        <is>
          <t>SKÅNE LÄN</t>
        </is>
      </c>
      <c r="G381" t="inlineStr">
        <is>
          <t>KRISTIANSTAD</t>
        </is>
      </c>
      <c r="H381" t="inlineStr">
        <is>
          <t>Sveaskog</t>
        </is>
      </c>
      <c r="I381" t="n">
        <v>9.199999999999999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17514-2026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46120</v>
      </c>
      <c r="E382" s="1" t="n">
        <v>46260</v>
      </c>
      <c r="F382" t="inlineStr">
        <is>
          <t>SKÅNE LÄN</t>
        </is>
      </c>
      <c r="G382" t="inlineStr">
        <is>
          <t>KRISTIANSTAD</t>
        </is>
      </c>
      <c r="H382" t="inlineStr">
        <is>
          <t>Sveaskog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45668</v>
      </c>
      <c r="E383" s="1" t="n">
        <v>46260</v>
      </c>
      <c r="F383" t="inlineStr">
        <is>
          <t>SKÅNE LÄN</t>
        </is>
      </c>
      <c r="G383" t="inlineStr">
        <is>
          <t>KRISTIANSTAD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48693-2022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44855</v>
      </c>
      <c r="E384" s="1" t="n">
        <v>46260</v>
      </c>
      <c r="F384" t="inlineStr">
        <is>
          <t>SKÅNE LÄN</t>
        </is>
      </c>
      <c r="G384" t="inlineStr">
        <is>
          <t>KRISTIANSTAD</t>
        </is>
      </c>
      <c r="I384" t="n">
        <v>6.4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52406-2025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45954</v>
      </c>
      <c r="E385" s="1" t="n">
        <v>46260</v>
      </c>
      <c r="F385" t="inlineStr">
        <is>
          <t>SKÅNE LÄN</t>
        </is>
      </c>
      <c r="G385" t="inlineStr">
        <is>
          <t>KRISTIANSTAD</t>
        </is>
      </c>
      <c r="H385" t="inlineStr">
        <is>
          <t>Övriga Aktiebolag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52409-2025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45954</v>
      </c>
      <c r="E386" s="1" t="n">
        <v>46260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12.1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27948-2023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45098</v>
      </c>
      <c r="E387" s="1" t="n">
        <v>46260</v>
      </c>
      <c r="F387" t="inlineStr">
        <is>
          <t>SKÅNE LÄN</t>
        </is>
      </c>
      <c r="G387" t="inlineStr">
        <is>
          <t>KRISTIANSTAD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53179-2025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46260</v>
      </c>
      <c r="F388" t="inlineStr">
        <is>
          <t>SKÅNE LÄN</t>
        </is>
      </c>
      <c r="G388" t="inlineStr">
        <is>
          <t>KRISTIANSTAD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36358-2023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46260</v>
      </c>
      <c r="F389" t="inlineStr">
        <is>
          <t>SKÅNE LÄN</t>
        </is>
      </c>
      <c r="G389" t="inlineStr">
        <is>
          <t>KRISTIANSTAD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39898-2023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45166</v>
      </c>
      <c r="E390" s="1" t="n">
        <v>46260</v>
      </c>
      <c r="F390" t="inlineStr">
        <is>
          <t>SKÅNE LÄN</t>
        </is>
      </c>
      <c r="G390" t="inlineStr">
        <is>
          <t>KRISTIANSTAD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60460-2023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45258</v>
      </c>
      <c r="E391" s="1" t="n">
        <v>46260</v>
      </c>
      <c r="F391" t="inlineStr">
        <is>
          <t>SKÅNE LÄN</t>
        </is>
      </c>
      <c r="G391" t="inlineStr">
        <is>
          <t>KRISTIANSTAD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44595</v>
      </c>
      <c r="E392" s="1" t="n">
        <v>46260</v>
      </c>
      <c r="F392" t="inlineStr">
        <is>
          <t>SKÅNE LÄN</t>
        </is>
      </c>
      <c r="G392" t="inlineStr">
        <is>
          <t>KRISTIANSTAD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13940-2025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45737</v>
      </c>
      <c r="E393" s="1" t="n">
        <v>46260</v>
      </c>
      <c r="F393" t="inlineStr">
        <is>
          <t>SKÅNE LÄN</t>
        </is>
      </c>
      <c r="G393" t="inlineStr">
        <is>
          <t>KRISTIANSTAD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18945-2026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46129</v>
      </c>
      <c r="E394" s="1" t="n">
        <v>46260</v>
      </c>
      <c r="F394" t="inlineStr">
        <is>
          <t>SKÅNE LÄN</t>
        </is>
      </c>
      <c r="G394" t="inlineStr">
        <is>
          <t>KRISTIANSTAD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53525-2025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45960</v>
      </c>
      <c r="E395" s="1" t="n">
        <v>46260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26907-2024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45470</v>
      </c>
      <c r="E396" s="1" t="n">
        <v>46260</v>
      </c>
      <c r="F396" t="inlineStr">
        <is>
          <t>SKÅNE LÄN</t>
        </is>
      </c>
      <c r="G396" t="inlineStr">
        <is>
          <t>KRISTIANSTAD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45803</v>
      </c>
      <c r="E397" s="1" t="n">
        <v>46260</v>
      </c>
      <c r="F397" t="inlineStr">
        <is>
          <t>SKÅNE LÄN</t>
        </is>
      </c>
      <c r="G397" t="inlineStr">
        <is>
          <t>KRISTIANSTAD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45027</v>
      </c>
      <c r="E398" s="1" t="n">
        <v>46260</v>
      </c>
      <c r="F398" t="inlineStr">
        <is>
          <t>SKÅNE LÄN</t>
        </is>
      </c>
      <c r="G398" t="inlineStr">
        <is>
          <t>KRISTIANSTAD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35022-2023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45144</v>
      </c>
      <c r="E399" s="1" t="n">
        <v>46260</v>
      </c>
      <c r="F399" t="inlineStr">
        <is>
          <t>SKÅNE LÄN</t>
        </is>
      </c>
      <c r="G399" t="inlineStr">
        <is>
          <t>KRISTIANSTAD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35023-2023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45144</v>
      </c>
      <c r="E400" s="1" t="n">
        <v>46260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15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30764-2025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46260</v>
      </c>
      <c r="F401" t="inlineStr">
        <is>
          <t>SKÅNE LÄN</t>
        </is>
      </c>
      <c r="G401" t="inlineStr">
        <is>
          <t>KRISTIANSTAD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5400-2024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45331</v>
      </c>
      <c r="E402" s="1" t="n">
        <v>46260</v>
      </c>
      <c r="F402" t="inlineStr">
        <is>
          <t>SKÅNE LÄN</t>
        </is>
      </c>
      <c r="G402" t="inlineStr">
        <is>
          <t>KRISTIANSTAD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6307-2024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45338</v>
      </c>
      <c r="E403" s="1" t="n">
        <v>46260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7666-2025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45706</v>
      </c>
      <c r="E404" s="1" t="n">
        <v>46260</v>
      </c>
      <c r="F404" t="inlineStr">
        <is>
          <t>SKÅNE LÄN</t>
        </is>
      </c>
      <c r="G404" t="inlineStr">
        <is>
          <t>KRISTIANSTAD</t>
        </is>
      </c>
      <c r="I404" t="n">
        <v>11.8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13875-2025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45737</v>
      </c>
      <c r="E405" s="1" t="n">
        <v>46260</v>
      </c>
      <c r="F405" t="inlineStr">
        <is>
          <t>SKÅNE LÄN</t>
        </is>
      </c>
      <c r="G405" t="inlineStr">
        <is>
          <t>KRISTIANSTAD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45755</v>
      </c>
      <c r="E406" s="1" t="n">
        <v>46260</v>
      </c>
      <c r="F406" t="inlineStr">
        <is>
          <t>SKÅNE LÄN</t>
        </is>
      </c>
      <c r="G406" t="inlineStr">
        <is>
          <t>KRISTIANSTAD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24583-2023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45083</v>
      </c>
      <c r="E407" s="1" t="n">
        <v>46260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13928-2025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45737</v>
      </c>
      <c r="E408" s="1" t="n">
        <v>46260</v>
      </c>
      <c r="F408" t="inlineStr">
        <is>
          <t>SKÅNE LÄN</t>
        </is>
      </c>
      <c r="G408" t="inlineStr">
        <is>
          <t>KRISTIANSTAD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46260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55631-2025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45972</v>
      </c>
      <c r="E410" s="1" t="n">
        <v>46260</v>
      </c>
      <c r="F410" t="inlineStr">
        <is>
          <t>SKÅNE LÄN</t>
        </is>
      </c>
      <c r="G410" t="inlineStr">
        <is>
          <t>KRISTIANSTAD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56011-2025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46260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17400-2023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45035</v>
      </c>
      <c r="E412" s="1" t="n">
        <v>46260</v>
      </c>
      <c r="F412" t="inlineStr">
        <is>
          <t>SKÅNE LÄN</t>
        </is>
      </c>
      <c r="G412" t="inlineStr">
        <is>
          <t>KRISTIANSTAD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6349-2024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45338</v>
      </c>
      <c r="E413" s="1" t="n">
        <v>46260</v>
      </c>
      <c r="F413" t="inlineStr">
        <is>
          <t>SKÅNE LÄN</t>
        </is>
      </c>
      <c r="G413" t="inlineStr">
        <is>
          <t>KRISTIANSTAD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60997-2024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45644</v>
      </c>
      <c r="E414" s="1" t="n">
        <v>46260</v>
      </c>
      <c r="F414" t="inlineStr">
        <is>
          <t>SKÅNE LÄN</t>
        </is>
      </c>
      <c r="G414" t="inlineStr">
        <is>
          <t>KRISTIANSTAD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38021-2023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45159</v>
      </c>
      <c r="E415" s="1" t="n">
        <v>46260</v>
      </c>
      <c r="F415" t="inlineStr">
        <is>
          <t>SKÅNE LÄN</t>
        </is>
      </c>
      <c r="G415" t="inlineStr">
        <is>
          <t>KRISTIANSTAD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8512-2024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45355</v>
      </c>
      <c r="E416" s="1" t="n">
        <v>46260</v>
      </c>
      <c r="F416" t="inlineStr">
        <is>
          <t>SKÅNE LÄN</t>
        </is>
      </c>
      <c r="G416" t="inlineStr">
        <is>
          <t>KRISTIANSTAD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24930-2024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45461</v>
      </c>
      <c r="E417" s="1" t="n">
        <v>46260</v>
      </c>
      <c r="F417" t="inlineStr">
        <is>
          <t>SKÅNE LÄN</t>
        </is>
      </c>
      <c r="G417" t="inlineStr">
        <is>
          <t>KRISTIANSTAD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46260</v>
      </c>
      <c r="F418" t="inlineStr">
        <is>
          <t>SKÅNE LÄN</t>
        </is>
      </c>
      <c r="G418" t="inlineStr">
        <is>
          <t>KRISTIANSTAD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46260</v>
      </c>
      <c r="F419" t="inlineStr">
        <is>
          <t>SKÅNE LÄN</t>
        </is>
      </c>
      <c r="G419" t="inlineStr">
        <is>
          <t>KRISTIANSTAD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45083</v>
      </c>
      <c r="E420" s="1" t="n">
        <v>46260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10.5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47652-2023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45198</v>
      </c>
      <c r="E421" s="1" t="n">
        <v>46260</v>
      </c>
      <c r="F421" t="inlineStr">
        <is>
          <t>SKÅNE LÄN</t>
        </is>
      </c>
      <c r="G421" t="inlineStr">
        <is>
          <t>KRISTIANSTAD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72100-2021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44544</v>
      </c>
      <c r="E422" s="1" t="n">
        <v>46260</v>
      </c>
      <c r="F422" t="inlineStr">
        <is>
          <t>SKÅNE LÄN</t>
        </is>
      </c>
      <c r="G422" t="inlineStr">
        <is>
          <t>KRISTIANSTAD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32158-2024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45511</v>
      </c>
      <c r="E423" s="1" t="n">
        <v>46260</v>
      </c>
      <c r="F423" t="inlineStr">
        <is>
          <t>SKÅNE LÄN</t>
        </is>
      </c>
      <c r="G423" t="inlineStr">
        <is>
          <t>KRISTIANSTAD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45728-2022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44846</v>
      </c>
      <c r="E424" s="1" t="n">
        <v>46260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20302-2026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46136</v>
      </c>
      <c r="E425" s="1" t="n">
        <v>46260</v>
      </c>
      <c r="F425" t="inlineStr">
        <is>
          <t>SKÅNE LÄN</t>
        </is>
      </c>
      <c r="G425" t="inlineStr">
        <is>
          <t>KRISTIANSTAD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48173-2024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45589</v>
      </c>
      <c r="E426" s="1" t="n">
        <v>46260</v>
      </c>
      <c r="F426" t="inlineStr">
        <is>
          <t>SKÅNE LÄN</t>
        </is>
      </c>
      <c r="G426" t="inlineStr">
        <is>
          <t>KRISTIANSTAD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46260</v>
      </c>
      <c r="F427" t="inlineStr">
        <is>
          <t>SKÅNE LÄN</t>
        </is>
      </c>
      <c r="G427" t="inlineStr">
        <is>
          <t>KRISTIANSTAD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48217-2022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44853</v>
      </c>
      <c r="E428" s="1" t="n">
        <v>46260</v>
      </c>
      <c r="F428" t="inlineStr">
        <is>
          <t>SKÅNE LÄN</t>
        </is>
      </c>
      <c r="G428" t="inlineStr">
        <is>
          <t>KRISTIANSTAD</t>
        </is>
      </c>
      <c r="H428" t="inlineStr">
        <is>
          <t>Kyrkan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45494-2024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45577</v>
      </c>
      <c r="E429" s="1" t="n">
        <v>46260</v>
      </c>
      <c r="F429" t="inlineStr">
        <is>
          <t>SKÅNE LÄN</t>
        </is>
      </c>
      <c r="G429" t="inlineStr">
        <is>
          <t>KRISTIANSTAD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40145-2024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45554</v>
      </c>
      <c r="E430" s="1" t="n">
        <v>46260</v>
      </c>
      <c r="F430" t="inlineStr">
        <is>
          <t>SKÅNE LÄN</t>
        </is>
      </c>
      <c r="G430" t="inlineStr">
        <is>
          <t>KRISTIANSTAD</t>
        </is>
      </c>
      <c r="I430" t="n">
        <v>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35948-2024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45533</v>
      </c>
      <c r="E431" s="1" t="n">
        <v>46260</v>
      </c>
      <c r="F431" t="inlineStr">
        <is>
          <t>SKÅNE LÄN</t>
        </is>
      </c>
      <c r="G431" t="inlineStr">
        <is>
          <t>KRISTIANSTAD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58879-2025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45987</v>
      </c>
      <c r="E432" s="1" t="n">
        <v>46260</v>
      </c>
      <c r="F432" t="inlineStr">
        <is>
          <t>SKÅNE LÄN</t>
        </is>
      </c>
      <c r="G432" t="inlineStr">
        <is>
          <t>KRISTIANSTAD</t>
        </is>
      </c>
      <c r="H432" t="inlineStr">
        <is>
          <t>Sveaskog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48217-2022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44853</v>
      </c>
      <c r="E433" s="1" t="n">
        <v>46260</v>
      </c>
      <c r="F433" t="inlineStr">
        <is>
          <t>SKÅNE LÄN</t>
        </is>
      </c>
      <c r="G433" t="inlineStr">
        <is>
          <t>KRISTIANSTAD</t>
        </is>
      </c>
      <c r="H433" t="inlineStr">
        <is>
          <t>Kyrkan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12315-2025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45729</v>
      </c>
      <c r="E434" s="1" t="n">
        <v>46260</v>
      </c>
      <c r="F434" t="inlineStr">
        <is>
          <t>SKÅNE LÄN</t>
        </is>
      </c>
      <c r="G434" t="inlineStr">
        <is>
          <t>KRISTIANSTAD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20891-2025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45777</v>
      </c>
      <c r="E435" s="1" t="n">
        <v>46260</v>
      </c>
      <c r="F435" t="inlineStr">
        <is>
          <t>SKÅNE LÄN</t>
        </is>
      </c>
      <c r="G435" t="inlineStr">
        <is>
          <t>KRISTIANSTAD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45833</v>
      </c>
      <c r="E436" s="1" t="n">
        <v>46260</v>
      </c>
      <c r="F436" t="inlineStr">
        <is>
          <t>SKÅNE LÄN</t>
        </is>
      </c>
      <c r="G436" t="inlineStr">
        <is>
          <t>KRISTIANSTAD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31105-2025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45832</v>
      </c>
      <c r="E437" s="1" t="n">
        <v>46260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46521-2023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45197</v>
      </c>
      <c r="E438" s="1" t="n">
        <v>46260</v>
      </c>
      <c r="F438" t="inlineStr">
        <is>
          <t>SKÅNE LÄN</t>
        </is>
      </c>
      <c r="G438" t="inlineStr">
        <is>
          <t>KRISTIANSTAD</t>
        </is>
      </c>
      <c r="I438" t="n">
        <v>10.3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46524-2023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45197</v>
      </c>
      <c r="E439" s="1" t="n">
        <v>46260</v>
      </c>
      <c r="F439" t="inlineStr">
        <is>
          <t>SKÅNE LÄN</t>
        </is>
      </c>
      <c r="G439" t="inlineStr">
        <is>
          <t>KRISTIANSTAD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59534-2025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45989</v>
      </c>
      <c r="E440" s="1" t="n">
        <v>46260</v>
      </c>
      <c r="F440" t="inlineStr">
        <is>
          <t>SKÅNE LÄN</t>
        </is>
      </c>
      <c r="G440" t="inlineStr">
        <is>
          <t>KRISTIANSTAD</t>
        </is>
      </c>
      <c r="H440" t="inlineStr">
        <is>
          <t>Övriga Aktiebolag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15887-2025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45749</v>
      </c>
      <c r="E441" s="1" t="n">
        <v>46260</v>
      </c>
      <c r="F441" t="inlineStr">
        <is>
          <t>SKÅNE LÄN</t>
        </is>
      </c>
      <c r="G441" t="inlineStr">
        <is>
          <t>KRISTIANSTAD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60007-2025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45993</v>
      </c>
      <c r="E442" s="1" t="n">
        <v>46260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45103</v>
      </c>
      <c r="E443" s="1" t="n">
        <v>46260</v>
      </c>
      <c r="F443" t="inlineStr">
        <is>
          <t>SKÅNE LÄN</t>
        </is>
      </c>
      <c r="G443" t="inlineStr">
        <is>
          <t>KRISTIANSTAD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60008-2025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46260</v>
      </c>
      <c r="F444" t="inlineStr">
        <is>
          <t>SKÅNE LÄN</t>
        </is>
      </c>
      <c r="G444" t="inlineStr">
        <is>
          <t>KRISTIANSTAD</t>
        </is>
      </c>
      <c r="H444" t="inlineStr">
        <is>
          <t>Övriga Aktiebolag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60012-2025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46260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45989</v>
      </c>
      <c r="E446" s="1" t="n">
        <v>46260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9.199999999999999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46095-2023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45190</v>
      </c>
      <c r="E447" s="1" t="n">
        <v>46260</v>
      </c>
      <c r="F447" t="inlineStr">
        <is>
          <t>SKÅNE LÄN</t>
        </is>
      </c>
      <c r="G447" t="inlineStr">
        <is>
          <t>KRISTIANSTAD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10748-2023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44984</v>
      </c>
      <c r="E448" s="1" t="n">
        <v>46260</v>
      </c>
      <c r="F448" t="inlineStr">
        <is>
          <t>SKÅNE LÄN</t>
        </is>
      </c>
      <c r="G448" t="inlineStr">
        <is>
          <t>KRISTIANSTAD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49239-2022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44858</v>
      </c>
      <c r="E449" s="1" t="n">
        <v>46260</v>
      </c>
      <c r="F449" t="inlineStr">
        <is>
          <t>SKÅNE LÄN</t>
        </is>
      </c>
      <c r="G449" t="inlineStr">
        <is>
          <t>KRISTIANSTAD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54392-2023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45226</v>
      </c>
      <c r="E450" s="1" t="n">
        <v>46260</v>
      </c>
      <c r="F450" t="inlineStr">
        <is>
          <t>SKÅNE LÄN</t>
        </is>
      </c>
      <c r="G450" t="inlineStr">
        <is>
          <t>KRISTIANSTAD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44599</v>
      </c>
      <c r="E451" s="1" t="n">
        <v>46260</v>
      </c>
      <c r="F451" t="inlineStr">
        <is>
          <t>SKÅNE LÄN</t>
        </is>
      </c>
      <c r="G451" t="inlineStr">
        <is>
          <t>KRISTIANSTAD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33988-2023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45134</v>
      </c>
      <c r="E452" s="1" t="n">
        <v>46260</v>
      </c>
      <c r="F452" t="inlineStr">
        <is>
          <t>SKÅNE LÄN</t>
        </is>
      </c>
      <c r="G452" t="inlineStr">
        <is>
          <t>KRISTIANSTAD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29199-2024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45482</v>
      </c>
      <c r="E453" s="1" t="n">
        <v>46260</v>
      </c>
      <c r="F453" t="inlineStr">
        <is>
          <t>SKÅNE LÄN</t>
        </is>
      </c>
      <c r="G453" t="inlineStr">
        <is>
          <t>KRISTIANSTAD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53982-2022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44876</v>
      </c>
      <c r="E454" s="1" t="n">
        <v>46260</v>
      </c>
      <c r="F454" t="inlineStr">
        <is>
          <t>SKÅNE LÄN</t>
        </is>
      </c>
      <c r="G454" t="inlineStr">
        <is>
          <t>KRISTIANSTAD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62156-2022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44915</v>
      </c>
      <c r="E455" s="1" t="n">
        <v>46260</v>
      </c>
      <c r="F455" t="inlineStr">
        <is>
          <t>SKÅNE LÄN</t>
        </is>
      </c>
      <c r="G455" t="inlineStr">
        <is>
          <t>KRISTIANSTAD</t>
        </is>
      </c>
      <c r="H455" t="inlineStr">
        <is>
          <t>Kyrkan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10464-2024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45366</v>
      </c>
      <c r="E456" s="1" t="n">
        <v>46260</v>
      </c>
      <c r="F456" t="inlineStr">
        <is>
          <t>SKÅNE LÄN</t>
        </is>
      </c>
      <c r="G456" t="inlineStr">
        <is>
          <t>KRISTIANSTAD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45315</v>
      </c>
      <c r="E457" s="1" t="n">
        <v>46260</v>
      </c>
      <c r="F457" t="inlineStr">
        <is>
          <t>SKÅNE LÄN</t>
        </is>
      </c>
      <c r="G457" t="inlineStr">
        <is>
          <t>KRISTIANSTAD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25803-2024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45467</v>
      </c>
      <c r="E458" s="1" t="n">
        <v>46260</v>
      </c>
      <c r="F458" t="inlineStr">
        <is>
          <t>SKÅNE LÄN</t>
        </is>
      </c>
      <c r="G458" t="inlineStr">
        <is>
          <t>KRISTIANSTAD</t>
        </is>
      </c>
      <c r="I458" t="n">
        <v>5.8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57979-2023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45247</v>
      </c>
      <c r="E459" s="1" t="n">
        <v>46260</v>
      </c>
      <c r="F459" t="inlineStr">
        <is>
          <t>SKÅNE LÄN</t>
        </is>
      </c>
      <c r="G459" t="inlineStr">
        <is>
          <t>KRISTIANSTAD</t>
        </is>
      </c>
      <c r="I459" t="n">
        <v>11.9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11997-2023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44995</v>
      </c>
      <c r="E460" s="1" t="n">
        <v>46260</v>
      </c>
      <c r="F460" t="inlineStr">
        <is>
          <t>SKÅNE LÄN</t>
        </is>
      </c>
      <c r="G460" t="inlineStr">
        <is>
          <t>KRISTIANSTAD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61557-2025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46001</v>
      </c>
      <c r="E461" s="1" t="n">
        <v>46260</v>
      </c>
      <c r="F461" t="inlineStr">
        <is>
          <t>SKÅNE LÄN</t>
        </is>
      </c>
      <c r="G461" t="inlineStr">
        <is>
          <t>KRISTIANSTAD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43312-2024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45568</v>
      </c>
      <c r="E462" s="1" t="n">
        <v>46260</v>
      </c>
      <c r="F462" t="inlineStr">
        <is>
          <t>SKÅNE LÄN</t>
        </is>
      </c>
      <c r="G462" t="inlineStr">
        <is>
          <t>KRISTIANSTAD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34719-2022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44795</v>
      </c>
      <c r="E463" s="1" t="n">
        <v>46260</v>
      </c>
      <c r="F463" t="inlineStr">
        <is>
          <t>SKÅNE LÄN</t>
        </is>
      </c>
      <c r="G463" t="inlineStr">
        <is>
          <t>KRISTIANSTAD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34610-2025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45846</v>
      </c>
      <c r="E464" s="1" t="n">
        <v>46260</v>
      </c>
      <c r="F464" t="inlineStr">
        <is>
          <t>SKÅNE LÄN</t>
        </is>
      </c>
      <c r="G464" t="inlineStr">
        <is>
          <t>KRISTIANSTAD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62295-2025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46006</v>
      </c>
      <c r="E465" s="1" t="n">
        <v>46260</v>
      </c>
      <c r="F465" t="inlineStr">
        <is>
          <t>SKÅNE LÄN</t>
        </is>
      </c>
      <c r="G465" t="inlineStr">
        <is>
          <t>KRISTIANSTAD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20651-2026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46141</v>
      </c>
      <c r="E466" s="1" t="n">
        <v>46260</v>
      </c>
      <c r="F466" t="inlineStr">
        <is>
          <t>SKÅNE LÄN</t>
        </is>
      </c>
      <c r="G466" t="inlineStr">
        <is>
          <t>KRISTIANSTAD</t>
        </is>
      </c>
      <c r="H466" t="inlineStr">
        <is>
          <t>Sveaskog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13211-2023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45002</v>
      </c>
      <c r="E467" s="1" t="n">
        <v>46260</v>
      </c>
      <c r="F467" t="inlineStr">
        <is>
          <t>SKÅNE LÄN</t>
        </is>
      </c>
      <c r="G467" t="inlineStr">
        <is>
          <t>KRISTIANSTAD</t>
        </is>
      </c>
      <c r="H467" t="inlineStr">
        <is>
          <t>Kyrkan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62539-2025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46007</v>
      </c>
      <c r="E468" s="1" t="n">
        <v>46260</v>
      </c>
      <c r="F468" t="inlineStr">
        <is>
          <t>SKÅNE LÄN</t>
        </is>
      </c>
      <c r="G468" t="inlineStr">
        <is>
          <t>KRISTIANSTAD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45755</v>
      </c>
      <c r="E469" s="1" t="n">
        <v>46260</v>
      </c>
      <c r="F469" t="inlineStr">
        <is>
          <t>SKÅNE LÄN</t>
        </is>
      </c>
      <c r="G469" t="inlineStr">
        <is>
          <t>KRISTIANSTAD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4610-2024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45328</v>
      </c>
      <c r="E470" s="1" t="n">
        <v>46260</v>
      </c>
      <c r="F470" t="inlineStr">
        <is>
          <t>SKÅNE LÄN</t>
        </is>
      </c>
      <c r="G470" t="inlineStr">
        <is>
          <t>KRISTIANSTAD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60474-2022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44904</v>
      </c>
      <c r="E471" s="1" t="n">
        <v>46260</v>
      </c>
      <c r="F471" t="inlineStr">
        <is>
          <t>SKÅNE LÄN</t>
        </is>
      </c>
      <c r="G471" t="inlineStr">
        <is>
          <t>KRISTIANSTAD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62685-2025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46008</v>
      </c>
      <c r="E472" s="1" t="n">
        <v>46260</v>
      </c>
      <c r="F472" t="inlineStr">
        <is>
          <t>SKÅNE LÄN</t>
        </is>
      </c>
      <c r="G472" t="inlineStr">
        <is>
          <t>KRISTIANSTAD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46504-2022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44847</v>
      </c>
      <c r="E473" s="1" t="n">
        <v>46260</v>
      </c>
      <c r="F473" t="inlineStr">
        <is>
          <t>SKÅNE LÄN</t>
        </is>
      </c>
      <c r="G473" t="inlineStr">
        <is>
          <t>KRISTIANSTAD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17753-2025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45758</v>
      </c>
      <c r="E474" s="1" t="n">
        <v>46260</v>
      </c>
      <c r="F474" t="inlineStr">
        <is>
          <t>SKÅNE LÄN</t>
        </is>
      </c>
      <c r="G474" t="inlineStr">
        <is>
          <t>KRISTIANSTAD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21238-2024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45440</v>
      </c>
      <c r="E475" s="1" t="n">
        <v>46260</v>
      </c>
      <c r="F475" t="inlineStr">
        <is>
          <t>SKÅNE LÄN</t>
        </is>
      </c>
      <c r="G475" t="inlineStr">
        <is>
          <t>KRISTIANSTAD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17043-2024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45412</v>
      </c>
      <c r="E476" s="1" t="n">
        <v>46260</v>
      </c>
      <c r="F476" t="inlineStr">
        <is>
          <t>SKÅNE LÄN</t>
        </is>
      </c>
      <c r="G476" t="inlineStr">
        <is>
          <t>KRISTIANSTAD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18735-2024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45426</v>
      </c>
      <c r="E477" s="1" t="n">
        <v>46260</v>
      </c>
      <c r="F477" t="inlineStr">
        <is>
          <t>SKÅNE LÄN</t>
        </is>
      </c>
      <c r="G477" t="inlineStr">
        <is>
          <t>KRISTIANSTAD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62066-2022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44918</v>
      </c>
      <c r="E478" s="1" t="n">
        <v>46260</v>
      </c>
      <c r="F478" t="inlineStr">
        <is>
          <t>SKÅNE LÄN</t>
        </is>
      </c>
      <c r="G478" t="inlineStr">
        <is>
          <t>KRISTIANSTAD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25711-2025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45803</v>
      </c>
      <c r="E479" s="1" t="n">
        <v>46260</v>
      </c>
      <c r="F479" t="inlineStr">
        <is>
          <t>SKÅNE LÄN</t>
        </is>
      </c>
      <c r="G479" t="inlineStr">
        <is>
          <t>KRISTIANSTAD</t>
        </is>
      </c>
      <c r="I479" t="n">
        <v>18.8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46147</v>
      </c>
      <c r="E480" s="1" t="n">
        <v>46260</v>
      </c>
      <c r="F480" t="inlineStr">
        <is>
          <t>SKÅNE LÄN</t>
        </is>
      </c>
      <c r="G480" t="inlineStr">
        <is>
          <t>KRISTIANSTAD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45049</v>
      </c>
      <c r="E481" s="1" t="n">
        <v>46260</v>
      </c>
      <c r="F481" t="inlineStr">
        <is>
          <t>SKÅNE LÄN</t>
        </is>
      </c>
      <c r="G481" t="inlineStr">
        <is>
          <t>KRISTIANSTAD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46031</v>
      </c>
      <c r="E482" s="1" t="n">
        <v>46260</v>
      </c>
      <c r="F482" t="inlineStr">
        <is>
          <t>SKÅNE LÄN</t>
        </is>
      </c>
      <c r="G482" t="inlineStr">
        <is>
          <t>KRISTIANSTAD</t>
        </is>
      </c>
      <c r="I482" t="n">
        <v>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22083-2026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46260</v>
      </c>
      <c r="F483" t="inlineStr">
        <is>
          <t>SKÅNE LÄN</t>
        </is>
      </c>
      <c r="G483" t="inlineStr">
        <is>
          <t>KRISTIANSTAD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13263-2024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45386</v>
      </c>
      <c r="E484" s="1" t="n">
        <v>46260</v>
      </c>
      <c r="F484" t="inlineStr">
        <is>
          <t>SKÅNE LÄN</t>
        </is>
      </c>
      <c r="G484" t="inlineStr">
        <is>
          <t>KRISTIANSTAD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12134-2024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45377</v>
      </c>
      <c r="E485" s="1" t="n">
        <v>46260</v>
      </c>
      <c r="F485" t="inlineStr">
        <is>
          <t>SKÅNE LÄN</t>
        </is>
      </c>
      <c r="G485" t="inlineStr">
        <is>
          <t>KRISTIANSTAD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46031</v>
      </c>
      <c r="E486" s="1" t="n">
        <v>46260</v>
      </c>
      <c r="F486" t="inlineStr">
        <is>
          <t>SKÅNE LÄN</t>
        </is>
      </c>
      <c r="G486" t="inlineStr">
        <is>
          <t>KRISTIANSTAD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22116-2026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46153</v>
      </c>
      <c r="E487" s="1" t="n">
        <v>46260</v>
      </c>
      <c r="F487" t="inlineStr">
        <is>
          <t>SKÅNE LÄN</t>
        </is>
      </c>
      <c r="G487" t="inlineStr">
        <is>
          <t>KRISTIANSTAD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46035</v>
      </c>
      <c r="E488" s="1" t="n">
        <v>46260</v>
      </c>
      <c r="F488" t="inlineStr">
        <is>
          <t>SKÅNE LÄN</t>
        </is>
      </c>
      <c r="G488" t="inlineStr">
        <is>
          <t>KRISTIANSTAD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13952-2025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45737</v>
      </c>
      <c r="E489" s="1" t="n">
        <v>46260</v>
      </c>
      <c r="F489" t="inlineStr">
        <is>
          <t>SKÅNE LÄN</t>
        </is>
      </c>
      <c r="G489" t="inlineStr">
        <is>
          <t>KRISTIANSTAD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13972-2025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45738</v>
      </c>
      <c r="E490" s="1" t="n">
        <v>46260</v>
      </c>
      <c r="F490" t="inlineStr">
        <is>
          <t>SKÅNE LÄN</t>
        </is>
      </c>
      <c r="G490" t="inlineStr">
        <is>
          <t>KRISTIANSTAD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21851-2026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46150</v>
      </c>
      <c r="E491" s="1" t="n">
        <v>46260</v>
      </c>
      <c r="F491" t="inlineStr">
        <is>
          <t>SKÅNE LÄN</t>
        </is>
      </c>
      <c r="G491" t="inlineStr">
        <is>
          <t>KRISTIANSTAD</t>
        </is>
      </c>
      <c r="H491" t="inlineStr">
        <is>
          <t>Kommuner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50516-2022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44866</v>
      </c>
      <c r="E492" s="1" t="n">
        <v>46260</v>
      </c>
      <c r="F492" t="inlineStr">
        <is>
          <t>SKÅNE LÄN</t>
        </is>
      </c>
      <c r="G492" t="inlineStr">
        <is>
          <t>KRISTIANSTAD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11010-2024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45370</v>
      </c>
      <c r="E493" s="1" t="n">
        <v>46260</v>
      </c>
      <c r="F493" t="inlineStr">
        <is>
          <t>SKÅNE LÄN</t>
        </is>
      </c>
      <c r="G493" t="inlineStr">
        <is>
          <t>KRISTIANSTAD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11012-2024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45370</v>
      </c>
      <c r="E494" s="1" t="n">
        <v>46260</v>
      </c>
      <c r="F494" t="inlineStr">
        <is>
          <t>SKÅNE LÄN</t>
        </is>
      </c>
      <c r="G494" t="inlineStr">
        <is>
          <t>KRISTIANSTAD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10961-2025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45723</v>
      </c>
      <c r="E495" s="1" t="n">
        <v>46260</v>
      </c>
      <c r="F495" t="inlineStr">
        <is>
          <t>SKÅNE LÄN</t>
        </is>
      </c>
      <c r="G495" t="inlineStr">
        <is>
          <t>KRISTIANSTAD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44923</v>
      </c>
      <c r="E496" s="1" t="n">
        <v>46260</v>
      </c>
      <c r="F496" t="inlineStr">
        <is>
          <t>SKÅNE LÄN</t>
        </is>
      </c>
      <c r="G496" t="inlineStr">
        <is>
          <t>KRISTIANSTAD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43871-2023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45187</v>
      </c>
      <c r="E497" s="1" t="n">
        <v>46260</v>
      </c>
      <c r="F497" t="inlineStr">
        <is>
          <t>SKÅNE LÄN</t>
        </is>
      </c>
      <c r="G497" t="inlineStr">
        <is>
          <t>KRISTIANSTAD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52495-2024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45609</v>
      </c>
      <c r="E498" s="1" t="n">
        <v>46260</v>
      </c>
      <c r="F498" t="inlineStr">
        <is>
          <t>SKÅNE LÄN</t>
        </is>
      </c>
      <c r="G498" t="inlineStr">
        <is>
          <t>KRISTIANSTAD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3769-2024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45321</v>
      </c>
      <c r="E499" s="1" t="n">
        <v>46260</v>
      </c>
      <c r="F499" t="inlineStr">
        <is>
          <t>SKÅNE LÄN</t>
        </is>
      </c>
      <c r="G499" t="inlineStr">
        <is>
          <t>KRISTIANSTAD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11505-2023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44993</v>
      </c>
      <c r="E500" s="1" t="n">
        <v>46260</v>
      </c>
      <c r="F500" t="inlineStr">
        <is>
          <t>SKÅNE LÄN</t>
        </is>
      </c>
      <c r="G500" t="inlineStr">
        <is>
          <t>KRISTIANSTAD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50294-2024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45600</v>
      </c>
      <c r="E501" s="1" t="n">
        <v>46260</v>
      </c>
      <c r="F501" t="inlineStr">
        <is>
          <t>SKÅNE LÄN</t>
        </is>
      </c>
      <c r="G501" t="inlineStr">
        <is>
          <t>KRISTIANSTAD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6955-2024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45343</v>
      </c>
      <c r="E502" s="1" t="n">
        <v>46260</v>
      </c>
      <c r="F502" t="inlineStr">
        <is>
          <t>SKÅNE LÄN</t>
        </is>
      </c>
      <c r="G502" t="inlineStr">
        <is>
          <t>KRISTIANSTAD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16525-2024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45408</v>
      </c>
      <c r="E503" s="1" t="n">
        <v>46260</v>
      </c>
      <c r="F503" t="inlineStr">
        <is>
          <t>SKÅNE LÄN</t>
        </is>
      </c>
      <c r="G503" t="inlineStr">
        <is>
          <t>KRISTIANSTAD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45736</v>
      </c>
      <c r="E504" s="1" t="n">
        <v>46260</v>
      </c>
      <c r="F504" t="inlineStr">
        <is>
          <t>SKÅNE LÄN</t>
        </is>
      </c>
      <c r="G504" t="inlineStr">
        <is>
          <t>KRISTIANSTAD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14682-2023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45014</v>
      </c>
      <c r="E505" s="1" t="n">
        <v>46260</v>
      </c>
      <c r="F505" t="inlineStr">
        <is>
          <t>SKÅNE LÄN</t>
        </is>
      </c>
      <c r="G505" t="inlineStr">
        <is>
          <t>KRISTIANSTAD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45736</v>
      </c>
      <c r="E506" s="1" t="n">
        <v>46260</v>
      </c>
      <c r="F506" t="inlineStr">
        <is>
          <t>SKÅNE LÄN</t>
        </is>
      </c>
      <c r="G506" t="inlineStr">
        <is>
          <t>KRISTIANSTAD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7802-2025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45706</v>
      </c>
      <c r="E507" s="1" t="n">
        <v>46260</v>
      </c>
      <c r="F507" t="inlineStr">
        <is>
          <t>SKÅNE LÄN</t>
        </is>
      </c>
      <c r="G507" t="inlineStr">
        <is>
          <t>KRISTIANSTAD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61147-2021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44497</v>
      </c>
      <c r="E508" s="1" t="n">
        <v>46260</v>
      </c>
      <c r="F508" t="inlineStr">
        <is>
          <t>SKÅNE LÄN</t>
        </is>
      </c>
      <c r="G508" t="inlineStr">
        <is>
          <t>KRISTIANSTAD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45337</v>
      </c>
      <c r="E509" s="1" t="n">
        <v>46260</v>
      </c>
      <c r="F509" t="inlineStr">
        <is>
          <t>SKÅNE LÄN</t>
        </is>
      </c>
      <c r="G509" t="inlineStr">
        <is>
          <t>KRISTIANSTAD</t>
        </is>
      </c>
      <c r="H509" t="inlineStr">
        <is>
          <t>Övriga Aktiebolag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9596-2025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46260</v>
      </c>
      <c r="F510" t="inlineStr">
        <is>
          <t>SKÅNE LÄN</t>
        </is>
      </c>
      <c r="G510" t="inlineStr">
        <is>
          <t>KRISTIANSTAD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45845</v>
      </c>
      <c r="E511" s="1" t="n">
        <v>46260</v>
      </c>
      <c r="F511" t="inlineStr">
        <is>
          <t>SKÅNE LÄN</t>
        </is>
      </c>
      <c r="G511" t="inlineStr">
        <is>
          <t>KRISTIANSTAD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40037-2022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44818</v>
      </c>
      <c r="E512" s="1" t="n">
        <v>46260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36907-2025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45874</v>
      </c>
      <c r="E513" s="1" t="n">
        <v>46260</v>
      </c>
      <c r="F513" t="inlineStr">
        <is>
          <t>SKÅNE LÄN</t>
        </is>
      </c>
      <c r="G513" t="inlineStr">
        <is>
          <t>KRISTIANSTAD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41023-2025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45898</v>
      </c>
      <c r="E514" s="1" t="n">
        <v>46260</v>
      </c>
      <c r="F514" t="inlineStr">
        <is>
          <t>SKÅNE LÄN</t>
        </is>
      </c>
      <c r="G514" t="inlineStr">
        <is>
          <t>KRISTIANSTAD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23497-2024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45453</v>
      </c>
      <c r="E515" s="1" t="n">
        <v>46260</v>
      </c>
      <c r="F515" t="inlineStr">
        <is>
          <t>SKÅNE LÄN</t>
        </is>
      </c>
      <c r="G515" t="inlineStr">
        <is>
          <t>KRISTIANSTAD</t>
        </is>
      </c>
      <c r="H515" t="inlineStr">
        <is>
          <t>Sveaskog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18146-2022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44684</v>
      </c>
      <c r="E516" s="1" t="n">
        <v>46260</v>
      </c>
      <c r="F516" t="inlineStr">
        <is>
          <t>SKÅNE LÄN</t>
        </is>
      </c>
      <c r="G516" t="inlineStr">
        <is>
          <t>KRISTIANSTAD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38849-2025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45887</v>
      </c>
      <c r="E517" s="1" t="n">
        <v>46260</v>
      </c>
      <c r="F517" t="inlineStr">
        <is>
          <t>SKÅNE LÄN</t>
        </is>
      </c>
      <c r="G517" t="inlineStr">
        <is>
          <t>KRISTIANSTAD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46260</v>
      </c>
      <c r="F518" t="inlineStr">
        <is>
          <t>SKÅNE LÄN</t>
        </is>
      </c>
      <c r="G518" t="inlineStr">
        <is>
          <t>KRISTIANSTAD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2472-2022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44579</v>
      </c>
      <c r="E519" s="1" t="n">
        <v>46260</v>
      </c>
      <c r="F519" t="inlineStr">
        <is>
          <t>SKÅNE LÄN</t>
        </is>
      </c>
      <c r="G519" t="inlineStr">
        <is>
          <t>KRISTIANSTAD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45337</v>
      </c>
      <c r="E520" s="1" t="n">
        <v>46260</v>
      </c>
      <c r="F520" t="inlineStr">
        <is>
          <t>SKÅNE LÄN</t>
        </is>
      </c>
      <c r="G520" t="inlineStr">
        <is>
          <t>KRISTIANSTAD</t>
        </is>
      </c>
      <c r="H520" t="inlineStr">
        <is>
          <t>Övriga Aktiebolag</t>
        </is>
      </c>
      <c r="I520" t="n">
        <v>8.699999999999999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28161-2025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45818</v>
      </c>
      <c r="E521" s="1" t="n">
        <v>46260</v>
      </c>
      <c r="F521" t="inlineStr">
        <is>
          <t>SKÅNE LÄN</t>
        </is>
      </c>
      <c r="G521" t="inlineStr">
        <is>
          <t>KRISTIANSTAD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28654-2024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45478</v>
      </c>
      <c r="E522" s="1" t="n">
        <v>46260</v>
      </c>
      <c r="F522" t="inlineStr">
        <is>
          <t>SKÅNE LÄN</t>
        </is>
      </c>
      <c r="G522" t="inlineStr">
        <is>
          <t>KRISTIANSTAD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42248-2023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45180</v>
      </c>
      <c r="E523" s="1" t="n">
        <v>46260</v>
      </c>
      <c r="F523" t="inlineStr">
        <is>
          <t>SKÅNE LÄN</t>
        </is>
      </c>
      <c r="G523" t="inlineStr">
        <is>
          <t>KRISTIANSTAD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15890-2025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45749</v>
      </c>
      <c r="E524" s="1" t="n">
        <v>46260</v>
      </c>
      <c r="F524" t="inlineStr">
        <is>
          <t>SKÅNE LÄN</t>
        </is>
      </c>
      <c r="G524" t="inlineStr">
        <is>
          <t>KRISTIANSTAD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1872-2024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45307</v>
      </c>
      <c r="E525" s="1" t="n">
        <v>46260</v>
      </c>
      <c r="F525" t="inlineStr">
        <is>
          <t>SKÅNE LÄN</t>
        </is>
      </c>
      <c r="G525" t="inlineStr">
        <is>
          <t>KRISTIANSTAD</t>
        </is>
      </c>
      <c r="H525" t="inlineStr">
        <is>
          <t>Övriga Aktiebolag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46525-2023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45197</v>
      </c>
      <c r="E526" s="1" t="n">
        <v>46260</v>
      </c>
      <c r="F526" t="inlineStr">
        <is>
          <t>SKÅNE LÄN</t>
        </is>
      </c>
      <c r="G526" t="inlineStr">
        <is>
          <t>KRISTIANSTAD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53466-2022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44879</v>
      </c>
      <c r="E527" s="1" t="n">
        <v>46260</v>
      </c>
      <c r="F527" t="inlineStr">
        <is>
          <t>SKÅNE LÄN</t>
        </is>
      </c>
      <c r="G527" t="inlineStr">
        <is>
          <t>KRISTIANSTAD</t>
        </is>
      </c>
      <c r="H527" t="inlineStr">
        <is>
          <t>Sveaskog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61356-2023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45260</v>
      </c>
      <c r="E528" s="1" t="n">
        <v>46260</v>
      </c>
      <c r="F528" t="inlineStr">
        <is>
          <t>SKÅNE LÄN</t>
        </is>
      </c>
      <c r="G528" t="inlineStr">
        <is>
          <t>KRISTIANSTAD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45012</v>
      </c>
      <c r="E529" s="1" t="n">
        <v>46260</v>
      </c>
      <c r="F529" t="inlineStr">
        <is>
          <t>SKÅNE LÄN</t>
        </is>
      </c>
      <c r="G529" t="inlineStr">
        <is>
          <t>KRISTIANSTAD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24347-2026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46169</v>
      </c>
      <c r="E530" s="1" t="n">
        <v>46260</v>
      </c>
      <c r="F530" t="inlineStr">
        <is>
          <t>SKÅNE LÄN</t>
        </is>
      </c>
      <c r="G530" t="inlineStr">
        <is>
          <t>KRISTIANSTAD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35721-2025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45860</v>
      </c>
      <c r="E531" s="1" t="n">
        <v>46260</v>
      </c>
      <c r="F531" t="inlineStr">
        <is>
          <t>SKÅNE LÄN</t>
        </is>
      </c>
      <c r="G531" t="inlineStr">
        <is>
          <t>KRISTIANSTAD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42092-2025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45903</v>
      </c>
      <c r="E532" s="1" t="n">
        <v>46260</v>
      </c>
      <c r="F532" t="inlineStr">
        <is>
          <t>SKÅNE LÄN</t>
        </is>
      </c>
      <c r="G532" t="inlineStr">
        <is>
          <t>KRISTIANSTAD</t>
        </is>
      </c>
      <c r="I532" t="n">
        <v>7.6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6597-2025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45700</v>
      </c>
      <c r="E533" s="1" t="n">
        <v>46260</v>
      </c>
      <c r="F533" t="inlineStr">
        <is>
          <t>SKÅNE LÄN</t>
        </is>
      </c>
      <c r="G533" t="inlineStr">
        <is>
          <t>KRISTIANSTAD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61701-2024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45648</v>
      </c>
      <c r="E534" s="1" t="n">
        <v>46260</v>
      </c>
      <c r="F534" t="inlineStr">
        <is>
          <t>SKÅNE LÄN</t>
        </is>
      </c>
      <c r="G534" t="inlineStr">
        <is>
          <t>KRISTIANSTAD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38778-2022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44816</v>
      </c>
      <c r="E535" s="1" t="n">
        <v>46260</v>
      </c>
      <c r="F535" t="inlineStr">
        <is>
          <t>SKÅNE LÄN</t>
        </is>
      </c>
      <c r="G535" t="inlineStr">
        <is>
          <t>KRISTIANSTAD</t>
        </is>
      </c>
      <c r="I535" t="n">
        <v>17.1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45664</v>
      </c>
      <c r="E536" s="1" t="n">
        <v>46260</v>
      </c>
      <c r="F536" t="inlineStr">
        <is>
          <t>SKÅNE LÄN</t>
        </is>
      </c>
      <c r="G536" t="inlineStr">
        <is>
          <t>KRISTIANSTAD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18744-2025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45763</v>
      </c>
      <c r="E537" s="1" t="n">
        <v>46260</v>
      </c>
      <c r="F537" t="inlineStr">
        <is>
          <t>SKÅNE LÄN</t>
        </is>
      </c>
      <c r="G537" t="inlineStr">
        <is>
          <t>KRISTIANSTAD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23850-2024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45455</v>
      </c>
      <c r="E538" s="1" t="n">
        <v>46260</v>
      </c>
      <c r="F538" t="inlineStr">
        <is>
          <t>SKÅNE LÄN</t>
        </is>
      </c>
      <c r="G538" t="inlineStr">
        <is>
          <t>KRISTIANSTAD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7056-2024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45343</v>
      </c>
      <c r="E539" s="1" t="n">
        <v>46260</v>
      </c>
      <c r="F539" t="inlineStr">
        <is>
          <t>SKÅNE LÄN</t>
        </is>
      </c>
      <c r="G539" t="inlineStr">
        <is>
          <t>KRISTIANSTAD</t>
        </is>
      </c>
      <c r="H539" t="inlineStr">
        <is>
          <t>Sveaskog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45658-2024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45579</v>
      </c>
      <c r="E540" s="1" t="n">
        <v>46260</v>
      </c>
      <c r="F540" t="inlineStr">
        <is>
          <t>SKÅNE LÄN</t>
        </is>
      </c>
      <c r="G540" t="inlineStr">
        <is>
          <t>KRISTIANSTAD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30457-2025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45827</v>
      </c>
      <c r="E541" s="1" t="n">
        <v>46260</v>
      </c>
      <c r="F541" t="inlineStr">
        <is>
          <t>SKÅNE LÄN</t>
        </is>
      </c>
      <c r="G541" t="inlineStr">
        <is>
          <t>KRISTIANSTAD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38121-2025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45882</v>
      </c>
      <c r="E542" s="1" t="n">
        <v>46260</v>
      </c>
      <c r="F542" t="inlineStr">
        <is>
          <t>SKÅNE LÄN</t>
        </is>
      </c>
      <c r="G542" t="inlineStr">
        <is>
          <t>KRISTIANSTAD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36158-2023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45149</v>
      </c>
      <c r="E543" s="1" t="n">
        <v>46260</v>
      </c>
      <c r="F543" t="inlineStr">
        <is>
          <t>SKÅNE LÄN</t>
        </is>
      </c>
      <c r="G543" t="inlineStr">
        <is>
          <t>KRISTIANSTAD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54308-2023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45232</v>
      </c>
      <c r="E544" s="1" t="n">
        <v>46260</v>
      </c>
      <c r="F544" t="inlineStr">
        <is>
          <t>SKÅNE LÄN</t>
        </is>
      </c>
      <c r="G544" t="inlineStr">
        <is>
          <t>KRISTIANSTAD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22292-2022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44712</v>
      </c>
      <c r="E545" s="1" t="n">
        <v>46260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19.5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46793-2025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45926</v>
      </c>
      <c r="E546" s="1" t="n">
        <v>46260</v>
      </c>
      <c r="F546" t="inlineStr">
        <is>
          <t>SKÅNE LÄN</t>
        </is>
      </c>
      <c r="G546" t="inlineStr">
        <is>
          <t>KRISTIANSTAD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45311</v>
      </c>
      <c r="E547" s="1" t="n">
        <v>46260</v>
      </c>
      <c r="F547" t="inlineStr">
        <is>
          <t>SKÅNE LÄN</t>
        </is>
      </c>
      <c r="G547" t="inlineStr">
        <is>
          <t>KRISTIANSTAD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22815-2023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45072</v>
      </c>
      <c r="E548" s="1" t="n">
        <v>46260</v>
      </c>
      <c r="F548" t="inlineStr">
        <is>
          <t>SKÅNE LÄN</t>
        </is>
      </c>
      <c r="G548" t="inlineStr">
        <is>
          <t>KRISTIANSTAD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44363-2024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45573</v>
      </c>
      <c r="E549" s="1" t="n">
        <v>46260</v>
      </c>
      <c r="F549" t="inlineStr">
        <is>
          <t>SKÅNE LÄN</t>
        </is>
      </c>
      <c r="G549" t="inlineStr">
        <is>
          <t>KRISTIANSTAD</t>
        </is>
      </c>
      <c r="H549" t="inlineStr">
        <is>
          <t>Sveaskog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49143-2025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45938</v>
      </c>
      <c r="E550" s="1" t="n">
        <v>46260</v>
      </c>
      <c r="F550" t="inlineStr">
        <is>
          <t>SKÅNE LÄN</t>
        </is>
      </c>
      <c r="G550" t="inlineStr">
        <is>
          <t>KRISTIANSTAD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35024-2023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45144</v>
      </c>
      <c r="E551" s="1" t="n">
        <v>46260</v>
      </c>
      <c r="F551" t="inlineStr">
        <is>
          <t>SKÅNE LÄN</t>
        </is>
      </c>
      <c r="G551" t="inlineStr">
        <is>
          <t>KRISTIANSTAD</t>
        </is>
      </c>
      <c r="H551" t="inlineStr">
        <is>
          <t>Övriga Aktiebolag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47231-2024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45586</v>
      </c>
      <c r="E552" s="1" t="n">
        <v>46260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34688-2024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45526</v>
      </c>
      <c r="E553" s="1" t="n">
        <v>46260</v>
      </c>
      <c r="F553" t="inlineStr">
        <is>
          <t>SKÅNE LÄN</t>
        </is>
      </c>
      <c r="G553" t="inlineStr">
        <is>
          <t>KRISTIANSTAD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31292-2026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46218</v>
      </c>
      <c r="E554" s="1" t="n">
        <v>46260</v>
      </c>
      <c r="F554" t="inlineStr">
        <is>
          <t>SKÅNE LÄN</t>
        </is>
      </c>
      <c r="G554" t="inlineStr">
        <is>
          <t>KRISTIANSTAD</t>
        </is>
      </c>
      <c r="H554" t="inlineStr">
        <is>
          <t>Sveaskog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8455-2025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45709</v>
      </c>
      <c r="E555" s="1" t="n">
        <v>46260</v>
      </c>
      <c r="F555" t="inlineStr">
        <is>
          <t>SKÅNE LÄN</t>
        </is>
      </c>
      <c r="G555" t="inlineStr">
        <is>
          <t>KRISTIANSTAD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11067-2022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44628</v>
      </c>
      <c r="E556" s="1" t="n">
        <v>46260</v>
      </c>
      <c r="F556" t="inlineStr">
        <is>
          <t>SKÅNE LÄN</t>
        </is>
      </c>
      <c r="G556" t="inlineStr">
        <is>
          <t>KRISTIANSTAD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8807-2025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45712</v>
      </c>
      <c r="E557" s="1" t="n">
        <v>46260</v>
      </c>
      <c r="F557" t="inlineStr">
        <is>
          <t>SKÅNE LÄN</t>
        </is>
      </c>
      <c r="G557" t="inlineStr">
        <is>
          <t>KRISTIANSTAD</t>
        </is>
      </c>
      <c r="I557" t="n">
        <v>7.1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16565-2024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45408</v>
      </c>
      <c r="E558" s="1" t="n">
        <v>46260</v>
      </c>
      <c r="F558" t="inlineStr">
        <is>
          <t>SKÅNE LÄN</t>
        </is>
      </c>
      <c r="G558" t="inlineStr">
        <is>
          <t>KRISTIANSTAD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31486-2026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46223</v>
      </c>
      <c r="E559" s="1" t="n">
        <v>46260</v>
      </c>
      <c r="F559" t="inlineStr">
        <is>
          <t>SKÅNE LÄN</t>
        </is>
      </c>
      <c r="G559" t="inlineStr">
        <is>
          <t>KRISTIANSTAD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37140-2025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45874</v>
      </c>
      <c r="E560" s="1" t="n">
        <v>46260</v>
      </c>
      <c r="F560" t="inlineStr">
        <is>
          <t>SKÅNE LÄN</t>
        </is>
      </c>
      <c r="G560" t="inlineStr">
        <is>
          <t>KRISTIANSTAD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36916-2025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45874</v>
      </c>
      <c r="E561" s="1" t="n">
        <v>46260</v>
      </c>
      <c r="F561" t="inlineStr">
        <is>
          <t>SKÅNE LÄN</t>
        </is>
      </c>
      <c r="G561" t="inlineStr">
        <is>
          <t>KRISTIANSTAD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37141-2025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45874</v>
      </c>
      <c r="E562" s="1" t="n">
        <v>46260</v>
      </c>
      <c r="F562" t="inlineStr">
        <is>
          <t>SKÅNE LÄN</t>
        </is>
      </c>
      <c r="G562" t="inlineStr">
        <is>
          <t>KRISTIANSTAD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44378-2024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45573</v>
      </c>
      <c r="E563" s="1" t="n">
        <v>46260</v>
      </c>
      <c r="F563" t="inlineStr">
        <is>
          <t>SKÅNE LÄN</t>
        </is>
      </c>
      <c r="G563" t="inlineStr">
        <is>
          <t>KRISTIANSTAD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14965-2024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45398</v>
      </c>
      <c r="E564" s="1" t="n">
        <v>46260</v>
      </c>
      <c r="F564" t="inlineStr">
        <is>
          <t>SKÅNE LÄN</t>
        </is>
      </c>
      <c r="G564" t="inlineStr">
        <is>
          <t>KRISTIANSTAD</t>
        </is>
      </c>
      <c r="I564" t="n">
        <v>13.5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22504-2022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44713</v>
      </c>
      <c r="E565" s="1" t="n">
        <v>46260</v>
      </c>
      <c r="F565" t="inlineStr">
        <is>
          <t>SKÅNE LÄN</t>
        </is>
      </c>
      <c r="G565" t="inlineStr">
        <is>
          <t>KRISTIANSTAD</t>
        </is>
      </c>
      <c r="H565" t="inlineStr">
        <is>
          <t>Övriga Aktiebolag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51903-2024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45607</v>
      </c>
      <c r="E566" s="1" t="n">
        <v>46260</v>
      </c>
      <c r="F566" t="inlineStr">
        <is>
          <t>SKÅNE LÄN</t>
        </is>
      </c>
      <c r="G566" t="inlineStr">
        <is>
          <t>KRISTIANSTAD</t>
        </is>
      </c>
      <c r="H566" t="inlineStr">
        <is>
          <t>Övriga Aktiebolag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51898-2024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45607</v>
      </c>
      <c r="E567" s="1" t="n">
        <v>46260</v>
      </c>
      <c r="F567" t="inlineStr">
        <is>
          <t>SKÅNE LÄN</t>
        </is>
      </c>
      <c r="G567" t="inlineStr">
        <is>
          <t>KRISTIANSTAD</t>
        </is>
      </c>
      <c r="H567" t="inlineStr">
        <is>
          <t>Övriga Aktiebolag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25565-2026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46177</v>
      </c>
      <c r="E568" s="1" t="n">
        <v>46260</v>
      </c>
      <c r="F568" t="inlineStr">
        <is>
          <t>SKÅNE LÄN</t>
        </is>
      </c>
      <c r="G568" t="inlineStr">
        <is>
          <t>KRISTIANSTAD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7546-2022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44607</v>
      </c>
      <c r="E569" s="1" t="n">
        <v>46260</v>
      </c>
      <c r="F569" t="inlineStr">
        <is>
          <t>SKÅNE LÄN</t>
        </is>
      </c>
      <c r="G569" t="inlineStr">
        <is>
          <t>KRISTIANSTAD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38400-2024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45546</v>
      </c>
      <c r="E570" s="1" t="n">
        <v>46260</v>
      </c>
      <c r="F570" t="inlineStr">
        <is>
          <t>SKÅNE LÄN</t>
        </is>
      </c>
      <c r="G570" t="inlineStr">
        <is>
          <t>KRISTIANSTAD</t>
        </is>
      </c>
      <c r="H570" t="inlineStr">
        <is>
          <t>Övriga Aktiebolag</t>
        </is>
      </c>
      <c r="I570" t="n">
        <v>19.8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40896-2024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45558</v>
      </c>
      <c r="E571" s="1" t="n">
        <v>46260</v>
      </c>
      <c r="F571" t="inlineStr">
        <is>
          <t>SKÅNE LÄN</t>
        </is>
      </c>
      <c r="G571" t="inlineStr">
        <is>
          <t>KRISTIANSTAD</t>
        </is>
      </c>
      <c r="H571" t="inlineStr">
        <is>
          <t>Övriga Aktiebolag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40903-2024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45558</v>
      </c>
      <c r="E572" s="1" t="n">
        <v>46260</v>
      </c>
      <c r="F572" t="inlineStr">
        <is>
          <t>SKÅNE LÄN</t>
        </is>
      </c>
      <c r="G572" t="inlineStr">
        <is>
          <t>KRISTIANSTAD</t>
        </is>
      </c>
      <c r="H572" t="inlineStr">
        <is>
          <t>Övriga Aktiebolag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17693-2024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45418</v>
      </c>
      <c r="E573" s="1" t="n">
        <v>46260</v>
      </c>
      <c r="F573" t="inlineStr">
        <is>
          <t>SKÅNE LÄN</t>
        </is>
      </c>
      <c r="G573" t="inlineStr">
        <is>
          <t>KRISTIANSTAD</t>
        </is>
      </c>
      <c r="H573" t="inlineStr">
        <is>
          <t>Övriga Aktiebolag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46182-2024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45581</v>
      </c>
      <c r="E574" s="1" t="n">
        <v>46260</v>
      </c>
      <c r="F574" t="inlineStr">
        <is>
          <t>SKÅNE LÄN</t>
        </is>
      </c>
      <c r="G574" t="inlineStr">
        <is>
          <t>KRISTIANSTAD</t>
        </is>
      </c>
      <c r="H574" t="inlineStr">
        <is>
          <t>Övriga Aktiebolag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19880-2023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45054</v>
      </c>
      <c r="E575" s="1" t="n">
        <v>46260</v>
      </c>
      <c r="F575" t="inlineStr">
        <is>
          <t>SKÅNE LÄN</t>
        </is>
      </c>
      <c r="G575" t="inlineStr">
        <is>
          <t>KRISTIANSTAD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45609-2023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45194</v>
      </c>
      <c r="E576" s="1" t="n">
        <v>46260</v>
      </c>
      <c r="F576" t="inlineStr">
        <is>
          <t>SKÅNE LÄN</t>
        </is>
      </c>
      <c r="G576" t="inlineStr">
        <is>
          <t>KRISTIANSTAD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31472-2026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46222</v>
      </c>
      <c r="E577" s="1" t="n">
        <v>46260</v>
      </c>
      <c r="F577" t="inlineStr">
        <is>
          <t>SKÅNE LÄN</t>
        </is>
      </c>
      <c r="G577" t="inlineStr">
        <is>
          <t>KRISTIANSTAD</t>
        </is>
      </c>
      <c r="H577" t="inlineStr">
        <is>
          <t>Sveaskog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27287-2025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45812</v>
      </c>
      <c r="E578" s="1" t="n">
        <v>46260</v>
      </c>
      <c r="F578" t="inlineStr">
        <is>
          <t>SKÅNE LÄN</t>
        </is>
      </c>
      <c r="G578" t="inlineStr">
        <is>
          <t>KRISTIANSTAD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61491-2024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45646</v>
      </c>
      <c r="E579" s="1" t="n">
        <v>46260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24952-2023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45085</v>
      </c>
      <c r="E580" s="1" t="n">
        <v>46260</v>
      </c>
      <c r="F580" t="inlineStr">
        <is>
          <t>SKÅNE LÄN</t>
        </is>
      </c>
      <c r="G580" t="inlineStr">
        <is>
          <t>KRISTIANSTAD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11150-2023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44992</v>
      </c>
      <c r="E581" s="1" t="n">
        <v>46260</v>
      </c>
      <c r="F581" t="inlineStr">
        <is>
          <t>SKÅNE LÄN</t>
        </is>
      </c>
      <c r="G581" t="inlineStr">
        <is>
          <t>KRISTIANSTAD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26168-2026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46260</v>
      </c>
      <c r="F582" t="inlineStr">
        <is>
          <t>SKÅNE LÄN</t>
        </is>
      </c>
      <c r="G582" t="inlineStr">
        <is>
          <t>KRISTIANSTAD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1668-2024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45306</v>
      </c>
      <c r="E583" s="1" t="n">
        <v>46260</v>
      </c>
      <c r="F583" t="inlineStr">
        <is>
          <t>SKÅNE LÄN</t>
        </is>
      </c>
      <c r="G583" t="inlineStr">
        <is>
          <t>KRISTIANSTAD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1736-2024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45307</v>
      </c>
      <c r="E584" s="1" t="n">
        <v>46260</v>
      </c>
      <c r="F584" t="inlineStr">
        <is>
          <t>SKÅNE LÄN</t>
        </is>
      </c>
      <c r="G584" t="inlineStr">
        <is>
          <t>KRISTIANSTAD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45493</v>
      </c>
      <c r="E585" s="1" t="n">
        <v>46260</v>
      </c>
      <c r="F585" t="inlineStr">
        <is>
          <t>SKÅNE LÄN</t>
        </is>
      </c>
      <c r="G585" t="inlineStr">
        <is>
          <t>KRISTIANSTAD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13523-2024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45387</v>
      </c>
      <c r="E586" s="1" t="n">
        <v>46260</v>
      </c>
      <c r="F586" t="inlineStr">
        <is>
          <t>SKÅNE LÄN</t>
        </is>
      </c>
      <c r="G586" t="inlineStr">
        <is>
          <t>KRISTIANSTAD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52057-2021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44463</v>
      </c>
      <c r="E587" s="1" t="n">
        <v>46260</v>
      </c>
      <c r="F587" t="inlineStr">
        <is>
          <t>SKÅNE LÄN</t>
        </is>
      </c>
      <c r="G587" t="inlineStr">
        <is>
          <t>KRISTIANSTAD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27590-2024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45474</v>
      </c>
      <c r="E588" s="1" t="n">
        <v>46260</v>
      </c>
      <c r="F588" t="inlineStr">
        <is>
          <t>SKÅNE LÄN</t>
        </is>
      </c>
      <c r="G588" t="inlineStr">
        <is>
          <t>KRISTIANSTAD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44579-2023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45189</v>
      </c>
      <c r="E589" s="1" t="n">
        <v>46260</v>
      </c>
      <c r="F589" t="inlineStr">
        <is>
          <t>SKÅNE LÄN</t>
        </is>
      </c>
      <c r="G589" t="inlineStr">
        <is>
          <t>KRISTIANSTAD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27447-2026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46260</v>
      </c>
      <c r="F590" t="inlineStr">
        <is>
          <t>SKÅNE LÄN</t>
        </is>
      </c>
      <c r="G590" t="inlineStr">
        <is>
          <t>KRISTIANSTAD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1426-2025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45668</v>
      </c>
      <c r="E591" s="1" t="n">
        <v>46260</v>
      </c>
      <c r="F591" t="inlineStr">
        <is>
          <t>SKÅNE LÄN</t>
        </is>
      </c>
      <c r="G591" t="inlineStr">
        <is>
          <t>KRISTIANSTAD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6152-2026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46055</v>
      </c>
      <c r="E592" s="1" t="n">
        <v>46260</v>
      </c>
      <c r="F592" t="inlineStr">
        <is>
          <t>SKÅNE LÄN</t>
        </is>
      </c>
      <c r="G592" t="inlineStr">
        <is>
          <t>KRISTIANSTAD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41636-2025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45902</v>
      </c>
      <c r="E593" s="1" t="n">
        <v>46260</v>
      </c>
      <c r="F593" t="inlineStr">
        <is>
          <t>SKÅNE LÄN</t>
        </is>
      </c>
      <c r="G593" t="inlineStr">
        <is>
          <t>KRISTIANSTAD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46041</v>
      </c>
      <c r="E594" s="1" t="n">
        <v>46260</v>
      </c>
      <c r="F594" t="inlineStr">
        <is>
          <t>SKÅNE LÄN</t>
        </is>
      </c>
      <c r="G594" t="inlineStr">
        <is>
          <t>KRISTIANSTAD</t>
        </is>
      </c>
      <c r="I594" t="n">
        <v>11.1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64835-2023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45282</v>
      </c>
      <c r="E595" s="1" t="n">
        <v>46260</v>
      </c>
      <c r="F595" t="inlineStr">
        <is>
          <t>SKÅNE LÄN</t>
        </is>
      </c>
      <c r="G595" t="inlineStr">
        <is>
          <t>KRISTIANSTAD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8804-2025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45712</v>
      </c>
      <c r="E596" s="1" t="n">
        <v>46260</v>
      </c>
      <c r="F596" t="inlineStr">
        <is>
          <t>SKÅNE LÄN</t>
        </is>
      </c>
      <c r="G596" t="inlineStr">
        <is>
          <t>KRISTIANSTAD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63561-2023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45274</v>
      </c>
      <c r="E597" s="1" t="n">
        <v>46260</v>
      </c>
      <c r="F597" t="inlineStr">
        <is>
          <t>SKÅNE LÄN</t>
        </is>
      </c>
      <c r="G597" t="inlineStr">
        <is>
          <t>KRISTIANSTAD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13954-2025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45737</v>
      </c>
      <c r="E598" s="1" t="n">
        <v>46260</v>
      </c>
      <c r="F598" t="inlineStr">
        <is>
          <t>SKÅNE LÄN</t>
        </is>
      </c>
      <c r="G598" t="inlineStr">
        <is>
          <t>KRISTIANSTAD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61550-2023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45265</v>
      </c>
      <c r="E599" s="1" t="n">
        <v>46260</v>
      </c>
      <c r="F599" t="inlineStr">
        <is>
          <t>SKÅNE LÄN</t>
        </is>
      </c>
      <c r="G599" t="inlineStr">
        <is>
          <t>KRISTIANSTAD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32263-2026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46237</v>
      </c>
      <c r="E600" s="1" t="n">
        <v>46260</v>
      </c>
      <c r="F600" t="inlineStr">
        <is>
          <t>SKÅNE LÄN</t>
        </is>
      </c>
      <c r="G600" t="inlineStr">
        <is>
          <t>KRISTIANSTAD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56633-2022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44893</v>
      </c>
      <c r="E601" s="1" t="n">
        <v>46260</v>
      </c>
      <c r="F601" t="inlineStr">
        <is>
          <t>SKÅNE LÄN</t>
        </is>
      </c>
      <c r="G601" t="inlineStr">
        <is>
          <t>KRISTIANSTAD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25249-2022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44729</v>
      </c>
      <c r="E602" s="1" t="n">
        <v>46260</v>
      </c>
      <c r="F602" t="inlineStr">
        <is>
          <t>SKÅNE LÄN</t>
        </is>
      </c>
      <c r="G602" t="inlineStr">
        <is>
          <t>KRISTIANSTAD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28722-2026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46198</v>
      </c>
      <c r="E603" s="1" t="n">
        <v>46260</v>
      </c>
      <c r="F603" t="inlineStr">
        <is>
          <t>SKÅNE LÄN</t>
        </is>
      </c>
      <c r="G603" t="inlineStr">
        <is>
          <t>KRISTIANSTAD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5958-2024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45336</v>
      </c>
      <c r="E604" s="1" t="n">
        <v>46260</v>
      </c>
      <c r="F604" t="inlineStr">
        <is>
          <t>SKÅNE LÄN</t>
        </is>
      </c>
      <c r="G604" t="inlineStr">
        <is>
          <t>KRISTIANSTAD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18046-2024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45420</v>
      </c>
      <c r="E605" s="1" t="n">
        <v>46260</v>
      </c>
      <c r="F605" t="inlineStr">
        <is>
          <t>SKÅNE LÄN</t>
        </is>
      </c>
      <c r="G605" t="inlineStr">
        <is>
          <t>KRISTIANSTAD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24164-2023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45079</v>
      </c>
      <c r="E606" s="1" t="n">
        <v>46260</v>
      </c>
      <c r="F606" t="inlineStr">
        <is>
          <t>SKÅNE LÄN</t>
        </is>
      </c>
      <c r="G606" t="inlineStr">
        <is>
          <t>KRISTIANSTAD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45315</v>
      </c>
      <c r="E607" s="1" t="n">
        <v>46260</v>
      </c>
      <c r="F607" t="inlineStr">
        <is>
          <t>SKÅNE LÄN</t>
        </is>
      </c>
      <c r="G607" t="inlineStr">
        <is>
          <t>KRISTIANSTAD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32397-2023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45120</v>
      </c>
      <c r="E608" s="1" t="n">
        <v>46260</v>
      </c>
      <c r="F608" t="inlineStr">
        <is>
          <t>SKÅNE LÄN</t>
        </is>
      </c>
      <c r="G608" t="inlineStr">
        <is>
          <t>KRISTIANSTAD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1871-2024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45307</v>
      </c>
      <c r="E609" s="1" t="n">
        <v>46260</v>
      </c>
      <c r="F609" t="inlineStr">
        <is>
          <t>SKÅNE LÄN</t>
        </is>
      </c>
      <c r="G609" t="inlineStr">
        <is>
          <t>KRISTIANSTAD</t>
        </is>
      </c>
      <c r="H609" t="inlineStr">
        <is>
          <t>Övriga Aktiebolag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13070-2023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45002</v>
      </c>
      <c r="E610" s="1" t="n">
        <v>46260</v>
      </c>
      <c r="F610" t="inlineStr">
        <is>
          <t>SKÅNE LÄN</t>
        </is>
      </c>
      <c r="G610" t="inlineStr">
        <is>
          <t>KRISTIANSTAD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25759-2024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45465</v>
      </c>
      <c r="E611" s="1" t="n">
        <v>46260</v>
      </c>
      <c r="F611" t="inlineStr">
        <is>
          <t>SKÅNE LÄN</t>
        </is>
      </c>
      <c r="G611" t="inlineStr">
        <is>
          <t>KRISTIANSTAD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14442-2023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45012</v>
      </c>
      <c r="E612" s="1" t="n">
        <v>46260</v>
      </c>
      <c r="F612" t="inlineStr">
        <is>
          <t>SKÅNE LÄN</t>
        </is>
      </c>
      <c r="G612" t="inlineStr">
        <is>
          <t>KRISTIANSTAD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29169-2026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46202</v>
      </c>
      <c r="E613" s="1" t="n">
        <v>46260</v>
      </c>
      <c r="F613" t="inlineStr">
        <is>
          <t>SKÅNE LÄN</t>
        </is>
      </c>
      <c r="G613" t="inlineStr">
        <is>
          <t>KRISTIANSTAD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32849-2026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46244</v>
      </c>
      <c r="E614" s="1" t="n">
        <v>46260</v>
      </c>
      <c r="F614" t="inlineStr">
        <is>
          <t>SKÅNE LÄN</t>
        </is>
      </c>
      <c r="G614" t="inlineStr">
        <is>
          <t>KRISTIANSTAD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54631-2023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45228</v>
      </c>
      <c r="E615" s="1" t="n">
        <v>46260</v>
      </c>
      <c r="F615" t="inlineStr">
        <is>
          <t>SKÅNE LÄN</t>
        </is>
      </c>
      <c r="G615" t="inlineStr">
        <is>
          <t>KRISTIANSTAD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8750-2024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45343</v>
      </c>
      <c r="E616" s="1" t="n">
        <v>46260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18524-2023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45042</v>
      </c>
      <c r="E617" s="1" t="n">
        <v>46260</v>
      </c>
      <c r="F617" t="inlineStr">
        <is>
          <t>SKÅNE LÄN</t>
        </is>
      </c>
      <c r="G617" t="inlineStr">
        <is>
          <t>KRISTIANSTAD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1943-2025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45672</v>
      </c>
      <c r="E618" s="1" t="n">
        <v>46260</v>
      </c>
      <c r="F618" t="inlineStr">
        <is>
          <t>SKÅNE LÄN</t>
        </is>
      </c>
      <c r="G618" t="inlineStr">
        <is>
          <t>KRISTIANSTAD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6451-2024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45338</v>
      </c>
      <c r="E619" s="1" t="n">
        <v>46260</v>
      </c>
      <c r="F619" t="inlineStr">
        <is>
          <t>SKÅNE LÄN</t>
        </is>
      </c>
      <c r="G619" t="inlineStr">
        <is>
          <t>KRISTIANSTAD</t>
        </is>
      </c>
      <c r="I619" t="n">
        <v>15.8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16527-2026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46112</v>
      </c>
      <c r="E620" s="1" t="n">
        <v>46260</v>
      </c>
      <c r="F620" t="inlineStr">
        <is>
          <t>SKÅNE LÄN</t>
        </is>
      </c>
      <c r="G620" t="inlineStr">
        <is>
          <t>KRISTIANSTAD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33701-2026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46250</v>
      </c>
      <c r="E621" s="1" t="n">
        <v>46260</v>
      </c>
      <c r="F621" t="inlineStr">
        <is>
          <t>SKÅNE LÄN</t>
        </is>
      </c>
      <c r="G621" t="inlineStr">
        <is>
          <t>KRISTIANSTAD</t>
        </is>
      </c>
      <c r="H621" t="inlineStr">
        <is>
          <t>Sveaskog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14837-2023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45014</v>
      </c>
      <c r="E622" s="1" t="n">
        <v>46260</v>
      </c>
      <c r="F622" t="inlineStr">
        <is>
          <t>SKÅNE LÄN</t>
        </is>
      </c>
      <c r="G622" t="inlineStr">
        <is>
          <t>KRISTIANSTAD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10580-2023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44988</v>
      </c>
      <c r="E623" s="1" t="n">
        <v>46260</v>
      </c>
      <c r="F623" t="inlineStr">
        <is>
          <t>SKÅNE LÄN</t>
        </is>
      </c>
      <c r="G623" t="inlineStr">
        <is>
          <t>KRISTIANSTAD</t>
        </is>
      </c>
      <c r="H623" t="inlineStr">
        <is>
          <t>Övriga Aktiebolag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17571-2024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45415</v>
      </c>
      <c r="E624" s="1" t="n">
        <v>46260</v>
      </c>
      <c r="F624" t="inlineStr">
        <is>
          <t>SKÅNE LÄN</t>
        </is>
      </c>
      <c r="G624" t="inlineStr">
        <is>
          <t>KRISTIANSTAD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12235-2023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44998</v>
      </c>
      <c r="E625" s="1" t="n">
        <v>46260</v>
      </c>
      <c r="F625" t="inlineStr">
        <is>
          <t>SKÅNE LÄN</t>
        </is>
      </c>
      <c r="G625" t="inlineStr">
        <is>
          <t>KRISTIANSTAD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15322-2023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45019</v>
      </c>
      <c r="E626" s="1" t="n">
        <v>46260</v>
      </c>
      <c r="F626" t="inlineStr">
        <is>
          <t>SKÅNE LÄN</t>
        </is>
      </c>
      <c r="G626" t="inlineStr">
        <is>
          <t>KRISTIANSTAD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32814-2023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45124</v>
      </c>
      <c r="E627" s="1" t="n">
        <v>46260</v>
      </c>
      <c r="F627" t="inlineStr">
        <is>
          <t>SKÅNE LÄN</t>
        </is>
      </c>
      <c r="G627" t="inlineStr">
        <is>
          <t>KRISTIANSTAD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61198-2021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44497</v>
      </c>
      <c r="E628" s="1" t="n">
        <v>46260</v>
      </c>
      <c r="F628" t="inlineStr">
        <is>
          <t>SKÅNE LÄN</t>
        </is>
      </c>
      <c r="G628" t="inlineStr">
        <is>
          <t>KRISTIANSTAD</t>
        </is>
      </c>
      <c r="I628" t="n">
        <v>13.8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33702-2026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46250</v>
      </c>
      <c r="E629" s="1" t="n">
        <v>46260</v>
      </c>
      <c r="F629" t="inlineStr">
        <is>
          <t>SKÅNE LÄN</t>
        </is>
      </c>
      <c r="G629" t="inlineStr">
        <is>
          <t>KRISTIANSTAD</t>
        </is>
      </c>
      <c r="H629" t="inlineStr">
        <is>
          <t>Sveaskog</t>
        </is>
      </c>
      <c r="I629" t="n">
        <v>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1733-2024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45307</v>
      </c>
      <c r="E630" s="1" t="n">
        <v>46260</v>
      </c>
      <c r="F630" t="inlineStr">
        <is>
          <t>SKÅNE LÄN</t>
        </is>
      </c>
      <c r="G630" t="inlineStr">
        <is>
          <t>KRISTIANSTAD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58269-2022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44894</v>
      </c>
      <c r="E631" s="1" t="n">
        <v>46260</v>
      </c>
      <c r="F631" t="inlineStr">
        <is>
          <t>SKÅNE LÄN</t>
        </is>
      </c>
      <c r="G631" t="inlineStr">
        <is>
          <t>KRISTIANSTAD</t>
        </is>
      </c>
      <c r="I631" t="n">
        <v>14.9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25766-2024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45465</v>
      </c>
      <c r="E632" s="1" t="n">
        <v>46260</v>
      </c>
      <c r="F632" t="inlineStr">
        <is>
          <t>SKÅNE LÄN</t>
        </is>
      </c>
      <c r="G632" t="inlineStr">
        <is>
          <t>KRISTIANSTAD</t>
        </is>
      </c>
      <c r="I632" t="n">
        <v>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34291-2026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46253</v>
      </c>
      <c r="E633" s="1" t="n">
        <v>46260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45348-2023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45191</v>
      </c>
      <c r="E634" s="1" t="n">
        <v>46260</v>
      </c>
      <c r="F634" t="inlineStr">
        <is>
          <t>SKÅNE LÄN</t>
        </is>
      </c>
      <c r="G634" t="inlineStr">
        <is>
          <t>KRISTIANSTAD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826-2024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45300</v>
      </c>
      <c r="E635" s="1" t="n">
        <v>46260</v>
      </c>
      <c r="F635" t="inlineStr">
        <is>
          <t>SKÅNE LÄN</t>
        </is>
      </c>
      <c r="G635" t="inlineStr">
        <is>
          <t>KRISTIANSTAD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885-2024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45301</v>
      </c>
      <c r="E636" s="1" t="n">
        <v>46260</v>
      </c>
      <c r="F636" t="inlineStr">
        <is>
          <t>SKÅNE LÄN</t>
        </is>
      </c>
      <c r="G636" t="inlineStr">
        <is>
          <t>KRISTIANSTAD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26827-2024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45470</v>
      </c>
      <c r="E637" s="1" t="n">
        <v>46260</v>
      </c>
      <c r="F637" t="inlineStr">
        <is>
          <t>SKÅNE LÄN</t>
        </is>
      </c>
      <c r="G637" t="inlineStr">
        <is>
          <t>KRISTIANSTAD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19997-2026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46135</v>
      </c>
      <c r="E638" s="1" t="n">
        <v>46260</v>
      </c>
      <c r="F638" t="inlineStr">
        <is>
          <t>SKÅNE LÄN</t>
        </is>
      </c>
      <c r="G638" t="inlineStr">
        <is>
          <t>KRISTIANSTAD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34159-2026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46253</v>
      </c>
      <c r="E639" s="1" t="n">
        <v>46260</v>
      </c>
      <c r="F639" t="inlineStr">
        <is>
          <t>SKÅNE LÄN</t>
        </is>
      </c>
      <c r="G639" t="inlineStr">
        <is>
          <t>KRISTIANSTAD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34293-2026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46253</v>
      </c>
      <c r="E640" s="1" t="n">
        <v>46260</v>
      </c>
      <c r="F640" t="inlineStr">
        <is>
          <t>SKÅNE LÄN</t>
        </is>
      </c>
      <c r="G640" t="inlineStr">
        <is>
          <t>KRISTIANSTAD</t>
        </is>
      </c>
      <c r="H640" t="inlineStr">
        <is>
          <t>Sveaskog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27932-2023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45098</v>
      </c>
      <c r="E641" s="1" t="n">
        <v>46260</v>
      </c>
      <c r="F641" t="inlineStr">
        <is>
          <t>SKÅNE LÄN</t>
        </is>
      </c>
      <c r="G641" t="inlineStr">
        <is>
          <t>KRISTIANSTAD</t>
        </is>
      </c>
      <c r="I641" t="n">
        <v>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52064-2024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45608</v>
      </c>
      <c r="E642" s="1" t="n">
        <v>46260</v>
      </c>
      <c r="F642" t="inlineStr">
        <is>
          <t>SKÅNE LÄN</t>
        </is>
      </c>
      <c r="G642" t="inlineStr">
        <is>
          <t>KRISTIANSTAD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56930-2022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44894</v>
      </c>
      <c r="E643" s="1" t="n">
        <v>46260</v>
      </c>
      <c r="F643" t="inlineStr">
        <is>
          <t>SKÅNE LÄN</t>
        </is>
      </c>
      <c r="G643" t="inlineStr">
        <is>
          <t>KRISTIANSTAD</t>
        </is>
      </c>
      <c r="H643" t="inlineStr">
        <is>
          <t>Kyrkan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3796-2024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45321</v>
      </c>
      <c r="E644" s="1" t="n">
        <v>46260</v>
      </c>
      <c r="F644" t="inlineStr">
        <is>
          <t>SKÅNE LÄN</t>
        </is>
      </c>
      <c r="G644" t="inlineStr">
        <is>
          <t>KRISTIANSTAD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34294-2026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46253</v>
      </c>
      <c r="E645" s="1" t="n">
        <v>46260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27402-2026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46189</v>
      </c>
      <c r="E646" s="1" t="n">
        <v>46260</v>
      </c>
      <c r="F646" t="inlineStr">
        <is>
          <t>SKÅNE LÄN</t>
        </is>
      </c>
      <c r="G646" t="inlineStr">
        <is>
          <t>KRISTIANSTAD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27561-2026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46190</v>
      </c>
      <c r="E647" s="1" t="n">
        <v>46260</v>
      </c>
      <c r="F647" t="inlineStr">
        <is>
          <t>SKÅNE LÄN</t>
        </is>
      </c>
      <c r="G647" t="inlineStr">
        <is>
          <t>KRISTIANSTAD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30851-2026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46212</v>
      </c>
      <c r="E648" s="1" t="n">
        <v>46260</v>
      </c>
      <c r="F648" t="inlineStr">
        <is>
          <t>SKÅNE LÄN</t>
        </is>
      </c>
      <c r="G648" t="inlineStr">
        <is>
          <t>KRISTIANSTAD</t>
        </is>
      </c>
      <c r="H648" t="inlineStr">
        <is>
          <t>Sveaskog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30811-2026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46212</v>
      </c>
      <c r="E649" s="1" t="n">
        <v>46260</v>
      </c>
      <c r="F649" t="inlineStr">
        <is>
          <t>SKÅNE LÄN</t>
        </is>
      </c>
      <c r="G649" t="inlineStr">
        <is>
          <t>KRISTIANSTAD</t>
        </is>
      </c>
      <c r="H649" t="inlineStr">
        <is>
          <t>Sveaskog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2881-2024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45315</v>
      </c>
      <c r="E650" s="1" t="n">
        <v>46260</v>
      </c>
      <c r="F650" t="inlineStr">
        <is>
          <t>SKÅNE LÄN</t>
        </is>
      </c>
      <c r="G650" t="inlineStr">
        <is>
          <t>KRISTIANSTAD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30844-2026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46212</v>
      </c>
      <c r="E651" s="1" t="n">
        <v>46260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30849-2026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46212</v>
      </c>
      <c r="E652" s="1" t="n">
        <v>46260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23673-2023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45077</v>
      </c>
      <c r="E653" s="1" t="n">
        <v>46260</v>
      </c>
      <c r="F653" t="inlineStr">
        <is>
          <t>SKÅNE LÄN</t>
        </is>
      </c>
      <c r="G653" t="inlineStr">
        <is>
          <t>KRISTIANSTAD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23674-2023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45077</v>
      </c>
      <c r="E654" s="1" t="n">
        <v>46260</v>
      </c>
      <c r="F654" t="inlineStr">
        <is>
          <t>SKÅNE LÄN</t>
        </is>
      </c>
      <c r="G654" t="inlineStr">
        <is>
          <t>KRISTIANSTAD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42919-2024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45566</v>
      </c>
      <c r="E655" s="1" t="n">
        <v>46260</v>
      </c>
      <c r="F655" t="inlineStr">
        <is>
          <t>SKÅNE LÄN</t>
        </is>
      </c>
      <c r="G655" t="inlineStr">
        <is>
          <t>KRISTIANSTAD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10988-2023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44991</v>
      </c>
      <c r="E656" s="1" t="n">
        <v>46260</v>
      </c>
      <c r="F656" t="inlineStr">
        <is>
          <t>SKÅNE LÄN</t>
        </is>
      </c>
      <c r="G656" t="inlineStr">
        <is>
          <t>KRISTIANSTAD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15957-2023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45022</v>
      </c>
      <c r="E657" s="1" t="n">
        <v>46260</v>
      </c>
      <c r="F657" t="inlineStr">
        <is>
          <t>SKÅNE LÄN</t>
        </is>
      </c>
      <c r="G657" t="inlineStr">
        <is>
          <t>KRISTIANSTAD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34930-2026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46256</v>
      </c>
      <c r="E658" s="1" t="n">
        <v>46260</v>
      </c>
      <c r="F658" t="inlineStr">
        <is>
          <t>SKÅNE LÄN</t>
        </is>
      </c>
      <c r="G658" t="inlineStr">
        <is>
          <t>KRISTIANSTAD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31038-2026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46214</v>
      </c>
      <c r="E659" s="1" t="n">
        <v>46260</v>
      </c>
      <c r="F659" t="inlineStr">
        <is>
          <t>SKÅNE LÄN</t>
        </is>
      </c>
      <c r="G659" t="inlineStr">
        <is>
          <t>KRISTIANSTAD</t>
        </is>
      </c>
      <c r="H659" t="inlineStr">
        <is>
          <t>Sveaskog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59597-2023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45254</v>
      </c>
      <c r="E660" s="1" t="n">
        <v>46260</v>
      </c>
      <c r="F660" t="inlineStr">
        <is>
          <t>SKÅNE LÄN</t>
        </is>
      </c>
      <c r="G660" t="inlineStr">
        <is>
          <t>KRISTIANSTAD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5939-2023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44963</v>
      </c>
      <c r="E661" s="1" t="n">
        <v>46260</v>
      </c>
      <c r="F661" t="inlineStr">
        <is>
          <t>SKÅNE LÄN</t>
        </is>
      </c>
      <c r="G661" t="inlineStr">
        <is>
          <t>KRISTIANSTAD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31219-2026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46217</v>
      </c>
      <c r="E662" s="1" t="n">
        <v>46260</v>
      </c>
      <c r="F662" t="inlineStr">
        <is>
          <t>SKÅNE LÄN</t>
        </is>
      </c>
      <c r="G662" t="inlineStr">
        <is>
          <t>KRISTIANSTAD</t>
        </is>
      </c>
      <c r="H662" t="inlineStr">
        <is>
          <t>Sveaskog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8876-2024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45356</v>
      </c>
      <c r="E663" s="1" t="n">
        <v>46260</v>
      </c>
      <c r="F663" t="inlineStr">
        <is>
          <t>SKÅNE LÄN</t>
        </is>
      </c>
      <c r="G663" t="inlineStr">
        <is>
          <t>KRISTIANSTAD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11721-2025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45727</v>
      </c>
      <c r="E664" s="1" t="n">
        <v>46260</v>
      </c>
      <c r="F664" t="inlineStr">
        <is>
          <t>SKÅNE LÄN</t>
        </is>
      </c>
      <c r="G664" t="inlineStr">
        <is>
          <t>KRISTIANSTAD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34783-2026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46255</v>
      </c>
      <c r="E665" s="1" t="n">
        <v>46260</v>
      </c>
      <c r="F665" t="inlineStr">
        <is>
          <t>SKÅNE LÄN</t>
        </is>
      </c>
      <c r="G665" t="inlineStr">
        <is>
          <t>KRISTIANSTAD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62350-2023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45267</v>
      </c>
      <c r="E666" s="1" t="n">
        <v>46260</v>
      </c>
      <c r="F666" t="inlineStr">
        <is>
          <t>SKÅNE LÄN</t>
        </is>
      </c>
      <c r="G666" t="inlineStr">
        <is>
          <t>KRISTIANSTAD</t>
        </is>
      </c>
      <c r="H666" t="inlineStr">
        <is>
          <t>Sveaskog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14471-2024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45394</v>
      </c>
      <c r="E667" s="1" t="n">
        <v>46260</v>
      </c>
      <c r="F667" t="inlineStr">
        <is>
          <t>SKÅNE LÄN</t>
        </is>
      </c>
      <c r="G667" t="inlineStr">
        <is>
          <t>KRISTIANSTAD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42293-2023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45180</v>
      </c>
      <c r="E668" s="1" t="n">
        <v>46260</v>
      </c>
      <c r="F668" t="inlineStr">
        <is>
          <t>SKÅNE LÄN</t>
        </is>
      </c>
      <c r="G668" t="inlineStr">
        <is>
          <t>KRISTIANSTAD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12404-2024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45379</v>
      </c>
      <c r="E669" s="1" t="n">
        <v>46260</v>
      </c>
      <c r="F669" t="inlineStr">
        <is>
          <t>SKÅNE LÄN</t>
        </is>
      </c>
      <c r="G669" t="inlineStr">
        <is>
          <t>KRISTIANSTAD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29854-2026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46205</v>
      </c>
      <c r="E670" s="1" t="n">
        <v>46260</v>
      </c>
      <c r="F670" t="inlineStr">
        <is>
          <t>SKÅNE LÄN</t>
        </is>
      </c>
      <c r="G670" t="inlineStr">
        <is>
          <t>KRISTIANSTAD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64844-2023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45282</v>
      </c>
      <c r="E671" s="1" t="n">
        <v>46260</v>
      </c>
      <c r="F671" t="inlineStr">
        <is>
          <t>SKÅNE LÄN</t>
        </is>
      </c>
      <c r="G671" t="inlineStr">
        <is>
          <t>KRISTIANSTAD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25764-2024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45465</v>
      </c>
      <c r="E672" s="1" t="n">
        <v>46260</v>
      </c>
      <c r="F672" t="inlineStr">
        <is>
          <t>SKÅNE LÄN</t>
        </is>
      </c>
      <c r="G672" t="inlineStr">
        <is>
          <t>KRISTIANSTAD</t>
        </is>
      </c>
      <c r="I672" t="n">
        <v>9.800000000000001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37983-2024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45544</v>
      </c>
      <c r="E673" s="1" t="n">
        <v>46260</v>
      </c>
      <c r="F673" t="inlineStr">
        <is>
          <t>SKÅNE LÄN</t>
        </is>
      </c>
      <c r="G673" t="inlineStr">
        <is>
          <t>KRISTIANSTAD</t>
        </is>
      </c>
      <c r="I673" t="n">
        <v>7.9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32021-2023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45119</v>
      </c>
      <c r="E674" s="1" t="n">
        <v>46260</v>
      </c>
      <c r="F674" t="inlineStr">
        <is>
          <t>SKÅNE LÄN</t>
        </is>
      </c>
      <c r="G674" t="inlineStr">
        <is>
          <t>KRISTIANSTAD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49520-2021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44455</v>
      </c>
      <c r="E675" s="1" t="n">
        <v>46260</v>
      </c>
      <c r="F675" t="inlineStr">
        <is>
          <t>SKÅNE LÄN</t>
        </is>
      </c>
      <c r="G675" t="inlineStr">
        <is>
          <t>KRISTIANSTAD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7055-2024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45343</v>
      </c>
      <c r="E676" s="1" t="n">
        <v>46260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47232-2024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45586</v>
      </c>
      <c r="E677" s="1" t="n">
        <v>46260</v>
      </c>
      <c r="F677" t="inlineStr">
        <is>
          <t>SKÅNE LÄN</t>
        </is>
      </c>
      <c r="G677" t="inlineStr">
        <is>
          <t>KRISTIANSTAD</t>
        </is>
      </c>
      <c r="H677" t="inlineStr">
        <is>
          <t>Övriga Aktiebolag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62397-2022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44923</v>
      </c>
      <c r="E678" s="1" t="n">
        <v>46260</v>
      </c>
      <c r="F678" t="inlineStr">
        <is>
          <t>SKÅNE LÄN</t>
        </is>
      </c>
      <c r="G678" t="inlineStr">
        <is>
          <t>KRISTIANSTAD</t>
        </is>
      </c>
      <c r="I678" t="n">
        <v>12.6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17371-2024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45414</v>
      </c>
      <c r="E679" s="1" t="n">
        <v>46260</v>
      </c>
      <c r="F679" t="inlineStr">
        <is>
          <t>SKÅNE LÄN</t>
        </is>
      </c>
      <c r="G679" t="inlineStr">
        <is>
          <t>KRISTIANSTAD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5623-2024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45334</v>
      </c>
      <c r="E680" s="1" t="n">
        <v>46260</v>
      </c>
      <c r="F680" t="inlineStr">
        <is>
          <t>SKÅNE LÄN</t>
        </is>
      </c>
      <c r="G680" t="inlineStr">
        <is>
          <t>KRISTIANSTAD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61348-2024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45646</v>
      </c>
      <c r="E681" s="1" t="n">
        <v>46260</v>
      </c>
      <c r="F681" t="inlineStr">
        <is>
          <t>SKÅNE LÄN</t>
        </is>
      </c>
      <c r="G681" t="inlineStr">
        <is>
          <t>KRISTIANSTAD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5622-2024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45334</v>
      </c>
      <c r="E682" s="1" t="n">
        <v>46260</v>
      </c>
      <c r="F682" t="inlineStr">
        <is>
          <t>SKÅNE LÄN</t>
        </is>
      </c>
      <c r="G682" t="inlineStr">
        <is>
          <t>KRISTIANSTAD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7565-2023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44972</v>
      </c>
      <c r="E683" s="1" t="n">
        <v>46260</v>
      </c>
      <c r="F683" t="inlineStr">
        <is>
          <t>SKÅNE LÄN</t>
        </is>
      </c>
      <c r="G683" t="inlineStr">
        <is>
          <t>KRISTIANSTAD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1421-2024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45303</v>
      </c>
      <c r="E684" s="1" t="n">
        <v>46260</v>
      </c>
      <c r="F684" t="inlineStr">
        <is>
          <t>SKÅNE LÄN</t>
        </is>
      </c>
      <c r="G684" t="inlineStr">
        <is>
          <t>KRISTIANSTAD</t>
        </is>
      </c>
      <c r="H684" t="inlineStr">
        <is>
          <t>Övriga Aktiebolag</t>
        </is>
      </c>
      <c r="I684" t="n">
        <v>19.7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15111-2023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45015</v>
      </c>
      <c r="E685" s="1" t="n">
        <v>46260</v>
      </c>
      <c r="F685" t="inlineStr">
        <is>
          <t>SKÅNE LÄN</t>
        </is>
      </c>
      <c r="G685" t="inlineStr">
        <is>
          <t>KRISTIANSTAD</t>
        </is>
      </c>
      <c r="H685" t="inlineStr">
        <is>
          <t>Kyrkan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27979-2024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45476</v>
      </c>
      <c r="E686" s="1" t="n">
        <v>46260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34348-2024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45525</v>
      </c>
      <c r="E687" s="1" t="n">
        <v>46260</v>
      </c>
      <c r="F687" t="inlineStr">
        <is>
          <t>SKÅNE LÄN</t>
        </is>
      </c>
      <c r="G687" t="inlineStr">
        <is>
          <t>KRISTIANSTAD</t>
        </is>
      </c>
      <c r="I687" t="n">
        <v>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9899-2025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45716</v>
      </c>
      <c r="E688" s="1" t="n">
        <v>46260</v>
      </c>
      <c r="F688" t="inlineStr">
        <is>
          <t>SKÅNE LÄN</t>
        </is>
      </c>
      <c r="G688" t="inlineStr">
        <is>
          <t>KRISTIANSTAD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18752-2023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45043</v>
      </c>
      <c r="E689" s="1" t="n">
        <v>46260</v>
      </c>
      <c r="F689" t="inlineStr">
        <is>
          <t>SKÅNE LÄN</t>
        </is>
      </c>
      <c r="G689" t="inlineStr">
        <is>
          <t>KRISTIANSTAD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46523-2023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45197</v>
      </c>
      <c r="E690" s="1" t="n">
        <v>46260</v>
      </c>
      <c r="F690" t="inlineStr">
        <is>
          <t>SKÅNE LÄN</t>
        </is>
      </c>
      <c r="G690" t="inlineStr">
        <is>
          <t>KRISTIANSTAD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27613-2024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45474</v>
      </c>
      <c r="E691" s="1" t="n">
        <v>46260</v>
      </c>
      <c r="F691" t="inlineStr">
        <is>
          <t>SKÅNE LÄN</t>
        </is>
      </c>
      <c r="G691" t="inlineStr">
        <is>
          <t>KRISTIANSTAD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59302-2023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45253</v>
      </c>
      <c r="E692" s="1" t="n">
        <v>46260</v>
      </c>
      <c r="F692" t="inlineStr">
        <is>
          <t>SKÅNE LÄN</t>
        </is>
      </c>
      <c r="G692" t="inlineStr">
        <is>
          <t>KRISTIANSTAD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30845-2022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44767</v>
      </c>
      <c r="E693" s="1" t="n">
        <v>46260</v>
      </c>
      <c r="F693" t="inlineStr">
        <is>
          <t>SKÅNE LÄN</t>
        </is>
      </c>
      <c r="G693" t="inlineStr">
        <is>
          <t>KRISTIANSTAD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25450-2022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44732</v>
      </c>
      <c r="E694" s="1" t="n">
        <v>46260</v>
      </c>
      <c r="F694" t="inlineStr">
        <is>
          <t>SKÅNE LÄN</t>
        </is>
      </c>
      <c r="G694" t="inlineStr">
        <is>
          <t>KRISTIANSTAD</t>
        </is>
      </c>
      <c r="I694" t="n">
        <v>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11970-2023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44995</v>
      </c>
      <c r="E695" s="1" t="n">
        <v>46260</v>
      </c>
      <c r="F695" t="inlineStr">
        <is>
          <t>SKÅNE LÄN</t>
        </is>
      </c>
      <c r="G695" t="inlineStr">
        <is>
          <t>KRISTIANSTAD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32156-2023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45106</v>
      </c>
      <c r="E696" s="1" t="n">
        <v>46260</v>
      </c>
      <c r="F696" t="inlineStr">
        <is>
          <t>SKÅNE LÄN</t>
        </is>
      </c>
      <c r="G696" t="inlineStr">
        <is>
          <t>KRISTIANSTAD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5853-2022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44596</v>
      </c>
      <c r="E697" s="1" t="n">
        <v>46260</v>
      </c>
      <c r="F697" t="inlineStr">
        <is>
          <t>SKÅNE LÄN</t>
        </is>
      </c>
      <c r="G697" t="inlineStr">
        <is>
          <t>KRISTIANSTAD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11272-2023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44992</v>
      </c>
      <c r="E698" s="1" t="n">
        <v>46260</v>
      </c>
      <c r="F698" t="inlineStr">
        <is>
          <t>SKÅNE LÄN</t>
        </is>
      </c>
      <c r="G698" t="inlineStr">
        <is>
          <t>KRISTIANSTAD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39117-2023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45165</v>
      </c>
      <c r="E699" s="1" t="n">
        <v>46260</v>
      </c>
      <c r="F699" t="inlineStr">
        <is>
          <t>SKÅNE LÄN</t>
        </is>
      </c>
      <c r="G699" t="inlineStr">
        <is>
          <t>KRISTIANSTAD</t>
        </is>
      </c>
      <c r="H699" t="inlineStr">
        <is>
          <t>Sveaskog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36160-2023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45149</v>
      </c>
      <c r="E700" s="1" t="n">
        <v>46260</v>
      </c>
      <c r="F700" t="inlineStr">
        <is>
          <t>SKÅNE LÄN</t>
        </is>
      </c>
      <c r="G700" t="inlineStr">
        <is>
          <t>KRISTIANSTAD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42898-2023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45182</v>
      </c>
      <c r="E701" s="1" t="n">
        <v>46260</v>
      </c>
      <c r="F701" t="inlineStr">
        <is>
          <t>SKÅNE LÄN</t>
        </is>
      </c>
      <c r="G701" t="inlineStr">
        <is>
          <t>KRISTIANSTAD</t>
        </is>
      </c>
      <c r="H701" t="inlineStr">
        <is>
          <t>Sveaskog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57976-2023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45247</v>
      </c>
      <c r="E702" s="1" t="n">
        <v>46260</v>
      </c>
      <c r="F702" t="inlineStr">
        <is>
          <t>SKÅNE LÄN</t>
        </is>
      </c>
      <c r="G702" t="inlineStr">
        <is>
          <t>KRISTIANSTAD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2316-2024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45310</v>
      </c>
      <c r="E703" s="1" t="n">
        <v>46260</v>
      </c>
      <c r="F703" t="inlineStr">
        <is>
          <t>SKÅNE LÄN</t>
        </is>
      </c>
      <c r="G703" t="inlineStr">
        <is>
          <t>KRISTIANSTAD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30065-2023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45110</v>
      </c>
      <c r="E704" s="1" t="n">
        <v>46260</v>
      </c>
      <c r="F704" t="inlineStr">
        <is>
          <t>SKÅNE LÄN</t>
        </is>
      </c>
      <c r="G704" t="inlineStr">
        <is>
          <t>KRISTIANSTAD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941-2023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44933</v>
      </c>
      <c r="E705" s="1" t="n">
        <v>46260</v>
      </c>
      <c r="F705" t="inlineStr">
        <is>
          <t>SKÅNE LÄN</t>
        </is>
      </c>
      <c r="G705" t="inlineStr">
        <is>
          <t>KRISTIANSTAD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4248-2025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45685</v>
      </c>
      <c r="E706" s="1" t="n">
        <v>46260</v>
      </c>
      <c r="F706" t="inlineStr">
        <is>
          <t>SKÅNE LÄN</t>
        </is>
      </c>
      <c r="G706" t="inlineStr">
        <is>
          <t>KRISTIANSTAD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63931-2023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45278</v>
      </c>
      <c r="E707" s="1" t="n">
        <v>46260</v>
      </c>
      <c r="F707" t="inlineStr">
        <is>
          <t>SKÅNE LÄN</t>
        </is>
      </c>
      <c r="G707" t="inlineStr">
        <is>
          <t>KRISTIANSTAD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63942-2023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45278</v>
      </c>
      <c r="E708" s="1" t="n">
        <v>46260</v>
      </c>
      <c r="F708" t="inlineStr">
        <is>
          <t>SKÅNE LÄN</t>
        </is>
      </c>
      <c r="G708" t="inlineStr">
        <is>
          <t>KRISTIANSTAD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31619-2024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45506</v>
      </c>
      <c r="E709" s="1" t="n">
        <v>46260</v>
      </c>
      <c r="F709" t="inlineStr">
        <is>
          <t>SKÅNE LÄN</t>
        </is>
      </c>
      <c r="G709" t="inlineStr">
        <is>
          <t>KRISTIANSTAD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32106-2023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45119</v>
      </c>
      <c r="E710" s="1" t="n">
        <v>46260</v>
      </c>
      <c r="F710" t="inlineStr">
        <is>
          <t>SKÅNE LÄN</t>
        </is>
      </c>
      <c r="G710" t="inlineStr">
        <is>
          <t>KRISTIANSTAD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34723-2023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45141</v>
      </c>
      <c r="E711" s="1" t="n">
        <v>46260</v>
      </c>
      <c r="F711" t="inlineStr">
        <is>
          <t>SKÅNE LÄN</t>
        </is>
      </c>
      <c r="G711" t="inlineStr">
        <is>
          <t>KRISTIANSTAD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34730-2023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45141</v>
      </c>
      <c r="E712" s="1" t="n">
        <v>46260</v>
      </c>
      <c r="F712" t="inlineStr">
        <is>
          <t>SKÅNE LÄN</t>
        </is>
      </c>
      <c r="G712" t="inlineStr">
        <is>
          <t>KRISTIANSTAD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49233-2022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44858</v>
      </c>
      <c r="E713" s="1" t="n">
        <v>46260</v>
      </c>
      <c r="F713" t="inlineStr">
        <is>
          <t>SKÅNE LÄN</t>
        </is>
      </c>
      <c r="G713" t="inlineStr">
        <is>
          <t>KRISTIANSTAD</t>
        </is>
      </c>
      <c r="I713" t="n">
        <v>7.1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53491-2021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44468</v>
      </c>
      <c r="E714" s="1" t="n">
        <v>46260</v>
      </c>
      <c r="F714" t="inlineStr">
        <is>
          <t>SKÅNE LÄN</t>
        </is>
      </c>
      <c r="G714" t="inlineStr">
        <is>
          <t>KRISTIANSTAD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13974-2025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45738</v>
      </c>
      <c r="E715" s="1" t="n">
        <v>46260</v>
      </c>
      <c r="F715" t="inlineStr">
        <is>
          <t>SKÅNE LÄN</t>
        </is>
      </c>
      <c r="G715" t="inlineStr">
        <is>
          <t>KRISTIANSTAD</t>
        </is>
      </c>
      <c r="I715" t="n">
        <v>11.3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25839-2023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45090</v>
      </c>
      <c r="E716" s="1" t="n">
        <v>46260</v>
      </c>
      <c r="F716" t="inlineStr">
        <is>
          <t>SKÅNE LÄN</t>
        </is>
      </c>
      <c r="G716" t="inlineStr">
        <is>
          <t>KRISTIANSTAD</t>
        </is>
      </c>
      <c r="I716" t="n">
        <v>5.3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32702-2023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45121</v>
      </c>
      <c r="E717" s="1" t="n">
        <v>46260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13975-2025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45738</v>
      </c>
      <c r="E718" s="1" t="n">
        <v>46260</v>
      </c>
      <c r="F718" t="inlineStr">
        <is>
          <t>SKÅNE LÄN</t>
        </is>
      </c>
      <c r="G718" t="inlineStr">
        <is>
          <t>KRISTIANSTAD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13976-2025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45738</v>
      </c>
      <c r="E719" s="1" t="n">
        <v>46260</v>
      </c>
      <c r="F719" t="inlineStr">
        <is>
          <t>SKÅNE LÄN</t>
        </is>
      </c>
      <c r="G719" t="inlineStr">
        <is>
          <t>KRISTIANSTAD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42916-2024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45566</v>
      </c>
      <c r="E720" s="1" t="n">
        <v>46260</v>
      </c>
      <c r="F720" t="inlineStr">
        <is>
          <t>SKÅNE LÄN</t>
        </is>
      </c>
      <c r="G720" t="inlineStr">
        <is>
          <t>KRISTIANSTAD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9020-2024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45357</v>
      </c>
      <c r="E721" s="1" t="n">
        <v>46260</v>
      </c>
      <c r="F721" t="inlineStr">
        <is>
          <t>SKÅNE LÄN</t>
        </is>
      </c>
      <c r="G721" t="inlineStr">
        <is>
          <t>KRISTIANSTAD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55469-2024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45622</v>
      </c>
      <c r="E722" s="1" t="n">
        <v>46260</v>
      </c>
      <c r="F722" t="inlineStr">
        <is>
          <t>SKÅNE LÄN</t>
        </is>
      </c>
      <c r="G722" t="inlineStr">
        <is>
          <t>KRISTIANSTAD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44442-2023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45189</v>
      </c>
      <c r="E723" s="1" t="n">
        <v>46260</v>
      </c>
      <c r="F723" t="inlineStr">
        <is>
          <t>SKÅNE LÄN</t>
        </is>
      </c>
      <c r="G723" t="inlineStr">
        <is>
          <t>KRISTIANSTAD</t>
        </is>
      </c>
      <c r="H723" t="inlineStr">
        <is>
          <t>Sveaskog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13522-2024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45387</v>
      </c>
      <c r="E724" s="1" t="n">
        <v>46260</v>
      </c>
      <c r="F724" t="inlineStr">
        <is>
          <t>SKÅNE LÄN</t>
        </is>
      </c>
      <c r="G724" t="inlineStr">
        <is>
          <t>KRISTIANSTAD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10971-2023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44991</v>
      </c>
      <c r="E725" s="1" t="n">
        <v>46260</v>
      </c>
      <c r="F725" t="inlineStr">
        <is>
          <t>SKÅNE LÄN</t>
        </is>
      </c>
      <c r="G725" t="inlineStr">
        <is>
          <t>KRISTIANSTAD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59625-2022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44907</v>
      </c>
      <c r="E726" s="1" t="n">
        <v>46260</v>
      </c>
      <c r="F726" t="inlineStr">
        <is>
          <t>SKÅNE LÄN</t>
        </is>
      </c>
      <c r="G726" t="inlineStr">
        <is>
          <t>KRISTIANSTAD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63681-2023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45275</v>
      </c>
      <c r="E727" s="1" t="n">
        <v>46260</v>
      </c>
      <c r="F727" t="inlineStr">
        <is>
          <t>SKÅNE LÄN</t>
        </is>
      </c>
      <c r="G727" t="inlineStr">
        <is>
          <t>KRISTIANSTAD</t>
        </is>
      </c>
      <c r="H727" t="inlineStr">
        <is>
          <t>Sveaskog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32013-2023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45119</v>
      </c>
      <c r="E728" s="1" t="n">
        <v>46260</v>
      </c>
      <c r="F728" t="inlineStr">
        <is>
          <t>SKÅNE LÄN</t>
        </is>
      </c>
      <c r="G728" t="inlineStr">
        <is>
          <t>KRISTIANSTAD</t>
        </is>
      </c>
      <c r="I728" t="n">
        <v>7.2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19642-2022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44694</v>
      </c>
      <c r="E729" s="1" t="n">
        <v>46260</v>
      </c>
      <c r="F729" t="inlineStr">
        <is>
          <t>SKÅNE LÄN</t>
        </is>
      </c>
      <c r="G729" t="inlineStr">
        <is>
          <t>KRISTIANSTAD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3608-2023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44946</v>
      </c>
      <c r="E730" s="1" t="n">
        <v>46260</v>
      </c>
      <c r="F730" t="inlineStr">
        <is>
          <t>SKÅNE LÄN</t>
        </is>
      </c>
      <c r="G730" t="inlineStr">
        <is>
          <t>KRISTIANSTAD</t>
        </is>
      </c>
      <c r="I730" t="n">
        <v>5.2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13953-2025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45737</v>
      </c>
      <c r="E731" s="1" t="n">
        <v>46260</v>
      </c>
      <c r="F731" t="inlineStr">
        <is>
          <t>SKÅNE LÄN</t>
        </is>
      </c>
      <c r="G731" t="inlineStr">
        <is>
          <t>KRISTIANSTAD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20714-2025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45776</v>
      </c>
      <c r="E732" s="1" t="n">
        <v>46260</v>
      </c>
      <c r="F732" t="inlineStr">
        <is>
          <t>SKÅNE LÄN</t>
        </is>
      </c>
      <c r="G732" t="inlineStr">
        <is>
          <t>KRISTIANSTAD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21992-2024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45443</v>
      </c>
      <c r="E733" s="1" t="n">
        <v>46260</v>
      </c>
      <c r="F733" t="inlineStr">
        <is>
          <t>SKÅNE LÄN</t>
        </is>
      </c>
      <c r="G733" t="inlineStr">
        <is>
          <t>KRISTIANSTAD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44538-2024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45574</v>
      </c>
      <c r="E734" s="1" t="n">
        <v>46260</v>
      </c>
      <c r="F734" t="inlineStr">
        <is>
          <t>SKÅNE LÄN</t>
        </is>
      </c>
      <c r="G734" t="inlineStr">
        <is>
          <t>KRISTIANSTAD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17270-2024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45414</v>
      </c>
      <c r="E735" s="1" t="n">
        <v>46260</v>
      </c>
      <c r="F735" t="inlineStr">
        <is>
          <t>SKÅNE LÄN</t>
        </is>
      </c>
      <c r="G735" t="inlineStr">
        <is>
          <t>KRISTIANSTAD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61137-2021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44497</v>
      </c>
      <c r="E736" s="1" t="n">
        <v>46260</v>
      </c>
      <c r="F736" t="inlineStr">
        <is>
          <t>SKÅNE LÄN</t>
        </is>
      </c>
      <c r="G736" t="inlineStr">
        <is>
          <t>KRISTIANSTAD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9002-2024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45357</v>
      </c>
      <c r="E737" s="1" t="n">
        <v>46260</v>
      </c>
      <c r="F737" t="inlineStr">
        <is>
          <t>SKÅNE LÄN</t>
        </is>
      </c>
      <c r="G737" t="inlineStr">
        <is>
          <t>KRISTIANSTAD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11037-2024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45370</v>
      </c>
      <c r="E738" s="1" t="n">
        <v>46260</v>
      </c>
      <c r="F738" t="inlineStr">
        <is>
          <t>SKÅNE LÄN</t>
        </is>
      </c>
      <c r="G738" t="inlineStr">
        <is>
          <t>KRISTIANSTAD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51248-2024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45603</v>
      </c>
      <c r="E739" s="1" t="n">
        <v>46260</v>
      </c>
      <c r="F739" t="inlineStr">
        <is>
          <t>SKÅNE LÄN</t>
        </is>
      </c>
      <c r="G739" t="inlineStr">
        <is>
          <t>KRISTIANSTAD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52176-2023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45217</v>
      </c>
      <c r="E740" s="1" t="n">
        <v>46260</v>
      </c>
      <c r="F740" t="inlineStr">
        <is>
          <t>SKÅNE LÄN</t>
        </is>
      </c>
      <c r="G740" t="inlineStr">
        <is>
          <t>KRISTIANSTAD</t>
        </is>
      </c>
      <c r="I740" t="n">
        <v>4.4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55961-2023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45233</v>
      </c>
      <c r="E741" s="1" t="n">
        <v>46260</v>
      </c>
      <c r="F741" t="inlineStr">
        <is>
          <t>SKÅNE LÄN</t>
        </is>
      </c>
      <c r="G741" t="inlineStr">
        <is>
          <t>KRISTIANSTAD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6858-2025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45700</v>
      </c>
      <c r="E742" s="1" t="n">
        <v>46260</v>
      </c>
      <c r="F742" t="inlineStr">
        <is>
          <t>SKÅNE LÄN</t>
        </is>
      </c>
      <c r="G742" t="inlineStr">
        <is>
          <t>KRISTIANSTAD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43321-2023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45183</v>
      </c>
      <c r="E743" s="1" t="n">
        <v>46260</v>
      </c>
      <c r="F743" t="inlineStr">
        <is>
          <t>SKÅNE LÄN</t>
        </is>
      </c>
      <c r="G743" t="inlineStr">
        <is>
          <t>KRISTIANSTAD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32990-2024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45517</v>
      </c>
      <c r="E744" s="1" t="n">
        <v>46260</v>
      </c>
      <c r="F744" t="inlineStr">
        <is>
          <t>SKÅNE LÄN</t>
        </is>
      </c>
      <c r="G744" t="inlineStr">
        <is>
          <t>KRISTIANSTAD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30893-2024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45498</v>
      </c>
      <c r="E745" s="1" t="n">
        <v>46260</v>
      </c>
      <c r="F745" t="inlineStr">
        <is>
          <t>SKÅNE LÄN</t>
        </is>
      </c>
      <c r="G745" t="inlineStr">
        <is>
          <t>KRISTIANSTAD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35937-2024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45533</v>
      </c>
      <c r="E746" s="1" t="n">
        <v>46260</v>
      </c>
      <c r="F746" t="inlineStr">
        <is>
          <t>SKÅNE LÄN</t>
        </is>
      </c>
      <c r="G746" t="inlineStr">
        <is>
          <t>KRISTIANSTAD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24303-2025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45797</v>
      </c>
      <c r="E747" s="1" t="n">
        <v>46260</v>
      </c>
      <c r="F747" t="inlineStr">
        <is>
          <t>SKÅNE LÄN</t>
        </is>
      </c>
      <c r="G747" t="inlineStr">
        <is>
          <t>KRISTIANSTAD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24798-2025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45799</v>
      </c>
      <c r="E748" s="1" t="n">
        <v>46260</v>
      </c>
      <c r="F748" t="inlineStr">
        <is>
          <t>SKÅNE LÄN</t>
        </is>
      </c>
      <c r="G748" t="inlineStr">
        <is>
          <t>KRISTIANSTAD</t>
        </is>
      </c>
      <c r="H748" t="inlineStr">
        <is>
          <t>Övriga Aktiebolag</t>
        </is>
      </c>
      <c r="I748" t="n">
        <v>10.1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61703-2024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45648</v>
      </c>
      <c r="E749" s="1" t="n">
        <v>46260</v>
      </c>
      <c r="F749" t="inlineStr">
        <is>
          <t>SKÅNE LÄN</t>
        </is>
      </c>
      <c r="G749" t="inlineStr">
        <is>
          <t>KRISTIANSTAD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25433-2025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45800</v>
      </c>
      <c r="E750" s="1" t="n">
        <v>46260</v>
      </c>
      <c r="F750" t="inlineStr">
        <is>
          <t>SKÅNE LÄN</t>
        </is>
      </c>
      <c r="G750" t="inlineStr">
        <is>
          <t>KRISTIANSTAD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1660-2025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45670</v>
      </c>
      <c r="E751" s="1" t="n">
        <v>46260</v>
      </c>
      <c r="F751" t="inlineStr">
        <is>
          <t>SKÅNE LÄN</t>
        </is>
      </c>
      <c r="G751" t="inlineStr">
        <is>
          <t>KRISTIANSTAD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39944-2024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45553</v>
      </c>
      <c r="E752" s="1" t="n">
        <v>46260</v>
      </c>
      <c r="F752" t="inlineStr">
        <is>
          <t>SKÅNE LÄN</t>
        </is>
      </c>
      <c r="G752" t="inlineStr">
        <is>
          <t>KRISTIANSTAD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25860-2025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45804</v>
      </c>
      <c r="E753" s="1" t="n">
        <v>46260</v>
      </c>
      <c r="F753" t="inlineStr">
        <is>
          <t>SKÅNE LÄN</t>
        </is>
      </c>
      <c r="G753" t="inlineStr">
        <is>
          <t>KRISTIANSTAD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25809-2025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45804</v>
      </c>
      <c r="E754" s="1" t="n">
        <v>46260</v>
      </c>
      <c r="F754" t="inlineStr">
        <is>
          <t>SKÅNE LÄN</t>
        </is>
      </c>
      <c r="G754" t="inlineStr">
        <is>
          <t>KRISTIANSTAD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8718-2021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44501</v>
      </c>
      <c r="E755" s="1" t="n">
        <v>46260</v>
      </c>
      <c r="F755" t="inlineStr">
        <is>
          <t>SKÅNE LÄN</t>
        </is>
      </c>
      <c r="G755" t="inlineStr">
        <is>
          <t>KRISTIANSTAD</t>
        </is>
      </c>
      <c r="I755" t="n">
        <v>20.4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4865-2024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45617</v>
      </c>
      <c r="E756" s="1" t="n">
        <v>46260</v>
      </c>
      <c r="F756" t="inlineStr">
        <is>
          <t>SKÅNE LÄN</t>
        </is>
      </c>
      <c r="G756" t="inlineStr">
        <is>
          <t>KRISTIANSTAD</t>
        </is>
      </c>
      <c r="I756" t="n">
        <v>15.6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558-2023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44970</v>
      </c>
      <c r="E757" s="1" t="n">
        <v>46260</v>
      </c>
      <c r="F757" t="inlineStr">
        <is>
          <t>SKÅNE LÄN</t>
        </is>
      </c>
      <c r="G757" t="inlineStr">
        <is>
          <t>KRISTIANSTAD</t>
        </is>
      </c>
      <c r="H757" t="inlineStr">
        <is>
          <t>Kyrkan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2174-2023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45089</v>
      </c>
      <c r="E758" s="1" t="n">
        <v>46260</v>
      </c>
      <c r="F758" t="inlineStr">
        <is>
          <t>SKÅNE LÄN</t>
        </is>
      </c>
      <c r="G758" t="inlineStr">
        <is>
          <t>KRISTIANSTAD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6790-2021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44459</v>
      </c>
      <c r="E759" s="1" t="n">
        <v>46260</v>
      </c>
      <c r="F759" t="inlineStr">
        <is>
          <t>SKÅNE LÄN</t>
        </is>
      </c>
      <c r="G759" t="inlineStr">
        <is>
          <t>KRISTIANSTAD</t>
        </is>
      </c>
      <c r="I759" t="n">
        <v>0.1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3004-2022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44713</v>
      </c>
      <c r="E760" s="1" t="n">
        <v>46260</v>
      </c>
      <c r="F760" t="inlineStr">
        <is>
          <t>SKÅNE LÄN</t>
        </is>
      </c>
      <c r="G760" t="inlineStr">
        <is>
          <t>KRISTIANSTAD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4910-2022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44809</v>
      </c>
      <c r="E761" s="1" t="n">
        <v>46260</v>
      </c>
      <c r="F761" t="inlineStr">
        <is>
          <t>SKÅNE LÄN</t>
        </is>
      </c>
      <c r="G761" t="inlineStr">
        <is>
          <t>KRISTIANSTAD</t>
        </is>
      </c>
      <c r="I761" t="n">
        <v>13.3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1865-2024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45440</v>
      </c>
      <c r="E762" s="1" t="n">
        <v>46260</v>
      </c>
      <c r="F762" t="inlineStr">
        <is>
          <t>SKÅNE LÄN</t>
        </is>
      </c>
      <c r="G762" t="inlineStr">
        <is>
          <t>KRISTIANSTAD</t>
        </is>
      </c>
      <c r="I762" t="n">
        <v>29.3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171-2025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45677</v>
      </c>
      <c r="E763" s="1" t="n">
        <v>46260</v>
      </c>
      <c r="F763" t="inlineStr">
        <is>
          <t>SKÅNE LÄN</t>
        </is>
      </c>
      <c r="G763" t="inlineStr">
        <is>
          <t>KRISTIANSTAD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175-2025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45677</v>
      </c>
      <c r="E764" s="1" t="n">
        <v>46260</v>
      </c>
      <c r="F764" t="inlineStr">
        <is>
          <t>SKÅNE LÄN</t>
        </is>
      </c>
      <c r="G764" t="inlineStr">
        <is>
          <t>KRISTIANSTAD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2906-2024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45503</v>
      </c>
      <c r="E765" s="1" t="n">
        <v>46260</v>
      </c>
      <c r="F765" t="inlineStr">
        <is>
          <t>SKÅNE LÄN</t>
        </is>
      </c>
      <c r="G765" t="inlineStr">
        <is>
          <t>KRISTIANSTAD</t>
        </is>
      </c>
      <c r="I765" t="n">
        <v>16.5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29-2025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45659</v>
      </c>
      <c r="E766" s="1" t="n">
        <v>46260</v>
      </c>
      <c r="F766" t="inlineStr">
        <is>
          <t>SKÅNE LÄN</t>
        </is>
      </c>
      <c r="G766" t="inlineStr">
        <is>
          <t>KRISTIANSTAD</t>
        </is>
      </c>
      <c r="I766" t="n">
        <v>8.800000000000001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4403-2022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44784</v>
      </c>
      <c r="E767" s="1" t="n">
        <v>46260</v>
      </c>
      <c r="F767" t="inlineStr">
        <is>
          <t>SKÅNE LÄN</t>
        </is>
      </c>
      <c r="G767" t="inlineStr">
        <is>
          <t>KRISTIANSTAD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5665-2022</t>
        </is>
      </c>
      <c r="B768" t="inlineStr">
        <is>
          <t>samrådsanmälan</t>
        </is>
      </c>
      <c r="C768" t="inlineStr">
        <is>
          <t>Skogsbilväg</t>
        </is>
      </c>
      <c r="D768" s="1" t="n">
        <v>44841</v>
      </c>
      <c r="E768" s="1" t="n">
        <v>46260</v>
      </c>
      <c r="F768" t="inlineStr">
        <is>
          <t>SKÅNE LÄN</t>
        </is>
      </c>
      <c r="G768" t="inlineStr">
        <is>
          <t>KRISTIANSTAD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1076-2023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45012</v>
      </c>
      <c r="E769" s="1" t="n">
        <v>46260</v>
      </c>
      <c r="F769" t="inlineStr">
        <is>
          <t>SKÅNE LÄN</t>
        </is>
      </c>
      <c r="G769" t="inlineStr">
        <is>
          <t>KRISTIANSTAD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2146-2022</t>
        </is>
      </c>
      <c r="B770" t="inlineStr">
        <is>
          <t>samrådsanmälan</t>
        </is>
      </c>
      <c r="C770" t="inlineStr">
        <is>
          <t>Skogsbilväg</t>
        </is>
      </c>
      <c r="D770" s="1" t="n">
        <v>44676</v>
      </c>
      <c r="E770" s="1" t="n">
        <v>46260</v>
      </c>
      <c r="F770" t="inlineStr">
        <is>
          <t>SKÅNE LÄN</t>
        </is>
      </c>
      <c r="G770" t="inlineStr">
        <is>
          <t>KRISTIANSTAD</t>
        </is>
      </c>
      <c r="I770" t="n">
        <v>0.2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307-2023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44956</v>
      </c>
      <c r="E771" s="1" t="n">
        <v>46260</v>
      </c>
      <c r="F771" t="inlineStr">
        <is>
          <t>SKÅNE LÄN</t>
        </is>
      </c>
      <c r="G771" t="inlineStr">
        <is>
          <t>KRISTIANSTAD</t>
        </is>
      </c>
      <c r="I771" t="n">
        <v>11.9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1731-2023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45069</v>
      </c>
      <c r="E772" s="1" t="n">
        <v>46260</v>
      </c>
      <c r="F772" t="inlineStr">
        <is>
          <t>SKÅNE LÄN</t>
        </is>
      </c>
      <c r="G772" t="inlineStr">
        <is>
          <t>KRISTIANSTAD</t>
        </is>
      </c>
      <c r="I772" t="n">
        <v>10.2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2492-2023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45120</v>
      </c>
      <c r="E773" s="1" t="n">
        <v>46260</v>
      </c>
      <c r="F773" t="inlineStr">
        <is>
          <t>SKÅNE LÄN</t>
        </is>
      </c>
      <c r="G773" t="inlineStr">
        <is>
          <t>KRISTIANSTAD</t>
        </is>
      </c>
      <c r="I773" t="n">
        <v>9.4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775-2025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45728</v>
      </c>
      <c r="E774" s="1" t="n">
        <v>46260</v>
      </c>
      <c r="F774" t="inlineStr">
        <is>
          <t>SKÅNE LÄN</t>
        </is>
      </c>
      <c r="G774" t="inlineStr">
        <is>
          <t>KRISTIANSTAD</t>
        </is>
      </c>
      <c r="I774" t="n">
        <v>9.199999999999999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476-2025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45702</v>
      </c>
      <c r="E775" s="1" t="n">
        <v>46260</v>
      </c>
      <c r="F775" t="inlineStr">
        <is>
          <t>SKÅNE LÄN</t>
        </is>
      </c>
      <c r="G775" t="inlineStr">
        <is>
          <t>KRISTIANSTAD</t>
        </is>
      </c>
      <c r="I775" t="n">
        <v>58.6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45702</v>
      </c>
      <c r="E776" s="1" t="n">
        <v>46260</v>
      </c>
      <c r="F776" t="inlineStr">
        <is>
          <t>SKÅNE LÄN</t>
        </is>
      </c>
      <c r="G776" t="inlineStr">
        <is>
          <t>KRISTIANSTAD</t>
        </is>
      </c>
      <c r="I776" t="n">
        <v>67.7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760-2025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45726</v>
      </c>
      <c r="E777" s="1" t="n">
        <v>46260</v>
      </c>
      <c r="F777" t="inlineStr">
        <is>
          <t>SKÅNE LÄN</t>
        </is>
      </c>
      <c r="G777" t="inlineStr">
        <is>
          <t>KRISTIANSTAD</t>
        </is>
      </c>
      <c r="I777" t="n">
        <v>7.4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871-2025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45734</v>
      </c>
      <c r="E778" s="1" t="n">
        <v>46260</v>
      </c>
      <c r="F778" t="inlineStr">
        <is>
          <t>SKÅNE LÄN</t>
        </is>
      </c>
      <c r="G778" t="inlineStr">
        <is>
          <t>KRISTIANSTAD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1747-2025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45811</v>
      </c>
      <c r="E779" s="1" t="n">
        <v>46260</v>
      </c>
      <c r="F779" t="inlineStr">
        <is>
          <t>SKÅNE LÄN</t>
        </is>
      </c>
      <c r="G779" t="inlineStr">
        <is>
          <t>KRISTIANSTAD</t>
        </is>
      </c>
      <c r="I779" t="n">
        <v>11.3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1749-2025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45811</v>
      </c>
      <c r="E780" s="1" t="n">
        <v>46260</v>
      </c>
      <c r="F780" t="inlineStr">
        <is>
          <t>SKÅNE LÄN</t>
        </is>
      </c>
      <c r="G780" t="inlineStr">
        <is>
          <t>KRISTIANSTAD</t>
        </is>
      </c>
      <c r="I780" t="n">
        <v>5.9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1750-2025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45811</v>
      </c>
      <c r="E781" s="1" t="n">
        <v>46260</v>
      </c>
      <c r="F781" t="inlineStr">
        <is>
          <t>SKÅNE LÄN</t>
        </is>
      </c>
      <c r="G781" t="inlineStr">
        <is>
          <t>KRISTIANSTAD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2468-2025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45901</v>
      </c>
      <c r="E782" s="1" t="n">
        <v>46260</v>
      </c>
      <c r="F782" t="inlineStr">
        <is>
          <t>SKÅNE LÄN</t>
        </is>
      </c>
      <c r="G782" t="inlineStr">
        <is>
          <t>KRISTIANSTAD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2875-2025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45945</v>
      </c>
      <c r="E783" s="1" t="n">
        <v>46260</v>
      </c>
      <c r="F783" t="inlineStr">
        <is>
          <t>SKÅNE LÄN</t>
        </is>
      </c>
      <c r="G783" t="inlineStr">
        <is>
          <t>KRISTIANSTAD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2889-2025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45946</v>
      </c>
      <c r="E784" s="1" t="n">
        <v>46260</v>
      </c>
      <c r="F784" t="inlineStr">
        <is>
          <t>SKÅNE LÄN</t>
        </is>
      </c>
      <c r="G784" t="inlineStr">
        <is>
          <t>KRISTIANSTAD</t>
        </is>
      </c>
      <c r="I784" t="n">
        <v>43.6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1064-2026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46127</v>
      </c>
      <c r="E785" s="1" t="n">
        <v>46260</v>
      </c>
      <c r="F785" t="inlineStr">
        <is>
          <t>SKÅNE LÄN</t>
        </is>
      </c>
      <c r="G785" t="inlineStr">
        <is>
          <t>KRISTIANSTAD</t>
        </is>
      </c>
      <c r="I785" t="n">
        <v>69.8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1210-2026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46141</v>
      </c>
      <c r="E786" s="1" t="n">
        <v>46260</v>
      </c>
      <c r="F786" t="inlineStr">
        <is>
          <t>SKÅNE LÄN</t>
        </is>
      </c>
      <c r="G786" t="inlineStr">
        <is>
          <t>KRISTIANSTAD</t>
        </is>
      </c>
      <c r="H786" t="inlineStr">
        <is>
          <t>Sveaskog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>
      <c r="A787" t="inlineStr">
        <is>
          <t>S 1380-2026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46148</v>
      </c>
      <c r="E787" s="1" t="n">
        <v>46260</v>
      </c>
      <c r="F787" t="inlineStr">
        <is>
          <t>SKÅNE LÄN</t>
        </is>
      </c>
      <c r="G787" t="inlineStr">
        <is>
          <t>KRISTIANSTAD</t>
        </is>
      </c>
      <c r="I787" t="n">
        <v>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2026-08-26T01:52:05Z</dcterms:created>
  <dcterms:modified xmlns:dcterms="http://purl.org/dc/terms/" xmlns:xsi="http://www.w3.org/2001/XMLSchema-instance" xsi:type="dcterms:W3CDTF">2026-08-26T01:52:06Z</dcterms:modified>
</cp:coreProperties>
</file>