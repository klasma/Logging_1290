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45643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45643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45643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6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Bechsteins fladdermus
Bokkantlav
Bokvårtlav
Fransfladdermus
Liten lundlav
Fällmossa
Dvärgpipistrell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</row>
    <row r="5" ht="15" customHeight="1">
      <c r="A5" t="inlineStr">
        <is>
          <t>A 23417-2019</t>
        </is>
      </c>
      <c r="B5" s="1" t="n">
        <v>43593</v>
      </c>
      <c r="C5" s="1" t="n">
        <v>45643</v>
      </c>
      <c r="D5" t="inlineStr">
        <is>
          <t>SKÅNE LÄN</t>
        </is>
      </c>
      <c r="E5" t="inlineStr">
        <is>
          <t>KRISTIANSTAD</t>
        </is>
      </c>
      <c r="F5" t="inlineStr">
        <is>
          <t>Kommuner</t>
        </is>
      </c>
      <c r="G5" t="n">
        <v>7.1</v>
      </c>
      <c r="H5" t="n">
        <v>2</v>
      </c>
      <c r="I5" t="n">
        <v>1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9</v>
      </c>
      <c r="R5" s="2" t="inlineStr">
        <is>
          <t>Backsippa
Hedblomster
Grådådra
Mindre blåvinge
Sexfläckig bastardsvärmare
Violettkantad guldvinge
Ängsmetallvinge
Åkerväddsantennmal
Toppvaxskivling</t>
        </is>
      </c>
      <c r="S5">
        <f>HYPERLINK("https://klasma.github.io/Logging_1290/artfynd/A 23417-2019 artfynd.xlsx", "A 23417-2019")</f>
        <v/>
      </c>
      <c r="T5">
        <f>HYPERLINK("https://klasma.github.io/Logging_1290/kartor/A 23417-2019 karta.png", "A 23417-2019")</f>
        <v/>
      </c>
      <c r="V5">
        <f>HYPERLINK("https://klasma.github.io/Logging_1290/klagomål/A 23417-2019 FSC-klagomål.docx", "A 23417-2019")</f>
        <v/>
      </c>
      <c r="W5">
        <f>HYPERLINK("https://klasma.github.io/Logging_1290/klagomålsmail/A 23417-2019 FSC-klagomål mail.docx", "A 23417-2019")</f>
        <v/>
      </c>
      <c r="X5">
        <f>HYPERLINK("https://klasma.github.io/Logging_1290/tillsyn/A 23417-2019 tillsynsbegäran.docx", "A 23417-2019")</f>
        <v/>
      </c>
      <c r="Y5">
        <f>HYPERLINK("https://klasma.github.io/Logging_1290/tillsynsmail/A 23417-2019 tillsynsbegäran mail.docx", "A 23417-2019")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45643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45643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45643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45643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45643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45643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45643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45643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45643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45643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45643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45643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45643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45643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45643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45643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45643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45643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45643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45643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45643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45643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45643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45643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45643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45643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45643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45643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45643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45643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45643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45643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45643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45643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45643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45643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45643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45643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45643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45643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45643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45643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45643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45643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45643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45643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45643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45643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45643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45643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45643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45643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45643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45643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45643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45643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45643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45643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45643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45643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45643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45643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45643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45643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45643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45643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45643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45643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45643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45643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45643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45643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45643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45643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45643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45643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45643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45643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45643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45643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45643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45643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45643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45643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45643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45643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45643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45643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45643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45643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45643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45643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45643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45643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45643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45643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45643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45643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45643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45643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45643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45643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45643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45643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45643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45643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45643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45643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45643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45643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45643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45643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45643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45643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45643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45643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45643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45643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45643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45643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45643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45643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45643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45643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45643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45643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45643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45643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45643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45643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45643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45643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45643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45643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45643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45643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45643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45643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45643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45643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45643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45643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45643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45643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45643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45643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45643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45643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45643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45643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45643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45643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45643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45643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45643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45643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45643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45643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45643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45643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45643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45643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45643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45643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45643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45643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45643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45643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45643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45643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45643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45643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45643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45643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45643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45643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45643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45643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45643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45643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45643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45643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45643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45643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45643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45643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45643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45643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45643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45643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45643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45643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45643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45643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45643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45643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45643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45643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45643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45643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45643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45643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45643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45643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45643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45643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45643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45643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45643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45643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45643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45643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45643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45643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45643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45643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45643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45643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45643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45643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45643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45643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45643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45643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45643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45643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45643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45643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45643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45643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45643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45643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45643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45643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45643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45643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45643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45643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45643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45643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45643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45643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45643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45643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45643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45643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45643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45643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45643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45643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45643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45643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45643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45643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45643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45643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45643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45643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45643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45643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45643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45643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45643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45643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45643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45643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45643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45643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45643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45643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45643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45643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45643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45643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45643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45643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45643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45643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45643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45643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45643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45643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45643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45643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45643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45643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45643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45643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45643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45643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45643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45643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45643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45643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45643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45643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45643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45643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45643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45643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45643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45643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45643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45643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45643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45643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45643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45643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45643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45643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45643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45643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45643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45643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45643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45643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45643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45643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45643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45643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45643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45643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45643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45643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45643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45643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45643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45643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45643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45643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45643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45643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45643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45643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45643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45643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45643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45643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45643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45643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45643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45643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45643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45643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45643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45643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45643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45643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45643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45643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45643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45643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45643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45643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45643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45643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45643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45643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45643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45643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45643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45643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45643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45643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45643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45643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45643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45643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45643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45643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45643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45643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45643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45643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45643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45643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45643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45643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45643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45643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45643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45643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45643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45643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45643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45643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45643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45643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45643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45643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45643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45643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45643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45643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45643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45643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45643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45643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45643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45643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45643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45643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45643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45643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45643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45643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45643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45643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45643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45643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45643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45643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45643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45643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45643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45643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45643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45643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45643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45643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45643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45643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45643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45643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45643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45643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45643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45643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45643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45643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45643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45643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45643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45643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45643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45643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45643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45643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45643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45643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45643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45643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45643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45643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45643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45643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45643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45643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45643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45643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45643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45643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45643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45643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45643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45643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45643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45643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45643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45643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45643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45643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45643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45643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45643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45643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45643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45643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45643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45643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45643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45643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45643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45643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45643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45643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45643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45643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45643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45643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45643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45643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45643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45643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45643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45643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45643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45643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45643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45643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45643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45643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45643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45643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45643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45643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45643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45643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45643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45643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45643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45643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45643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45643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45643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45643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45643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45643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45643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45643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45643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45643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45643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45643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45643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45643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45643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45643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45643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45643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45643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45643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45643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45643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45643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45643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45643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45643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45643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45643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45643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45643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45643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45643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45643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45643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45643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45643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45643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45643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45643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45643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45643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45643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45643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45643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45643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45643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45643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45643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45643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45643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45643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45643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45643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45643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45643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45643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45643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45643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45643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45643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45643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45643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45643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45643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45643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45643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45643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45643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45643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45643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45643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45643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45643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45643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45643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45643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45643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45643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45643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45643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45643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45643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45643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45643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45643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45643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45643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45643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45643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45643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45643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45643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45643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45643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45643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45643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45643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45643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45643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45643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45643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45643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45643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45643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45643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45643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45643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45643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45643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45643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45643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45643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45643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45643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45643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45643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45643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45643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45643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45643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45643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45643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45643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45643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45643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45643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45643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45643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45643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45643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45643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45643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45643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45643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45643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45643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45643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45643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45643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45643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45643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45643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45643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45643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45643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45643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45643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45643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45643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45643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45643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45643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45643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45643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45643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45643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45643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45643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45643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45643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45643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45643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45643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45643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45643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45643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45643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45643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45643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45643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45643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45643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45643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45643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45643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45643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45643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45643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45643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45643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45643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45643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45643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45643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45643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45643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45643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45643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45643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45643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45643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45643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45643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45643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45643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45643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45643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45643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45643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45643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45643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45643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45643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45643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45643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45643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45643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45643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45643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45643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45643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45643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45643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45643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45643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45643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45643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45643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45643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45643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45643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45643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45643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45643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45643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45643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45643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45643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45643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45643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45643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45643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45643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45643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45643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45643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45643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45643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45643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45643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45643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45643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45643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45643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45643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45643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45643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45643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45643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45643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45643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45643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45643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45643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45643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45643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45643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45643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45643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45643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45643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45643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45643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45643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45643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45643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45643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45643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45643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45643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45643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45643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45643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45643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45643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45643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45643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45643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45643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45643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45643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45643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45643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45643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45643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45643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45643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45643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45643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45643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45643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45643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45643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45643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45643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45643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45643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45643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45643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45643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45643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45643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45643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45643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45643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45643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45643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45643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45643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45643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45643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45643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45643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45643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45643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45643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45643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45643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45643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45643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45643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45643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45643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45643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45643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45643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45643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45643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45643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45643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45643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45643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45643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45643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45643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45643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45643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45643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45643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45643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45643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45643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45643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45643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45643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45643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45643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45643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45643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45643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45643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45643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45643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45643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45643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45643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45643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45643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45643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45643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45643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45643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45643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45643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45643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45643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45643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45643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45643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45643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45643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45643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45643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45643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45643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45643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45643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45643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45643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45643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45643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45643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45643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45643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45643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45643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45643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45643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45643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45643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45643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45643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45643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45643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45643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45643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45643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45643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45643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45643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45643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45643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45643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45643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45643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45643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45643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45643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45643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45643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45643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45643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45643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45643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45643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45643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45643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45643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45643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45643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45643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45643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45643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45643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45643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45643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45643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45643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45643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45643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45643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45643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45643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45643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45643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45643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45643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45643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45643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45643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45643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45643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52012-2024</t>
        </is>
      </c>
      <c r="B950" s="1" t="n">
        <v>45607</v>
      </c>
      <c r="C950" s="1" t="n">
        <v>45643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51917-2024</t>
        </is>
      </c>
      <c r="B951" s="1" t="n">
        <v>45607</v>
      </c>
      <c r="C951" s="1" t="n">
        <v>45643</v>
      </c>
      <c r="D951" t="inlineStr">
        <is>
          <t>SKÅNE LÄN</t>
        </is>
      </c>
      <c r="E951" t="inlineStr">
        <is>
          <t>KRISTIANSTAD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52014-2024</t>
        </is>
      </c>
      <c r="B952" s="1" t="n">
        <v>45607</v>
      </c>
      <c r="C952" s="1" t="n">
        <v>45643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51903-2024</t>
        </is>
      </c>
      <c r="B953" s="1" t="n">
        <v>45607</v>
      </c>
      <c r="C953" s="1" t="n">
        <v>45643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51898-2024</t>
        </is>
      </c>
      <c r="B954" s="1" t="n">
        <v>45607</v>
      </c>
      <c r="C954" s="1" t="n">
        <v>45643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51678-2024</t>
        </is>
      </c>
      <c r="B955" s="1" t="n">
        <v>45607</v>
      </c>
      <c r="C955" s="1" t="n">
        <v>45643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45643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52065-2024</t>
        </is>
      </c>
      <c r="B957" s="1" t="n">
        <v>45608</v>
      </c>
      <c r="C957" s="1" t="n">
        <v>45643</v>
      </c>
      <c r="D957" t="inlineStr">
        <is>
          <t>SKÅNE LÄN</t>
        </is>
      </c>
      <c r="E957" t="inlineStr">
        <is>
          <t>KRISTIANSTAD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45643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45643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45643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45643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55499-2024</t>
        </is>
      </c>
      <c r="B962" s="1" t="n">
        <v>45622</v>
      </c>
      <c r="C962" s="1" t="n">
        <v>45643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55469-2024</t>
        </is>
      </c>
      <c r="B963" s="1" t="n">
        <v>45622</v>
      </c>
      <c r="C963" s="1" t="n">
        <v>45643</v>
      </c>
      <c r="D963" t="inlineStr">
        <is>
          <t>SKÅNE LÄN</t>
        </is>
      </c>
      <c r="E963" t="inlineStr">
        <is>
          <t>KRISTIANSTAD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56762-2024</t>
        </is>
      </c>
      <c r="B964" s="1" t="n">
        <v>45628</v>
      </c>
      <c r="C964" s="1" t="n">
        <v>45643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59094-2024</t>
        </is>
      </c>
      <c r="B965" s="1" t="n">
        <v>45636</v>
      </c>
      <c r="C965" s="1" t="n">
        <v>45643</v>
      </c>
      <c r="D965" t="inlineStr">
        <is>
          <t>SKÅNE LÄN</t>
        </is>
      </c>
      <c r="E965" t="inlineStr">
        <is>
          <t>KRISTIANSTAD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60216-2024</t>
        </is>
      </c>
      <c r="B966" s="1" t="n">
        <v>45642</v>
      </c>
      <c r="C966" s="1" t="n">
        <v>45643</v>
      </c>
      <c r="D966" t="inlineStr">
        <is>
          <t>SKÅNE LÄN</t>
        </is>
      </c>
      <c r="E966" t="inlineStr">
        <is>
          <t>KRISTIANSTAD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2024-12-17T15:18:33Z</dcterms:created>
  <dcterms:modified xmlns:dcterms="http://purl.org/dc/terms/" xmlns:xsi="http://www.w3.org/2001/XMLSchema-instance" xsi:type="dcterms:W3CDTF">2024-12-17T15:18:34Z</dcterms:modified>
</cp:coreProperties>
</file>