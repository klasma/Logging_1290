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46258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4</v>
      </c>
      <c r="M8" t="n">
        <v>4</v>
      </c>
      <c r="N8" t="n">
        <v>0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14</v>
      </c>
      <c r="U8" t="n">
        <v>3</v>
      </c>
      <c r="V8" s="2" t="inlineStr">
        <is>
          <t>Blå lökspindling
Kejsarspindling
Nunnespindling
Själlandsspindling
Bokvårtlav
Cinnoberspindling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46258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46258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46258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46258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46258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46258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46258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46258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46258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46258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46258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46258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46258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46258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46258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46258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46258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46258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46258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46258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46258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46258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46258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46258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46258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46258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46258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46258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46258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46258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46258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46258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46258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46258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46258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46258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46258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46258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Ejder
Luktvädd
Skogsknipprot</t>
        </is>
      </c>
      <c r="W53">
        <f>HYPERLINK("https://klasma.github.io/Logging_1290/artfynd/A 19569-2026 artfynd.xlsx", "A 19569-2026")</f>
        <v/>
      </c>
      <c r="X53">
        <f>HYPERLINK("https://klasma.github.io/Logging_1290/kartor/A 19569-2026 karta.png", "A 19569-2026")</f>
        <v/>
      </c>
      <c r="Y53">
        <f>HYPERLINK("https://klasma.github.io/Logging_1290/kartor_geotiff/A 19569-2026 georefererad karta.tif", "A 19569-2026")</f>
        <v/>
      </c>
      <c r="AA53">
        <f>HYPERLINK("https://klasma.github.io/Logging_1290/klagomål/A 19569-2026 FSC-klagomål.docx", "A 19569-2026")</f>
        <v/>
      </c>
      <c r="AB53">
        <f>HYPERLINK("https://klasma.github.io/Logging_1290/klagomålsmail/A 19569-2026 FSC-klagomål mail.docx", "A 19569-2026")</f>
        <v/>
      </c>
      <c r="AC53">
        <f>HYPERLINK("https://klasma.github.io/Logging_1290/tillsyn/A 19569-2026 tillsynsbegäran.docx", "A 19569-2026")</f>
        <v/>
      </c>
      <c r="AD53">
        <f>HYPERLINK("https://klasma.github.io/Logging_1290/tillsynsmail/A 19569-2026 tillsynsbegäran mail.docx", "A 19569-2026")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46258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46258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46258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46258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46258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46258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46258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46258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46258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46258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46258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46258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46258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46258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56969-2023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46258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2.4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Lundbräsma
Myskmadra</t>
        </is>
      </c>
      <c r="W68">
        <f>HYPERLINK("https://klasma.github.io/Logging_1290/artfynd/A 56969-2023 artfynd.xlsx", "A 56969-2023")</f>
        <v/>
      </c>
      <c r="X68">
        <f>HYPERLINK("https://klasma.github.io/Logging_1290/kartor/A 56969-2023 karta.png", "A 56969-2023")</f>
        <v/>
      </c>
      <c r="Y68">
        <f>HYPERLINK("https://klasma.github.io/Logging_1290/kartor_geotiff/A 56969-2023 georefererad karta.tif", "A 56969-2023")</f>
        <v/>
      </c>
      <c r="AA68">
        <f>HYPERLINK("https://klasma.github.io/Logging_1290/klagomål/A 56969-2023 FSC-klagomål.docx", "A 56969-2023")</f>
        <v/>
      </c>
      <c r="AB68">
        <f>HYPERLINK("https://klasma.github.io/Logging_1290/klagomålsmail/A 56969-2023 FSC-klagomål mail.docx", "A 56969-2023")</f>
        <v/>
      </c>
      <c r="AC68">
        <f>HYPERLINK("https://klasma.github.io/Logging_1290/tillsyn/A 56969-2023 tillsynsbegäran.docx", "A 56969-2023")</f>
        <v/>
      </c>
      <c r="AD68">
        <f>HYPERLINK("https://klasma.github.io/Logging_1290/tillsynsmail/A 56969-2023 tillsynsbegäran mail.docx", "A 56969-2023")</f>
        <v/>
      </c>
    </row>
    <row r="69" ht="15" customHeight="1">
      <c r="A69" t="inlineStr">
        <is>
          <t>A 30526-2024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45492</v>
      </c>
      <c r="E69" s="1" t="n">
        <v>46258</v>
      </c>
      <c r="F69" t="inlineStr">
        <is>
          <t>SKÅNE LÄN</t>
        </is>
      </c>
      <c r="G69" t="inlineStr">
        <is>
          <t>KRISTIANSTAD</t>
        </is>
      </c>
      <c r="I69" t="n">
        <v>2.3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Dvärgjohannesört
Stor häxört</t>
        </is>
      </c>
      <c r="W69">
        <f>HYPERLINK("https://klasma.github.io/Logging_1290/artfynd/A 30526-2024 artfynd.xlsx", "A 30526-2024")</f>
        <v/>
      </c>
      <c r="X69">
        <f>HYPERLINK("https://klasma.github.io/Logging_1290/kartor/A 30526-2024 karta.png", "A 30526-2024")</f>
        <v/>
      </c>
      <c r="Y69">
        <f>HYPERLINK("https://klasma.github.io/Logging_1290/kartor_geotiff/A 30526-2024 georefererad karta.tif", "A 30526-2024")</f>
        <v/>
      </c>
      <c r="AA69">
        <f>HYPERLINK("https://klasma.github.io/Logging_1290/klagomål/A 30526-2024 FSC-klagomål.docx", "A 30526-2024")</f>
        <v/>
      </c>
      <c r="AB69">
        <f>HYPERLINK("https://klasma.github.io/Logging_1290/klagomålsmail/A 30526-2024 FSC-klagomål mail.docx", "A 30526-2024")</f>
        <v/>
      </c>
      <c r="AC69">
        <f>HYPERLINK("https://klasma.github.io/Logging_1290/tillsyn/A 30526-2024 tillsynsbegäran.docx", "A 30526-2024")</f>
        <v/>
      </c>
      <c r="AD69">
        <f>HYPERLINK("https://klasma.github.io/Logging_1290/tillsynsmail/A 30526-2024 tillsynsbegäran mail.docx", "A 30526-2024")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46258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46258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46258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46258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46258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46258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46258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55499-2024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46258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2.1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Hedpärlemorfjäril
Grönvit nattviol</t>
        </is>
      </c>
      <c r="W77">
        <f>HYPERLINK("https://klasma.github.io/Logging_1290/artfynd/A 55499-2024 artfynd.xlsx", "A 55499-2024")</f>
        <v/>
      </c>
      <c r="X77">
        <f>HYPERLINK("https://klasma.github.io/Logging_1290/kartor/A 55499-2024 karta.png", "A 55499-2024")</f>
        <v/>
      </c>
      <c r="Y77">
        <f>HYPERLINK("https://klasma.github.io/Logging_1290/kartor_geotiff/A 55499-2024 georefererad karta.tif", "A 55499-2024")</f>
        <v/>
      </c>
      <c r="AA77">
        <f>HYPERLINK("https://klasma.github.io/Logging_1290/klagomål/A 55499-2024 FSC-klagomål.docx", "A 55499-2024")</f>
        <v/>
      </c>
      <c r="AB77">
        <f>HYPERLINK("https://klasma.github.io/Logging_1290/klagomålsmail/A 55499-2024 FSC-klagomål mail.docx", "A 55499-2024")</f>
        <v/>
      </c>
      <c r="AC77">
        <f>HYPERLINK("https://klasma.github.io/Logging_1290/tillsyn/A 55499-2024 tillsynsbegäran.docx", "A 55499-2024")</f>
        <v/>
      </c>
      <c r="AD77">
        <f>HYPERLINK("https://klasma.github.io/Logging_1290/tillsynsmail/A 55499-2024 tillsynsbegäran mail.docx", "A 55499-2024")</f>
        <v/>
      </c>
    </row>
    <row r="78" ht="15" customHeight="1">
      <c r="A78" t="inlineStr">
        <is>
          <t>A 60333-2022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44910</v>
      </c>
      <c r="E78" s="1" t="n">
        <v>46258</v>
      </c>
      <c r="F78" t="inlineStr">
        <is>
          <t>SKÅNE LÄN</t>
        </is>
      </c>
      <c r="G78" t="inlineStr">
        <is>
          <t>KRISTIANSTAD</t>
        </is>
      </c>
      <c r="I78" t="n">
        <v>4.1</v>
      </c>
      <c r="J78" t="n">
        <v>1</v>
      </c>
      <c r="K78" t="n">
        <v>0</v>
      </c>
      <c r="L78" t="n">
        <v>0</v>
      </c>
      <c r="M78" t="n">
        <v>2</v>
      </c>
      <c r="N78" t="n">
        <v>0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1</v>
      </c>
      <c r="V78" s="2" t="inlineStr">
        <is>
          <t>Sandödla
Åkersyska</t>
        </is>
      </c>
      <c r="W78">
        <f>HYPERLINK("https://klasma.github.io/Logging_1290/artfynd/A 60333-2022 artfynd.xlsx", "A 60333-2022")</f>
        <v/>
      </c>
      <c r="X78">
        <f>HYPERLINK("https://klasma.github.io/Logging_1290/kartor/A 60333-2022 karta.png", "A 60333-2022")</f>
        <v/>
      </c>
      <c r="Y78">
        <f>HYPERLINK("https://klasma.github.io/Logging_1290/kartor_geotiff/A 60333-2022 georefererad karta.tif", "A 60333-2022")</f>
        <v/>
      </c>
      <c r="AA78">
        <f>HYPERLINK("https://klasma.github.io/Logging_1290/klagomål/A 60333-2022 FSC-klagomål.docx", "A 60333-2022")</f>
        <v/>
      </c>
      <c r="AB78">
        <f>HYPERLINK("https://klasma.github.io/Logging_1290/klagomålsmail/A 60333-2022 FSC-klagomål mail.docx", "A 60333-2022")</f>
        <v/>
      </c>
      <c r="AC78">
        <f>HYPERLINK("https://klasma.github.io/Logging_1290/tillsyn/A 60333-2022 tillsynsbegäran.docx", "A 60333-2022")</f>
        <v/>
      </c>
      <c r="AD78">
        <f>HYPERLINK("https://klasma.github.io/Logging_1290/tillsynsmail/A 60333-2022 tillsynsbegäran mail.docx", "A 60333-2022")</f>
        <v/>
      </c>
    </row>
    <row r="79" ht="15" customHeight="1">
      <c r="A79" t="inlineStr">
        <is>
          <t>A 50151-2025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46258</v>
      </c>
      <c r="F79" t="inlineStr">
        <is>
          <t>SKÅNE LÄN</t>
        </is>
      </c>
      <c r="G79" t="inlineStr">
        <is>
          <t>KRISTIANSTAD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Slåttergubbe
Grönvit nattviol</t>
        </is>
      </c>
      <c r="W79">
        <f>HYPERLINK("https://klasma.github.io/Logging_1290/artfynd/A 50151-2025 artfynd.xlsx", "A 50151-2025")</f>
        <v/>
      </c>
      <c r="X79">
        <f>HYPERLINK("https://klasma.github.io/Logging_1290/kartor/A 50151-2025 karta.png", "A 50151-2025")</f>
        <v/>
      </c>
      <c r="Y79">
        <f>HYPERLINK("https://klasma.github.io/Logging_1290/kartor_geotiff/A 50151-2025 georefererad karta.tif", "A 50151-2025")</f>
        <v/>
      </c>
      <c r="AA79">
        <f>HYPERLINK("https://klasma.github.io/Logging_1290/klagomål/A 50151-2025 FSC-klagomål.docx", "A 50151-2025")</f>
        <v/>
      </c>
      <c r="AB79">
        <f>HYPERLINK("https://klasma.github.io/Logging_1290/klagomålsmail/A 50151-2025 FSC-klagomål mail.docx", "A 50151-2025")</f>
        <v/>
      </c>
      <c r="AC79">
        <f>HYPERLINK("https://klasma.github.io/Logging_1290/tillsyn/A 50151-2025 tillsynsbegäran.docx", "A 50151-2025")</f>
        <v/>
      </c>
      <c r="AD79">
        <f>HYPERLINK("https://klasma.github.io/Logging_1290/tillsynsmail/A 50151-2025 tillsynsbegäran mail.docx", "A 50151-2025")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46258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A 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46258</v>
      </c>
      <c r="F81" t="inlineStr">
        <is>
          <t>SKÅNE LÄN</t>
        </is>
      </c>
      <c r="G81" t="inlineStr">
        <is>
          <t>KRISTIANSTAD</t>
        </is>
      </c>
      <c r="I81" t="n">
        <v>1.9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Rosa lundlav
Stiftklotterlav</t>
        </is>
      </c>
      <c r="W81">
        <f>HYPERLINK("https://klasma.github.io/Logging_1290/artfynd/A 755-2025 artfynd.xlsx", "A 755-2025")</f>
        <v/>
      </c>
      <c r="X81">
        <f>HYPERLINK("https://klasma.github.io/Logging_1290/kartor/A 755-2025 karta.png", "A 755-2025")</f>
        <v/>
      </c>
      <c r="Y81">
        <f>HYPERLINK("https://klasma.github.io/Logging_1290/kartor_geotiff/A 755-2025 georefererad karta.tif", "A 755-2025")</f>
        <v/>
      </c>
      <c r="AA81">
        <f>HYPERLINK("https://klasma.github.io/Logging_1290/klagomål/A 755-2025 FSC-klagomål.docx", "A 755-2025")</f>
        <v/>
      </c>
      <c r="AB81">
        <f>HYPERLINK("https://klasma.github.io/Logging_1290/klagomålsmail/A 755-2025 FSC-klagomål mail.docx", "A 755-2025")</f>
        <v/>
      </c>
      <c r="AC81">
        <f>HYPERLINK("https://klasma.github.io/Logging_1290/tillsyn/A 755-2025 tillsynsbegäran.docx", "A 755-2025")</f>
        <v/>
      </c>
      <c r="AD81">
        <f>HYPERLINK("https://klasma.github.io/Logging_1290/tillsynsmail/A 755-2025 tillsynsbegäran mail.docx", "A 755-2025")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46258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46258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46258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46258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46258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27955-2022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46258</v>
      </c>
      <c r="F88" t="inlineStr">
        <is>
          <t>SKÅNE LÄN</t>
        </is>
      </c>
      <c r="G88" t="inlineStr">
        <is>
          <t>KRISTIANSTAD</t>
        </is>
      </c>
      <c r="I88" t="n">
        <v>3.6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HYPERLINK("https://klasma.github.io/Logging_1290/artfynd/A 27955-2022 artfynd.xlsx", "A 27955-2022")</f>
        <v/>
      </c>
      <c r="X88">
        <f>HYPERLINK("https://klasma.github.io/Logging_1290/kartor/A 27955-2022 karta.png", "A 27955-2022")</f>
        <v/>
      </c>
      <c r="Y88">
        <f>HYPERLINK("https://klasma.github.io/Logging_1290/kartor_geotiff/A 27955-2022 georefererad karta.tif", "A 27955-2022")</f>
        <v/>
      </c>
      <c r="AA88">
        <f>HYPERLINK("https://klasma.github.io/Logging_1290/klagomål/A 27955-2022 FSC-klagomål.docx", "A 27955-2022")</f>
        <v/>
      </c>
      <c r="AB88">
        <f>HYPERLINK("https://klasma.github.io/Logging_1290/klagomålsmail/A 27955-2022 FSC-klagomål mail.docx", "A 27955-2022")</f>
        <v/>
      </c>
      <c r="AC88">
        <f>HYPERLINK("https://klasma.github.io/Logging_1290/tillsyn/A 27955-2022 tillsynsbegäran.docx", "A 27955-2022")</f>
        <v/>
      </c>
      <c r="AD88">
        <f>HYPERLINK("https://klasma.github.io/Logging_1290/tillsynsmail/A 27955-2022 tillsynsbegäran mail.docx", "A 27955-2022")</f>
        <v/>
      </c>
      <c r="AE88">
        <f>HYPERLINK("https://klasma.github.io/Logging_1290/fåglar/A 27955-2022 prioriterade fågelarter.docx", "A 27955-2022")</f>
        <v/>
      </c>
    </row>
    <row r="89" ht="15" customHeight="1">
      <c r="A89" t="inlineStr">
        <is>
          <t>A 27234-2025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46258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Småvänderot</t>
        </is>
      </c>
      <c r="W89">
        <f>HYPERLINK("https://klasma.github.io/Logging_1290/artfynd/A 27234-2025 artfynd.xlsx", "A 27234-2025")</f>
        <v/>
      </c>
      <c r="X89">
        <f>HYPERLINK("https://klasma.github.io/Logging_1290/kartor/A 27234-2025 karta.png", "A 27234-2025")</f>
        <v/>
      </c>
      <c r="Y89">
        <f>HYPERLINK("https://klasma.github.io/Logging_1290/kartor_geotiff/A 27234-2025 georefererad karta.tif", "A 27234-2025")</f>
        <v/>
      </c>
      <c r="AA89">
        <f>HYPERLINK("https://klasma.github.io/Logging_1290/klagomål/A 27234-2025 FSC-klagomål.docx", "A 27234-2025")</f>
        <v/>
      </c>
      <c r="AB89">
        <f>HYPERLINK("https://klasma.github.io/Logging_1290/klagomålsmail/A 27234-2025 FSC-klagomål mail.docx", "A 27234-2025")</f>
        <v/>
      </c>
      <c r="AC89">
        <f>HYPERLINK("https://klasma.github.io/Logging_1290/tillsyn/A 27234-2025 tillsynsbegäran.docx", "A 27234-2025")</f>
        <v/>
      </c>
      <c r="AD89">
        <f>HYPERLINK("https://klasma.github.io/Logging_1290/tillsynsmail/A 27234-2025 tillsynsbegäran mail.docx", "A 27234-2025")</f>
        <v/>
      </c>
    </row>
    <row r="90" ht="15" customHeight="1">
      <c r="A90" t="inlineStr">
        <is>
          <t>A 17023-2025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46258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Ekskinn</t>
        </is>
      </c>
      <c r="W90">
        <f>HYPERLINK("https://klasma.github.io/Logging_1290/artfynd/A 17023-2025 artfynd.xlsx", "A 17023-2025")</f>
        <v/>
      </c>
      <c r="X90">
        <f>HYPERLINK("https://klasma.github.io/Logging_1290/kartor/A 17023-2025 karta.png", "A 17023-2025")</f>
        <v/>
      </c>
      <c r="Y90">
        <f>HYPERLINK("https://klasma.github.io/Logging_1290/kartor_geotiff/A 17023-2025 georefererad karta.tif", "A 17023-2025")</f>
        <v/>
      </c>
      <c r="AA90">
        <f>HYPERLINK("https://klasma.github.io/Logging_1290/klagomål/A 17023-2025 FSC-klagomål.docx", "A 17023-2025")</f>
        <v/>
      </c>
      <c r="AB90">
        <f>HYPERLINK("https://klasma.github.io/Logging_1290/klagomålsmail/A 17023-2025 FSC-klagomål mail.docx", "A 17023-2025")</f>
        <v/>
      </c>
      <c r="AC90">
        <f>HYPERLINK("https://klasma.github.io/Logging_1290/tillsyn/A 17023-2025 tillsynsbegäran.docx", "A 17023-2025")</f>
        <v/>
      </c>
      <c r="AD90">
        <f>HYPERLINK("https://klasma.github.io/Logging_1290/tillsynsmail/A 17023-2025 tillsynsbegäran mail.docx", "A 17023-2025")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46258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Orangepudrad klotterlav</t>
        </is>
      </c>
      <c r="W91">
        <f>HYPERLINK("https://klasma.github.io/Logging_1290/artfynd/A 44582-2022 artfynd.xlsx", "A 44582-2022")</f>
        <v/>
      </c>
      <c r="X91">
        <f>HYPERLINK("https://klasma.github.io/Logging_1290/kartor/A 44582-2022 karta.png", "A 44582-2022")</f>
        <v/>
      </c>
      <c r="Y91">
        <f>HYPERLINK("https://klasma.github.io/Logging_1290/kartor_geotiff/A 44582-2022 georefererad karta.tif", "A 44582-2022")</f>
        <v/>
      </c>
      <c r="AA91">
        <f>HYPERLINK("https://klasma.github.io/Logging_1290/klagomål/A 44582-2022 FSC-klagomål.docx", "A 44582-2022")</f>
        <v/>
      </c>
      <c r="AB91">
        <f>HYPERLINK("https://klasma.github.io/Logging_1290/klagomålsmail/A 44582-2022 FSC-klagomål mail.docx", "A 44582-2022")</f>
        <v/>
      </c>
      <c r="AC91">
        <f>HYPERLINK("https://klasma.github.io/Logging_1290/tillsyn/A 44582-2022 tillsynsbegäran.docx", "A 44582-2022")</f>
        <v/>
      </c>
      <c r="AD91">
        <f>HYPERLINK("https://klasma.github.io/Logging_1290/tillsynsmail/A 44582-2022 tillsynsbegäran mail.docx", "A 44582-2022")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46258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27956-2022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46258</v>
      </c>
      <c r="F93" t="inlineStr">
        <is>
          <t>SKÅNE LÄN</t>
        </is>
      </c>
      <c r="G93" t="inlineStr">
        <is>
          <t>KRISTIANSTAD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Kärrviol</t>
        </is>
      </c>
      <c r="W93">
        <f>HYPERLINK("https://klasma.github.io/Logging_1290/artfynd/A 27956-2022 artfynd.xlsx", "A 27956-2022")</f>
        <v/>
      </c>
      <c r="X93">
        <f>HYPERLINK("https://klasma.github.io/Logging_1290/kartor/A 27956-2022 karta.png", "A 27956-2022")</f>
        <v/>
      </c>
      <c r="Y93">
        <f>HYPERLINK("https://klasma.github.io/Logging_1290/kartor_geotiff/A 27956-2022 georefererad karta.tif", "A 27956-2022")</f>
        <v/>
      </c>
      <c r="AA93">
        <f>HYPERLINK("https://klasma.github.io/Logging_1290/klagomål/A 27956-2022 FSC-klagomål.docx", "A 27956-2022")</f>
        <v/>
      </c>
      <c r="AB93">
        <f>HYPERLINK("https://klasma.github.io/Logging_1290/klagomålsmail/A 27956-2022 FSC-klagomål mail.docx", "A 27956-2022")</f>
        <v/>
      </c>
      <c r="AC93">
        <f>HYPERLINK("https://klasma.github.io/Logging_1290/tillsyn/A 27956-2022 tillsynsbegäran.docx", "A 27956-2022")</f>
        <v/>
      </c>
      <c r="AD93">
        <f>HYPERLINK("https://klasma.github.io/Logging_1290/tillsynsmail/A 27956-2022 tillsynsbegäran mail.docx", "A 27956-2022")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46258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45495-2024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45577</v>
      </c>
      <c r="E95" s="1" t="n">
        <v>46258</v>
      </c>
      <c r="F95" t="inlineStr">
        <is>
          <t>SKÅNE LÄN</t>
        </is>
      </c>
      <c r="G95" t="inlineStr">
        <is>
          <t>KRISTIANSTAD</t>
        </is>
      </c>
      <c r="I95" t="n">
        <v>9.1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Koralltaggsvamp</t>
        </is>
      </c>
      <c r="W95">
        <f>HYPERLINK("https://klasma.github.io/Logging_1290/artfynd/A 45495-2024 artfynd.xlsx", "A 45495-2024")</f>
        <v/>
      </c>
      <c r="X95">
        <f>HYPERLINK("https://klasma.github.io/Logging_1290/kartor/A 45495-2024 karta.png", "A 45495-2024")</f>
        <v/>
      </c>
      <c r="Y95">
        <f>HYPERLINK("https://klasma.github.io/Logging_1290/kartor_geotiff/A 45495-2024 georefererad karta.tif", "A 45495-2024")</f>
        <v/>
      </c>
      <c r="AA95">
        <f>HYPERLINK("https://klasma.github.io/Logging_1290/klagomål/A 45495-2024 FSC-klagomål.docx", "A 45495-2024")</f>
        <v/>
      </c>
      <c r="AB95">
        <f>HYPERLINK("https://klasma.github.io/Logging_1290/klagomålsmail/A 45495-2024 FSC-klagomål mail.docx", "A 45495-2024")</f>
        <v/>
      </c>
      <c r="AC95">
        <f>HYPERLINK("https://klasma.github.io/Logging_1290/tillsyn/A 45495-2024 tillsynsbegäran.docx", "A 45495-2024")</f>
        <v/>
      </c>
      <c r="AD95">
        <f>HYPERLINK("https://klasma.github.io/Logging_1290/tillsynsmail/A 45495-2024 tillsynsbegäran mail.docx", "A 45495-2024")</f>
        <v/>
      </c>
    </row>
    <row r="96" ht="15" customHeight="1">
      <c r="A96" t="inlineStr">
        <is>
          <t>A 15706-2025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46258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HYPERLINK("https://klasma.github.io/Logging_1290/artfynd/A 15706-2025 artfynd.xlsx", "A 15706-2025")</f>
        <v/>
      </c>
      <c r="X96">
        <f>HYPERLINK("https://klasma.github.io/Logging_1290/kartor/A 15706-2025 karta.png", "A 15706-2025")</f>
        <v/>
      </c>
      <c r="Y96">
        <f>HYPERLINK("https://klasma.github.io/Logging_1290/kartor_geotiff/A 15706-2025 georefererad karta.tif", "A 15706-2025")</f>
        <v/>
      </c>
      <c r="AA96">
        <f>HYPERLINK("https://klasma.github.io/Logging_1290/klagomål/A 15706-2025 FSC-klagomål.docx", "A 15706-2025")</f>
        <v/>
      </c>
      <c r="AB96">
        <f>HYPERLINK("https://klasma.github.io/Logging_1290/klagomålsmail/A 15706-2025 FSC-klagomål mail.docx", "A 15706-2025")</f>
        <v/>
      </c>
      <c r="AC96">
        <f>HYPERLINK("https://klasma.github.io/Logging_1290/tillsyn/A 15706-2025 tillsynsbegäran.docx", "A 15706-2025")</f>
        <v/>
      </c>
      <c r="AD96">
        <f>HYPERLINK("https://klasma.github.io/Logging_1290/tillsynsmail/A 15706-2025 tillsynsbegäran mail.docx", "A 15706-2025")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46258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4615-2024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46258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Skogslysing</t>
        </is>
      </c>
      <c r="W98">
        <f>HYPERLINK("https://klasma.github.io/Logging_1290/artfynd/A 4615-2024 artfynd.xlsx", "A 4615-2024")</f>
        <v/>
      </c>
      <c r="X98">
        <f>HYPERLINK("https://klasma.github.io/Logging_1290/kartor/A 4615-2024 karta.png", "A 4615-2024")</f>
        <v/>
      </c>
      <c r="Y98">
        <f>HYPERLINK("https://klasma.github.io/Logging_1290/kartor_geotiff/A 4615-2024 georefererad karta.tif", "A 4615-2024")</f>
        <v/>
      </c>
      <c r="AA98">
        <f>HYPERLINK("https://klasma.github.io/Logging_1290/klagomål/A 4615-2024 FSC-klagomål.docx", "A 4615-2024")</f>
        <v/>
      </c>
      <c r="AB98">
        <f>HYPERLINK("https://klasma.github.io/Logging_1290/klagomålsmail/A 4615-2024 FSC-klagomål mail.docx", "A 4615-2024")</f>
        <v/>
      </c>
      <c r="AC98">
        <f>HYPERLINK("https://klasma.github.io/Logging_1290/tillsyn/A 4615-2024 tillsynsbegäran.docx", "A 4615-2024")</f>
        <v/>
      </c>
      <c r="AD98">
        <f>HYPERLINK("https://klasma.github.io/Logging_1290/tillsynsmail/A 4615-2024 tillsynsbegäran mail.docx", "A 4615-2024")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46258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30925-2022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44767</v>
      </c>
      <c r="E100" s="1" t="n">
        <v>46258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Sjötåtel</t>
        </is>
      </c>
      <c r="W100">
        <f>HYPERLINK("https://klasma.github.io/Logging_1290/artfynd/A 30925-2022 artfynd.xlsx", "A 30925-2022")</f>
        <v/>
      </c>
      <c r="X100">
        <f>HYPERLINK("https://klasma.github.io/Logging_1290/kartor/A 30925-2022 karta.png", "A 30925-2022")</f>
        <v/>
      </c>
      <c r="Y100">
        <f>HYPERLINK("https://klasma.github.io/Logging_1290/kartor_geotiff/A 30925-2022 georefererad karta.tif", "A 30925-2022")</f>
        <v/>
      </c>
      <c r="AA100">
        <f>HYPERLINK("https://klasma.github.io/Logging_1290/klagomål/A 30925-2022 FSC-klagomål.docx", "A 30925-2022")</f>
        <v/>
      </c>
      <c r="AB100">
        <f>HYPERLINK("https://klasma.github.io/Logging_1290/klagomålsmail/A 30925-2022 FSC-klagomål mail.docx", "A 30925-2022")</f>
        <v/>
      </c>
      <c r="AC100">
        <f>HYPERLINK("https://klasma.github.io/Logging_1290/tillsyn/A 30925-2022 tillsynsbegäran.docx", "A 30925-2022")</f>
        <v/>
      </c>
      <c r="AD100">
        <f>HYPERLINK("https://klasma.github.io/Logging_1290/tillsynsmail/A 30925-2022 tillsynsbegäran mail.docx", "A 30925-2022")</f>
        <v/>
      </c>
    </row>
    <row r="101" ht="15" customHeight="1">
      <c r="A101" t="inlineStr">
        <is>
          <t>A 28425-2024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46258</v>
      </c>
      <c r="F101" t="inlineStr">
        <is>
          <t>SKÅNE LÄN</t>
        </is>
      </c>
      <c r="G101" t="inlineStr">
        <is>
          <t>KRISTIANSTAD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Missne</t>
        </is>
      </c>
      <c r="W101">
        <f>HYPERLINK("https://klasma.github.io/Logging_1290/artfynd/A 28425-2024 artfynd.xlsx", "A 28425-2024")</f>
        <v/>
      </c>
      <c r="X101">
        <f>HYPERLINK("https://klasma.github.io/Logging_1290/kartor/A 28425-2024 karta.png", "A 28425-2024")</f>
        <v/>
      </c>
      <c r="Y101">
        <f>HYPERLINK("https://klasma.github.io/Logging_1290/kartor_geotiff/A 28425-2024 georefererad karta.tif", "A 28425-2024")</f>
        <v/>
      </c>
      <c r="AA101">
        <f>HYPERLINK("https://klasma.github.io/Logging_1290/klagomål/A 28425-2024 FSC-klagomål.docx", "A 28425-2024")</f>
        <v/>
      </c>
      <c r="AB101">
        <f>HYPERLINK("https://klasma.github.io/Logging_1290/klagomålsmail/A 28425-2024 FSC-klagomål mail.docx", "A 28425-2024")</f>
        <v/>
      </c>
      <c r="AC101">
        <f>HYPERLINK("https://klasma.github.io/Logging_1290/tillsyn/A 28425-2024 tillsynsbegäran.docx", "A 28425-2024")</f>
        <v/>
      </c>
      <c r="AD101">
        <f>HYPERLINK("https://klasma.github.io/Logging_1290/tillsynsmail/A 28425-2024 tillsynsbegäran mail.docx", "A 28425-2024")</f>
        <v/>
      </c>
    </row>
    <row r="102" ht="15" customHeight="1">
      <c r="A102" t="inlineStr">
        <is>
          <t>A 9018-2024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46258</v>
      </c>
      <c r="F102" t="inlineStr">
        <is>
          <t>SKÅNE LÄN</t>
        </is>
      </c>
      <c r="G102" t="inlineStr">
        <is>
          <t>KRISTIANSTAD</t>
        </is>
      </c>
      <c r="I102" t="n">
        <v>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Hedblomster</t>
        </is>
      </c>
      <c r="W102">
        <f>HYPERLINK("https://klasma.github.io/Logging_1290/artfynd/A 9018-2024 artfynd.xlsx", "A 9018-2024")</f>
        <v/>
      </c>
      <c r="X102">
        <f>HYPERLINK("https://klasma.github.io/Logging_1290/kartor/A 9018-2024 karta.png", "A 9018-2024")</f>
        <v/>
      </c>
      <c r="Y102">
        <f>HYPERLINK("https://klasma.github.io/Logging_1290/kartor_geotiff/A 9018-2024 georefererad karta.tif", "A 9018-2024")</f>
        <v/>
      </c>
      <c r="AA102">
        <f>HYPERLINK("https://klasma.github.io/Logging_1290/klagomål/A 9018-2024 FSC-klagomål.docx", "A 9018-2024")</f>
        <v/>
      </c>
      <c r="AB102">
        <f>HYPERLINK("https://klasma.github.io/Logging_1290/klagomålsmail/A 9018-2024 FSC-klagomål mail.docx", "A 9018-2024")</f>
        <v/>
      </c>
      <c r="AC102">
        <f>HYPERLINK("https://klasma.github.io/Logging_1290/tillsyn/A 9018-2024 tillsynsbegäran.docx", "A 9018-2024")</f>
        <v/>
      </c>
      <c r="AD102">
        <f>HYPERLINK("https://klasma.github.io/Logging_1290/tillsynsmail/A 9018-2024 tillsynsbegäran mail.docx", "A 9018-2024")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46258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13977-2025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45738</v>
      </c>
      <c r="E104" s="1" t="n">
        <v>46258</v>
      </c>
      <c r="F104" t="inlineStr">
        <is>
          <t>SKÅNE LÄN</t>
        </is>
      </c>
      <c r="G104" t="inlineStr">
        <is>
          <t>KRISTIANSTAD</t>
        </is>
      </c>
      <c r="I104" t="n">
        <v>8.9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Rostfläck</t>
        </is>
      </c>
      <c r="W104">
        <f>HYPERLINK("https://klasma.github.io/Logging_1290/artfynd/A 13977-2025 artfynd.xlsx", "A 13977-2025")</f>
        <v/>
      </c>
      <c r="X104">
        <f>HYPERLINK("https://klasma.github.io/Logging_1290/kartor/A 13977-2025 karta.png", "A 13977-2025")</f>
        <v/>
      </c>
      <c r="Y104">
        <f>HYPERLINK("https://klasma.github.io/Logging_1290/kartor_geotiff/A 13977-2025 georefererad karta.tif", "A 13977-2025")</f>
        <v/>
      </c>
      <c r="AA104">
        <f>HYPERLINK("https://klasma.github.io/Logging_1290/klagomål/A 13977-2025 FSC-klagomål.docx", "A 13977-2025")</f>
        <v/>
      </c>
      <c r="AB104">
        <f>HYPERLINK("https://klasma.github.io/Logging_1290/klagomålsmail/A 13977-2025 FSC-klagomål mail.docx", "A 13977-2025")</f>
        <v/>
      </c>
      <c r="AC104">
        <f>HYPERLINK("https://klasma.github.io/Logging_1290/tillsyn/A 13977-2025 tillsynsbegäran.docx", "A 13977-2025")</f>
        <v/>
      </c>
      <c r="AD104">
        <f>HYPERLINK("https://klasma.github.io/Logging_1290/tillsynsmail/A 13977-2025 tillsynsbegäran mail.docx", "A 13977-2025")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46258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34360-2023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45139</v>
      </c>
      <c r="E106" s="1" t="n">
        <v>46258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Småvänderot</t>
        </is>
      </c>
      <c r="W106">
        <f>HYPERLINK("https://klasma.github.io/Logging_1290/artfynd/A 34360-2023 artfynd.xlsx", "A 34360-2023")</f>
        <v/>
      </c>
      <c r="X106">
        <f>HYPERLINK("https://klasma.github.io/Logging_1290/kartor/A 34360-2023 karta.png", "A 34360-2023")</f>
        <v/>
      </c>
      <c r="Y106">
        <f>HYPERLINK("https://klasma.github.io/Logging_1290/kartor_geotiff/A 34360-2023 georefererad karta.tif", "A 34360-2023")</f>
        <v/>
      </c>
      <c r="AA106">
        <f>HYPERLINK("https://klasma.github.io/Logging_1290/klagomål/A 34360-2023 FSC-klagomål.docx", "A 34360-2023")</f>
        <v/>
      </c>
      <c r="AB106">
        <f>HYPERLINK("https://klasma.github.io/Logging_1290/klagomålsmail/A 34360-2023 FSC-klagomål mail.docx", "A 34360-2023")</f>
        <v/>
      </c>
      <c r="AC106">
        <f>HYPERLINK("https://klasma.github.io/Logging_1290/tillsyn/A 34360-2023 tillsynsbegäran.docx", "A 34360-2023")</f>
        <v/>
      </c>
      <c r="AD106">
        <f>HYPERLINK("https://klasma.github.io/Logging_1290/tillsynsmail/A 34360-2023 tillsynsbegäran mail.docx", "A 34360-2023")</f>
        <v/>
      </c>
    </row>
    <row r="107" ht="15" customHeight="1">
      <c r="A107" t="inlineStr">
        <is>
          <t>A 18539-2022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46258</v>
      </c>
      <c r="F107" t="inlineStr">
        <is>
          <t>SKÅNE LÄN</t>
        </is>
      </c>
      <c r="G107" t="inlineStr">
        <is>
          <t>KRISTIANSTAD</t>
        </is>
      </c>
      <c r="I107" t="n">
        <v>4.3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Skogslysing</t>
        </is>
      </c>
      <c r="W107">
        <f>HYPERLINK("https://klasma.github.io/Logging_1290/artfynd/A 18539-2022 artfynd.xlsx", "A 18539-2022")</f>
        <v/>
      </c>
      <c r="X107">
        <f>HYPERLINK("https://klasma.github.io/Logging_1290/kartor/A 18539-2022 karta.png", "A 18539-2022")</f>
        <v/>
      </c>
      <c r="Y107">
        <f>HYPERLINK("https://klasma.github.io/Logging_1290/kartor_geotiff/A 18539-2022 georefererad karta.tif", "A 18539-2022")</f>
        <v/>
      </c>
      <c r="AA107">
        <f>HYPERLINK("https://klasma.github.io/Logging_1290/klagomål/A 18539-2022 FSC-klagomål.docx", "A 18539-2022")</f>
        <v/>
      </c>
      <c r="AB107">
        <f>HYPERLINK("https://klasma.github.io/Logging_1290/klagomålsmail/A 18539-2022 FSC-klagomål mail.docx", "A 18539-2022")</f>
        <v/>
      </c>
      <c r="AC107">
        <f>HYPERLINK("https://klasma.github.io/Logging_1290/tillsyn/A 18539-2022 tillsynsbegäran.docx", "A 18539-2022")</f>
        <v/>
      </c>
      <c r="AD107">
        <f>HYPERLINK("https://klasma.github.io/Logging_1290/tillsynsmail/A 18539-2022 tillsynsbegäran mail.docx", "A 18539-2022")</f>
        <v/>
      </c>
    </row>
    <row r="108" ht="15" customHeight="1">
      <c r="A108" t="inlineStr">
        <is>
          <t>A 14232-2023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46258</v>
      </c>
      <c r="F108" t="inlineStr">
        <is>
          <t>SKÅNE LÄN</t>
        </is>
      </c>
      <c r="G108" t="inlineStr">
        <is>
          <t>KRISTIANSTAD</t>
        </is>
      </c>
      <c r="I108" t="n">
        <v>7.1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Gullviva</t>
        </is>
      </c>
      <c r="W108">
        <f>HYPERLINK("https://klasma.github.io/Logging_1290/artfynd/A 14232-2023 artfynd.xlsx", "A 14232-2023")</f>
        <v/>
      </c>
      <c r="X108">
        <f>HYPERLINK("https://klasma.github.io/Logging_1290/kartor/A 14232-2023 karta.png", "A 14232-2023")</f>
        <v/>
      </c>
      <c r="Y108">
        <f>HYPERLINK("https://klasma.github.io/Logging_1290/kartor_geotiff/A 14232-2023 georefererad karta.tif", "A 14232-2023")</f>
        <v/>
      </c>
      <c r="AA108">
        <f>HYPERLINK("https://klasma.github.io/Logging_1290/klagomål/A 14232-2023 FSC-klagomål.docx", "A 14232-2023")</f>
        <v/>
      </c>
      <c r="AB108">
        <f>HYPERLINK("https://klasma.github.io/Logging_1290/klagomålsmail/A 14232-2023 FSC-klagomål mail.docx", "A 14232-2023")</f>
        <v/>
      </c>
      <c r="AC108">
        <f>HYPERLINK("https://klasma.github.io/Logging_1290/tillsyn/A 14232-2023 tillsynsbegäran.docx", "A 14232-2023")</f>
        <v/>
      </c>
      <c r="AD108">
        <f>HYPERLINK("https://klasma.github.io/Logging_1290/tillsynsmail/A 14232-2023 tillsynsbegäran mail.docx", "A 14232-2023")</f>
        <v/>
      </c>
    </row>
    <row r="109" ht="15" customHeight="1">
      <c r="A109" t="inlineStr">
        <is>
          <t>A 8290-2024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46258</v>
      </c>
      <c r="F109" t="inlineStr">
        <is>
          <t>SKÅNE LÄN</t>
        </is>
      </c>
      <c r="G109" t="inlineStr">
        <is>
          <t>KRISTIANSTAD</t>
        </is>
      </c>
      <c r="I109" t="n">
        <v>0.7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Lömsk flugsvamp</t>
        </is>
      </c>
      <c r="W109">
        <f>HYPERLINK("https://klasma.github.io/Logging_1290/artfynd/A 8290-2024 artfynd.xlsx", "A 8290-2024")</f>
        <v/>
      </c>
      <c r="X109">
        <f>HYPERLINK("https://klasma.github.io/Logging_1290/kartor/A 8290-2024 karta.png", "A 8290-2024")</f>
        <v/>
      </c>
      <c r="Y109">
        <f>HYPERLINK("https://klasma.github.io/Logging_1290/kartor_geotiff/A 8290-2024 georefererad karta.tif", "A 8290-2024")</f>
        <v/>
      </c>
      <c r="AA109">
        <f>HYPERLINK("https://klasma.github.io/Logging_1290/klagomål/A 8290-2024 FSC-klagomål.docx", "A 8290-2024")</f>
        <v/>
      </c>
      <c r="AB109">
        <f>HYPERLINK("https://klasma.github.io/Logging_1290/klagomålsmail/A 8290-2024 FSC-klagomål mail.docx", "A 8290-2024")</f>
        <v/>
      </c>
      <c r="AC109">
        <f>HYPERLINK("https://klasma.github.io/Logging_1290/tillsyn/A 8290-2024 tillsynsbegäran.docx", "A 8290-2024")</f>
        <v/>
      </c>
      <c r="AD109">
        <f>HYPERLINK("https://klasma.github.io/Logging_1290/tillsynsmail/A 8290-2024 tillsynsbegäran mail.docx", "A 8290-2024")</f>
        <v/>
      </c>
    </row>
    <row r="110" ht="15" customHeight="1">
      <c r="A110" t="inlineStr">
        <is>
          <t>A 53189-2025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46258</v>
      </c>
      <c r="F110" t="inlineStr">
        <is>
          <t>SKÅNE LÄN</t>
        </is>
      </c>
      <c r="G110" t="inlineStr">
        <is>
          <t>KRISTIANSTAD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HYPERLINK("https://klasma.github.io/Logging_1290/artfynd/A 53189-2025 artfynd.xlsx", "A 53189-2025")</f>
        <v/>
      </c>
      <c r="X110">
        <f>HYPERLINK("https://klasma.github.io/Logging_1290/kartor/A 53189-2025 karta.png", "A 53189-2025")</f>
        <v/>
      </c>
      <c r="Y110">
        <f>HYPERLINK("https://klasma.github.io/Logging_1290/kartor_geotiff/A 53189-2025 georefererad karta.tif", "A 53189-2025")</f>
        <v/>
      </c>
      <c r="AA110">
        <f>HYPERLINK("https://klasma.github.io/Logging_1290/klagomål/A 53189-2025 FSC-klagomål.docx", "A 53189-2025")</f>
        <v/>
      </c>
      <c r="AB110">
        <f>HYPERLINK("https://klasma.github.io/Logging_1290/klagomålsmail/A 53189-2025 FSC-klagomål mail.docx", "A 53189-2025")</f>
        <v/>
      </c>
      <c r="AC110">
        <f>HYPERLINK("https://klasma.github.io/Logging_1290/tillsyn/A 53189-2025 tillsynsbegäran.docx", "A 53189-2025")</f>
        <v/>
      </c>
      <c r="AD110">
        <f>HYPERLINK("https://klasma.github.io/Logging_1290/tillsynsmail/A 53189-2025 tillsynsbegäran mail.docx", "A 53189-2025")</f>
        <v/>
      </c>
    </row>
    <row r="111" ht="15" customHeight="1">
      <c r="A111" t="inlineStr">
        <is>
          <t>A 53182-2025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46258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Entita</t>
        </is>
      </c>
      <c r="W111">
        <f>HYPERLINK("https://klasma.github.io/Logging_1290/artfynd/A 53182-2025 artfynd.xlsx", "A 53182-2025")</f>
        <v/>
      </c>
      <c r="X111">
        <f>HYPERLINK("https://klasma.github.io/Logging_1290/kartor/A 53182-2025 karta.png", "A 53182-2025")</f>
        <v/>
      </c>
      <c r="Y111">
        <f>HYPERLINK("https://klasma.github.io/Logging_1290/kartor_geotiff/A 53182-2025 georefererad karta.tif", "A 53182-2025")</f>
        <v/>
      </c>
      <c r="AA111">
        <f>HYPERLINK("https://klasma.github.io/Logging_1290/klagomål/A 53182-2025 FSC-klagomål.docx", "A 53182-2025")</f>
        <v/>
      </c>
      <c r="AB111">
        <f>HYPERLINK("https://klasma.github.io/Logging_1290/klagomålsmail/A 53182-2025 FSC-klagomål mail.docx", "A 53182-2025")</f>
        <v/>
      </c>
      <c r="AC111">
        <f>HYPERLINK("https://klasma.github.io/Logging_1290/tillsyn/A 53182-2025 tillsynsbegäran.docx", "A 53182-2025")</f>
        <v/>
      </c>
      <c r="AD111">
        <f>HYPERLINK("https://klasma.github.io/Logging_1290/tillsynsmail/A 53182-2025 tillsynsbegäran mail.docx", "A 53182-2025")</f>
        <v/>
      </c>
      <c r="AE111">
        <f>HYPERLINK("https://klasma.github.io/Logging_1290/fåglar/A 53182-2025 prioriterade fågelarter.docx", "A 53182-2025")</f>
        <v/>
      </c>
    </row>
    <row r="112" ht="15" customHeight="1">
      <c r="A112" t="inlineStr">
        <is>
          <t>A 33362-2023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46258</v>
      </c>
      <c r="F112" t="inlineStr">
        <is>
          <t>SKÅNE LÄN</t>
        </is>
      </c>
      <c r="G112" t="inlineStr">
        <is>
          <t>KRISTIANSTAD</t>
        </is>
      </c>
      <c r="I112" t="n">
        <v>4.9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HYPERLINK("https://klasma.github.io/Logging_1290/artfynd/A 33362-2023 artfynd.xlsx", "A 33362-2023")</f>
        <v/>
      </c>
      <c r="X112">
        <f>HYPERLINK("https://klasma.github.io/Logging_1290/kartor/A 33362-2023 karta.png", "A 33362-2023")</f>
        <v/>
      </c>
      <c r="Y112">
        <f>HYPERLINK("https://klasma.github.io/Logging_1290/kartor_geotiff/A 33362-2023 georefererad karta.tif", "A 33362-2023")</f>
        <v/>
      </c>
      <c r="AA112">
        <f>HYPERLINK("https://klasma.github.io/Logging_1290/klagomål/A 33362-2023 FSC-klagomål.docx", "A 33362-2023")</f>
        <v/>
      </c>
      <c r="AB112">
        <f>HYPERLINK("https://klasma.github.io/Logging_1290/klagomålsmail/A 33362-2023 FSC-klagomål mail.docx", "A 33362-2023")</f>
        <v/>
      </c>
      <c r="AC112">
        <f>HYPERLINK("https://klasma.github.io/Logging_1290/tillsyn/A 33362-2023 tillsynsbegäran.docx", "A 33362-2023")</f>
        <v/>
      </c>
      <c r="AD112">
        <f>HYPERLINK("https://klasma.github.io/Logging_1290/tillsynsmail/A 33362-2023 tillsynsbegäran mail.docx", "A 33362-2023")</f>
        <v/>
      </c>
    </row>
    <row r="113" ht="15" customHeight="1">
      <c r="A113" t="inlineStr">
        <is>
          <t>A 40668-2024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46258</v>
      </c>
      <c r="F113" t="inlineStr">
        <is>
          <t>SKÅNE LÄN</t>
        </is>
      </c>
      <c r="G113" t="inlineStr">
        <is>
          <t>KRISTIANSTAD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HYPERLINK("https://klasma.github.io/Logging_1290/artfynd/A 40668-2024 artfynd.xlsx", "A 40668-2024")</f>
        <v/>
      </c>
      <c r="X113">
        <f>HYPERLINK("https://klasma.github.io/Logging_1290/kartor/A 40668-2024 karta.png", "A 40668-2024")</f>
        <v/>
      </c>
      <c r="Y113">
        <f>HYPERLINK("https://klasma.github.io/Logging_1290/kartor_geotiff/A 40668-2024 georefererad karta.tif", "A 40668-2024")</f>
        <v/>
      </c>
      <c r="AA113">
        <f>HYPERLINK("https://klasma.github.io/Logging_1290/klagomål/A 40668-2024 FSC-klagomål.docx", "A 40668-2024")</f>
        <v/>
      </c>
      <c r="AB113">
        <f>HYPERLINK("https://klasma.github.io/Logging_1290/klagomålsmail/A 40668-2024 FSC-klagomål mail.docx", "A 40668-2024")</f>
        <v/>
      </c>
      <c r="AC113">
        <f>HYPERLINK("https://klasma.github.io/Logging_1290/tillsyn/A 40668-2024 tillsynsbegäran.docx", "A 40668-2024")</f>
        <v/>
      </c>
      <c r="AD113">
        <f>HYPERLINK("https://klasma.github.io/Logging_1290/tillsynsmail/A 40668-2024 tillsynsbegäran mail.docx", "A 40668-2024")</f>
        <v/>
      </c>
      <c r="AE113">
        <f>HYPERLINK("https://klasma.github.io/Logging_1290/fåglar/A 40668-2024 prioriterade fågelarter.docx", "A 40668-2024")</f>
        <v/>
      </c>
    </row>
    <row r="114" ht="15" customHeight="1">
      <c r="A114" t="inlineStr">
        <is>
          <t>A 16783-2025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46258</v>
      </c>
      <c r="F114" t="inlineStr">
        <is>
          <t>SKÅNE LÄN</t>
        </is>
      </c>
      <c r="G114" t="inlineStr">
        <is>
          <t>KRISTIANSTAD</t>
        </is>
      </c>
      <c r="I114" t="n">
        <v>20.2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Öring</t>
        </is>
      </c>
      <c r="W114">
        <f>HYPERLINK("https://klasma.github.io/Logging_1290/artfynd/A 16783-2025 artfynd.xlsx", "A 16783-2025")</f>
        <v/>
      </c>
      <c r="X114">
        <f>HYPERLINK("https://klasma.github.io/Logging_1290/kartor/A 16783-2025 karta.png", "A 16783-2025")</f>
        <v/>
      </c>
      <c r="Y114">
        <f>HYPERLINK("https://klasma.github.io/Logging_1290/kartor_geotiff/A 16783-2025 georefererad karta.tif", "A 16783-2025")</f>
        <v/>
      </c>
      <c r="AA114">
        <f>HYPERLINK("https://klasma.github.io/Logging_1290/klagomål/A 16783-2025 FSC-klagomål.docx", "A 16783-2025")</f>
        <v/>
      </c>
      <c r="AB114">
        <f>HYPERLINK("https://klasma.github.io/Logging_1290/klagomålsmail/A 16783-2025 FSC-klagomål mail.docx", "A 16783-2025")</f>
        <v/>
      </c>
      <c r="AC114">
        <f>HYPERLINK("https://klasma.github.io/Logging_1290/tillsyn/A 16783-2025 tillsynsbegäran.docx", "A 16783-2025")</f>
        <v/>
      </c>
      <c r="AD114">
        <f>HYPERLINK("https://klasma.github.io/Logging_1290/tillsynsmail/A 16783-2025 tillsynsbegäran mail.docx", "A 16783-2025")</f>
        <v/>
      </c>
    </row>
    <row r="115" ht="15" customHeight="1">
      <c r="A115" t="inlineStr">
        <is>
          <t>A 61605-2023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46258</v>
      </c>
      <c r="F115" t="inlineStr">
        <is>
          <t>SKÅNE LÄN</t>
        </is>
      </c>
      <c r="G115" t="inlineStr">
        <is>
          <t>KRISTIANSTAD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61605-2023 artfynd.xlsx", "A 61605-2023")</f>
        <v/>
      </c>
      <c r="X115">
        <f>HYPERLINK("https://klasma.github.io/Logging_1290/kartor/A 61605-2023 karta.png", "A 61605-2023")</f>
        <v/>
      </c>
      <c r="Y115">
        <f>HYPERLINK("https://klasma.github.io/Logging_1290/kartor_geotiff/A 61605-2023 georefererad karta.tif", "A 61605-2023")</f>
        <v/>
      </c>
      <c r="AA115">
        <f>HYPERLINK("https://klasma.github.io/Logging_1290/klagomål/A 61605-2023 FSC-klagomål.docx", "A 61605-2023")</f>
        <v/>
      </c>
      <c r="AB115">
        <f>HYPERLINK("https://klasma.github.io/Logging_1290/klagomålsmail/A 61605-2023 FSC-klagomål mail.docx", "A 61605-2023")</f>
        <v/>
      </c>
      <c r="AC115">
        <f>HYPERLINK("https://klasma.github.io/Logging_1290/tillsyn/A 61605-2023 tillsynsbegäran.docx", "A 61605-2023")</f>
        <v/>
      </c>
      <c r="AD115">
        <f>HYPERLINK("https://klasma.github.io/Logging_1290/tillsynsmail/A 61605-2023 tillsynsbegäran mail.docx", "A 61605-2023")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46258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58474-2025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46258</v>
      </c>
      <c r="F117" t="inlineStr">
        <is>
          <t>SKÅNE LÄN</t>
        </is>
      </c>
      <c r="G117" t="inlineStr">
        <is>
          <t>KRISTIANSTAD</t>
        </is>
      </c>
      <c r="I117" t="n">
        <v>4.7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Storspov</t>
        </is>
      </c>
      <c r="W117">
        <f>HYPERLINK("https://klasma.github.io/Logging_1290/artfynd/A 58474-2025 artfynd.xlsx", "A 58474-2025")</f>
        <v/>
      </c>
      <c r="X117">
        <f>HYPERLINK("https://klasma.github.io/Logging_1290/kartor/A 58474-2025 karta.png", "A 58474-2025")</f>
        <v/>
      </c>
      <c r="Y117">
        <f>HYPERLINK("https://klasma.github.io/Logging_1290/kartor_geotiff/A 58474-2025 georefererad karta.tif", "A 58474-2025")</f>
        <v/>
      </c>
      <c r="AA117">
        <f>HYPERLINK("https://klasma.github.io/Logging_1290/klagomål/A 58474-2025 FSC-klagomål.docx", "A 58474-2025")</f>
        <v/>
      </c>
      <c r="AB117">
        <f>HYPERLINK("https://klasma.github.io/Logging_1290/klagomålsmail/A 58474-2025 FSC-klagomål mail.docx", "A 58474-2025")</f>
        <v/>
      </c>
      <c r="AC117">
        <f>HYPERLINK("https://klasma.github.io/Logging_1290/tillsyn/A 58474-2025 tillsynsbegäran.docx", "A 58474-2025")</f>
        <v/>
      </c>
      <c r="AD117">
        <f>HYPERLINK("https://klasma.github.io/Logging_1290/tillsynsmail/A 58474-2025 tillsynsbegäran mail.docx", "A 58474-2025")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46258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30918-2022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46258</v>
      </c>
      <c r="F119" t="inlineStr">
        <is>
          <t>SKÅNE LÄN</t>
        </is>
      </c>
      <c r="G119" t="inlineStr">
        <is>
          <t>KRISTIANSTAD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30918-2022 artfynd.xlsx", "A 30918-2022")</f>
        <v/>
      </c>
      <c r="X119">
        <f>HYPERLINK("https://klasma.github.io/Logging_1290/kartor/A 30918-2022 karta.png", "A 30918-2022")</f>
        <v/>
      </c>
      <c r="Y119">
        <f>HYPERLINK("https://klasma.github.io/Logging_1290/kartor_geotiff/A 30918-2022 georefererad karta.tif", "A 30918-2022")</f>
        <v/>
      </c>
      <c r="AA119">
        <f>HYPERLINK("https://klasma.github.io/Logging_1290/klagomål/A 30918-2022 FSC-klagomål.docx", "A 30918-2022")</f>
        <v/>
      </c>
      <c r="AB119">
        <f>HYPERLINK("https://klasma.github.io/Logging_1290/klagomålsmail/A 30918-2022 FSC-klagomål mail.docx", "A 30918-2022")</f>
        <v/>
      </c>
      <c r="AC119">
        <f>HYPERLINK("https://klasma.github.io/Logging_1290/tillsyn/A 30918-2022 tillsynsbegäran.docx", "A 30918-2022")</f>
        <v/>
      </c>
      <c r="AD119">
        <f>HYPERLINK("https://klasma.github.io/Logging_1290/tillsynsmail/A 30918-2022 tillsynsbegäran mail.docx", "A 30918-2022")</f>
        <v/>
      </c>
    </row>
    <row r="120" ht="15" customHeight="1">
      <c r="A120" t="inlineStr">
        <is>
          <t>A 60006-2025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46258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4.8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Ekoxe</t>
        </is>
      </c>
      <c r="W120">
        <f>HYPERLINK("https://klasma.github.io/Logging_1290/artfynd/A 60006-2025 artfynd.xlsx", "A 60006-2025")</f>
        <v/>
      </c>
      <c r="X120">
        <f>HYPERLINK("https://klasma.github.io/Logging_1290/kartor/A 60006-2025 karta.png", "A 60006-2025")</f>
        <v/>
      </c>
      <c r="Y120">
        <f>HYPERLINK("https://klasma.github.io/Logging_1290/kartor_geotiff/A 60006-2025 georefererad karta.tif", "A 60006-2025")</f>
        <v/>
      </c>
      <c r="AA120">
        <f>HYPERLINK("https://klasma.github.io/Logging_1290/klagomål/A 60006-2025 FSC-klagomål.docx", "A 60006-2025")</f>
        <v/>
      </c>
      <c r="AB120">
        <f>HYPERLINK("https://klasma.github.io/Logging_1290/klagomålsmail/A 60006-2025 FSC-klagomål mail.docx", "A 60006-2025")</f>
        <v/>
      </c>
      <c r="AC120">
        <f>HYPERLINK("https://klasma.github.io/Logging_1290/tillsyn/A 60006-2025 tillsynsbegäran.docx", "A 60006-2025")</f>
        <v/>
      </c>
      <c r="AD120">
        <f>HYPERLINK("https://klasma.github.io/Logging_1290/tillsynsmail/A 60006-2025 tillsynsbegäran mail.docx", "A 60006-2025")</f>
        <v/>
      </c>
    </row>
    <row r="121" ht="15" customHeight="1">
      <c r="A121" t="inlineStr">
        <is>
          <t>A 30857-2023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46258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Sommarfibbla</t>
        </is>
      </c>
      <c r="W121">
        <f>HYPERLINK("https://klasma.github.io/Logging_1290/artfynd/A 30857-2023 artfynd.xlsx", "A 30857-2023")</f>
        <v/>
      </c>
      <c r="X121">
        <f>HYPERLINK("https://klasma.github.io/Logging_1290/kartor/A 30857-2023 karta.png", "A 30857-2023")</f>
        <v/>
      </c>
      <c r="Y121">
        <f>HYPERLINK("https://klasma.github.io/Logging_1290/kartor_geotiff/A 30857-2023 georefererad karta.tif", "A 30857-2023")</f>
        <v/>
      </c>
      <c r="AA121">
        <f>HYPERLINK("https://klasma.github.io/Logging_1290/klagomål/A 30857-2023 FSC-klagomål.docx", "A 30857-2023")</f>
        <v/>
      </c>
      <c r="AB121">
        <f>HYPERLINK("https://klasma.github.io/Logging_1290/klagomålsmail/A 30857-2023 FSC-klagomål mail.docx", "A 30857-2023")</f>
        <v/>
      </c>
      <c r="AC121">
        <f>HYPERLINK("https://klasma.github.io/Logging_1290/tillsyn/A 30857-2023 tillsynsbegäran.docx", "A 30857-2023")</f>
        <v/>
      </c>
      <c r="AD121">
        <f>HYPERLINK("https://klasma.github.io/Logging_1290/tillsynsmail/A 30857-2023 tillsynsbegäran mail.docx", "A 30857-2023")</f>
        <v/>
      </c>
    </row>
    <row r="122" ht="15" customHeight="1">
      <c r="A122" t="inlineStr">
        <is>
          <t>A 38440-2024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46258</v>
      </c>
      <c r="F122" t="inlineStr">
        <is>
          <t>SKÅNE LÄN</t>
        </is>
      </c>
      <c r="G122" t="inlineStr">
        <is>
          <t>KRISTIANSTAD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HYPERLINK("https://klasma.github.io/Logging_1290/artfynd/A 38440-2024 artfynd.xlsx", "A 38440-2024")</f>
        <v/>
      </c>
      <c r="X122">
        <f>HYPERLINK("https://klasma.github.io/Logging_1290/kartor/A 38440-2024 karta.png", "A 38440-2024")</f>
        <v/>
      </c>
      <c r="Y122">
        <f>HYPERLINK("https://klasma.github.io/Logging_1290/kartor_geotiff/A 38440-2024 georefererad karta.tif", "A 38440-2024")</f>
        <v/>
      </c>
      <c r="AA122">
        <f>HYPERLINK("https://klasma.github.io/Logging_1290/klagomål/A 38440-2024 FSC-klagomål.docx", "A 38440-2024")</f>
        <v/>
      </c>
      <c r="AB122">
        <f>HYPERLINK("https://klasma.github.io/Logging_1290/klagomålsmail/A 38440-2024 FSC-klagomål mail.docx", "A 38440-2024")</f>
        <v/>
      </c>
      <c r="AC122">
        <f>HYPERLINK("https://klasma.github.io/Logging_1290/tillsyn/A 38440-2024 tillsynsbegäran.docx", "A 38440-2024")</f>
        <v/>
      </c>
      <c r="AD122">
        <f>HYPERLINK("https://klasma.github.io/Logging_1290/tillsynsmail/A 38440-2024 tillsynsbegäran mail.docx", "A 38440-2024")</f>
        <v/>
      </c>
    </row>
    <row r="123" ht="15" customHeight="1">
      <c r="A123" t="inlineStr">
        <is>
          <t>A 52012-2024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46258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Luddfingerört</t>
        </is>
      </c>
      <c r="W123">
        <f>HYPERLINK("https://klasma.github.io/Logging_1290/artfynd/A 52012-2024 artfynd.xlsx", "A 52012-2024")</f>
        <v/>
      </c>
      <c r="X123">
        <f>HYPERLINK("https://klasma.github.io/Logging_1290/kartor/A 52012-2024 karta.png", "A 52012-2024")</f>
        <v/>
      </c>
      <c r="Y123">
        <f>HYPERLINK("https://klasma.github.io/Logging_1290/kartor_geotiff/A 52012-2024 georefererad karta.tif", "A 52012-2024")</f>
        <v/>
      </c>
      <c r="AA123">
        <f>HYPERLINK("https://klasma.github.io/Logging_1290/klagomål/A 52012-2024 FSC-klagomål.docx", "A 52012-2024")</f>
        <v/>
      </c>
      <c r="AB123">
        <f>HYPERLINK("https://klasma.github.io/Logging_1290/klagomålsmail/A 52012-2024 FSC-klagomål mail.docx", "A 52012-2024")</f>
        <v/>
      </c>
      <c r="AC123">
        <f>HYPERLINK("https://klasma.github.io/Logging_1290/tillsyn/A 52012-2024 tillsynsbegäran.docx", "A 52012-2024")</f>
        <v/>
      </c>
      <c r="AD123">
        <f>HYPERLINK("https://klasma.github.io/Logging_1290/tillsynsmail/A 52012-2024 tillsynsbegäran mail.docx", "A 52012-2024")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46258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8208-2023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46258</v>
      </c>
      <c r="F125" t="inlineStr">
        <is>
          <t>SKÅNE LÄN</t>
        </is>
      </c>
      <c r="G125" t="inlineStr">
        <is>
          <t>KRISTIANSTAD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HYPERLINK("https://klasma.github.io/Logging_1290/artfynd/A 8208-2023 artfynd.xlsx", "A 8208-2023")</f>
        <v/>
      </c>
      <c r="X125">
        <f>HYPERLINK("https://klasma.github.io/Logging_1290/kartor/A 8208-2023 karta.png", "A 8208-2023")</f>
        <v/>
      </c>
      <c r="Y125">
        <f>HYPERLINK("https://klasma.github.io/Logging_1290/kartor_geotiff/A 8208-2023 georefererad karta.tif", "A 8208-2023")</f>
        <v/>
      </c>
      <c r="AA125">
        <f>HYPERLINK("https://klasma.github.io/Logging_1290/klagomål/A 8208-2023 FSC-klagomål.docx", "A 8208-2023")</f>
        <v/>
      </c>
      <c r="AB125">
        <f>HYPERLINK("https://klasma.github.io/Logging_1290/klagomålsmail/A 8208-2023 FSC-klagomål mail.docx", "A 8208-2023")</f>
        <v/>
      </c>
      <c r="AC125">
        <f>HYPERLINK("https://klasma.github.io/Logging_1290/tillsyn/A 8208-2023 tillsynsbegäran.docx", "A 8208-2023")</f>
        <v/>
      </c>
      <c r="AD125">
        <f>HYPERLINK("https://klasma.github.io/Logging_1290/tillsynsmail/A 8208-2023 tillsynsbegäran mail.docx", "A 8208-2023")</f>
        <v/>
      </c>
    </row>
    <row r="126" ht="15" customHeight="1">
      <c r="A126" t="inlineStr">
        <is>
          <t>A 32101-2024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45511</v>
      </c>
      <c r="E126" s="1" t="n">
        <v>46258</v>
      </c>
      <c r="F126" t="inlineStr">
        <is>
          <t>SKÅNE LÄN</t>
        </is>
      </c>
      <c r="G126" t="inlineStr">
        <is>
          <t>KRISTIANSTAD</t>
        </is>
      </c>
      <c r="I126" t="n">
        <v>6.6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Skogsknipprot</t>
        </is>
      </c>
      <c r="W126">
        <f>HYPERLINK("https://klasma.github.io/Logging_1290/artfynd/A 32101-2024 artfynd.xlsx", "A 32101-2024")</f>
        <v/>
      </c>
      <c r="X126">
        <f>HYPERLINK("https://klasma.github.io/Logging_1290/kartor/A 32101-2024 karta.png", "A 32101-2024")</f>
        <v/>
      </c>
      <c r="Y126">
        <f>HYPERLINK("https://klasma.github.io/Logging_1290/kartor_geotiff/A 32101-2024 georefererad karta.tif", "A 32101-2024")</f>
        <v/>
      </c>
      <c r="AA126">
        <f>HYPERLINK("https://klasma.github.io/Logging_1290/klagomål/A 32101-2024 FSC-klagomål.docx", "A 32101-2024")</f>
        <v/>
      </c>
      <c r="AB126">
        <f>HYPERLINK("https://klasma.github.io/Logging_1290/klagomålsmail/A 32101-2024 FSC-klagomål mail.docx", "A 32101-2024")</f>
        <v/>
      </c>
      <c r="AC126">
        <f>HYPERLINK("https://klasma.github.io/Logging_1290/tillsyn/A 32101-2024 tillsynsbegäran.docx", "A 32101-2024")</f>
        <v/>
      </c>
      <c r="AD126">
        <f>HYPERLINK("https://klasma.github.io/Logging_1290/tillsynsmail/A 32101-2024 tillsynsbegäran mail.docx", "A 32101-2024")</f>
        <v/>
      </c>
    </row>
    <row r="127" ht="15" customHeight="1">
      <c r="A127" t="inlineStr">
        <is>
          <t>A 50702-2025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46258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Guldlockmossa</t>
        </is>
      </c>
      <c r="W127">
        <f>HYPERLINK("https://klasma.github.io/Logging_1290/artfynd/A 50702-2025 artfynd.xlsx", "A 50702-2025")</f>
        <v/>
      </c>
      <c r="X127">
        <f>HYPERLINK("https://klasma.github.io/Logging_1290/kartor/A 50702-2025 karta.png", "A 50702-2025")</f>
        <v/>
      </c>
      <c r="Y127">
        <f>HYPERLINK("https://klasma.github.io/Logging_1290/kartor_geotiff/A 50702-2025 georefererad karta.tif", "A 50702-2025")</f>
        <v/>
      </c>
      <c r="AA127">
        <f>HYPERLINK("https://klasma.github.io/Logging_1290/klagomål/A 50702-2025 FSC-klagomål.docx", "A 50702-2025")</f>
        <v/>
      </c>
      <c r="AB127">
        <f>HYPERLINK("https://klasma.github.io/Logging_1290/klagomålsmail/A 50702-2025 FSC-klagomål mail.docx", "A 50702-2025")</f>
        <v/>
      </c>
      <c r="AC127">
        <f>HYPERLINK("https://klasma.github.io/Logging_1290/tillsyn/A 50702-2025 tillsynsbegäran.docx", "A 50702-2025")</f>
        <v/>
      </c>
      <c r="AD127">
        <f>HYPERLINK("https://klasma.github.io/Logging_1290/tillsynsmail/A 50702-2025 tillsynsbegäran mail.docx", "A 50702-2025")</f>
        <v/>
      </c>
    </row>
    <row r="128" ht="15" customHeight="1">
      <c r="A128" t="inlineStr">
        <is>
          <t>A 34096-2025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46258</v>
      </c>
      <c r="F128" t="inlineStr">
        <is>
          <t>SKÅNE LÄN</t>
        </is>
      </c>
      <c r="G128" t="inlineStr">
        <is>
          <t>KRISTIANSTAD</t>
        </is>
      </c>
      <c r="I128" t="n">
        <v>6.5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Dunmossa</t>
        </is>
      </c>
      <c r="W128">
        <f>HYPERLINK("https://klasma.github.io/Logging_1290/artfynd/A 34096-2025 artfynd.xlsx", "A 34096-2025")</f>
        <v/>
      </c>
      <c r="X128">
        <f>HYPERLINK("https://klasma.github.io/Logging_1290/kartor/A 34096-2025 karta.png", "A 34096-2025")</f>
        <v/>
      </c>
      <c r="Y128">
        <f>HYPERLINK("https://klasma.github.io/Logging_1290/kartor_geotiff/A 34096-2025 georefererad karta.tif", "A 34096-2025")</f>
        <v/>
      </c>
      <c r="AA128">
        <f>HYPERLINK("https://klasma.github.io/Logging_1290/klagomål/A 34096-2025 FSC-klagomål.docx", "A 34096-2025")</f>
        <v/>
      </c>
      <c r="AB128">
        <f>HYPERLINK("https://klasma.github.io/Logging_1290/klagomålsmail/A 34096-2025 FSC-klagomål mail.docx", "A 34096-2025")</f>
        <v/>
      </c>
      <c r="AC128">
        <f>HYPERLINK("https://klasma.github.io/Logging_1290/tillsyn/A 34096-2025 tillsynsbegäran.docx", "A 34096-2025")</f>
        <v/>
      </c>
      <c r="AD128">
        <f>HYPERLINK("https://klasma.github.io/Logging_1290/tillsynsmail/A 34096-2025 tillsynsbegäran mail.docx", "A 34096-2025")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46258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46258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46258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46258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46258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16079-2026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46258</v>
      </c>
      <c r="F134" t="inlineStr">
        <is>
          <t>SKÅNE LÄN</t>
        </is>
      </c>
      <c r="G134" t="inlineStr">
        <is>
          <t>KRISTIANSTAD</t>
        </is>
      </c>
      <c r="I134" t="n">
        <v>13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2</v>
      </c>
      <c r="V134" s="2" t="inlineStr">
        <is>
          <t>Småvänderot</t>
        </is>
      </c>
      <c r="W134">
        <f>HYPERLINK("https://klasma.github.io/Logging_1290/artfynd/A 16079-2026 artfynd.xlsx", "A 16079-2026")</f>
        <v/>
      </c>
      <c r="X134">
        <f>HYPERLINK("https://klasma.github.io/Logging_1290/kartor/A 16079-2026 karta.png", "A 16079-2026")</f>
        <v/>
      </c>
      <c r="Y134">
        <f>HYPERLINK("https://klasma.github.io/Logging_1290/kartor_geotiff/A 16079-2026 georefererad karta.tif", "A 16079-2026")</f>
        <v/>
      </c>
      <c r="AA134">
        <f>HYPERLINK("https://klasma.github.io/Logging_1290/klagomål/A 16079-2026 FSC-klagomål.docx", "A 16079-2026")</f>
        <v/>
      </c>
      <c r="AB134">
        <f>HYPERLINK("https://klasma.github.io/Logging_1290/klagomålsmail/A 16079-2026 FSC-klagomål mail.docx", "A 16079-2026")</f>
        <v/>
      </c>
      <c r="AC134">
        <f>HYPERLINK("https://klasma.github.io/Logging_1290/tillsyn/A 16079-2026 tillsynsbegäran.docx", "A 16079-2026")</f>
        <v/>
      </c>
      <c r="AD134">
        <f>HYPERLINK("https://klasma.github.io/Logging_1290/tillsynsmail/A 16079-2026 tillsynsbegäran mail.docx", "A 16079-2026")</f>
        <v/>
      </c>
    </row>
    <row r="135" ht="15" customHeight="1">
      <c r="A135" t="inlineStr">
        <is>
          <t>A 19704-2026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46258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Desmeknopp</t>
        </is>
      </c>
      <c r="W135">
        <f>HYPERLINK("https://klasma.github.io/Logging_1290/artfynd/A 19704-2026 artfynd.xlsx", "A 19704-2026")</f>
        <v/>
      </c>
      <c r="X135">
        <f>HYPERLINK("https://klasma.github.io/Logging_1290/kartor/A 19704-2026 karta.png", "A 19704-2026")</f>
        <v/>
      </c>
      <c r="Y135">
        <f>HYPERLINK("https://klasma.github.io/Logging_1290/kartor_geotiff/A 19704-2026 georefererad karta.tif", "A 19704-2026")</f>
        <v/>
      </c>
      <c r="AA135">
        <f>HYPERLINK("https://klasma.github.io/Logging_1290/klagomål/A 19704-2026 FSC-klagomål.docx", "A 19704-2026")</f>
        <v/>
      </c>
      <c r="AB135">
        <f>HYPERLINK("https://klasma.github.io/Logging_1290/klagomålsmail/A 19704-2026 FSC-klagomål mail.docx", "A 19704-2026")</f>
        <v/>
      </c>
      <c r="AC135">
        <f>HYPERLINK("https://klasma.github.io/Logging_1290/tillsyn/A 19704-2026 tillsynsbegäran.docx", "A 19704-2026")</f>
        <v/>
      </c>
      <c r="AD135">
        <f>HYPERLINK("https://klasma.github.io/Logging_1290/tillsynsmail/A 19704-2026 tillsynsbegäran mail.docx", "A 19704-2026")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46258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46258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41004-2022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46258</v>
      </c>
      <c r="F138" t="inlineStr">
        <is>
          <t>SKÅNE LÄN</t>
        </is>
      </c>
      <c r="G138" t="inlineStr">
        <is>
          <t>KRISTIANSTAD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Skogsbräsma</t>
        </is>
      </c>
      <c r="W138">
        <f>HYPERLINK("https://klasma.github.io/Logging_1290/artfynd/A 41004-2022 artfynd.xlsx", "A 41004-2022")</f>
        <v/>
      </c>
      <c r="X138">
        <f>HYPERLINK("https://klasma.github.io/Logging_1290/kartor/A 41004-2022 karta.png", "A 41004-2022")</f>
        <v/>
      </c>
      <c r="Y138">
        <f>HYPERLINK("https://klasma.github.io/Logging_1290/kartor_geotiff/A 41004-2022 georefererad karta.tif", "A 41004-2022")</f>
        <v/>
      </c>
      <c r="AA138">
        <f>HYPERLINK("https://klasma.github.io/Logging_1290/klagomål/A 41004-2022 FSC-klagomål.docx", "A 41004-2022")</f>
        <v/>
      </c>
      <c r="AB138">
        <f>HYPERLINK("https://klasma.github.io/Logging_1290/klagomålsmail/A 41004-2022 FSC-klagomål mail.docx", "A 41004-2022")</f>
        <v/>
      </c>
      <c r="AC138">
        <f>HYPERLINK("https://klasma.github.io/Logging_1290/tillsyn/A 41004-2022 tillsynsbegäran.docx", "A 41004-2022")</f>
        <v/>
      </c>
      <c r="AD138">
        <f>HYPERLINK("https://klasma.github.io/Logging_1290/tillsynsmail/A 41004-2022 tillsynsbegäran mail.docx", "A 41004-2022")</f>
        <v/>
      </c>
    </row>
    <row r="139" ht="15" customHeight="1">
      <c r="A139" t="inlineStr">
        <is>
          <t>A 15105-2023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46258</v>
      </c>
      <c r="F139" t="inlineStr">
        <is>
          <t>SKÅNE LÄN</t>
        </is>
      </c>
      <c r="G139" t="inlineStr">
        <is>
          <t>KRISTIANSTAD</t>
        </is>
      </c>
      <c r="H139" t="inlineStr">
        <is>
          <t>Kyrkan</t>
        </is>
      </c>
      <c r="I139" t="n">
        <v>3.2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Liten baronmossa</t>
        </is>
      </c>
      <c r="W139">
        <f>HYPERLINK("https://klasma.github.io/Logging_1290/artfynd/A 15105-2023 artfynd.xlsx", "A 15105-2023")</f>
        <v/>
      </c>
      <c r="X139">
        <f>HYPERLINK("https://klasma.github.io/Logging_1290/kartor/A 15105-2023 karta.png", "A 15105-2023")</f>
        <v/>
      </c>
      <c r="Y139">
        <f>HYPERLINK("https://klasma.github.io/Logging_1290/kartor_geotiff/A 15105-2023 georefererad karta.tif", "A 15105-2023")</f>
        <v/>
      </c>
      <c r="AA139">
        <f>HYPERLINK("https://klasma.github.io/Logging_1290/klagomål/A 15105-2023 FSC-klagomål.docx", "A 15105-2023")</f>
        <v/>
      </c>
      <c r="AB139">
        <f>HYPERLINK("https://klasma.github.io/Logging_1290/klagomålsmail/A 15105-2023 FSC-klagomål mail.docx", "A 15105-2023")</f>
        <v/>
      </c>
      <c r="AC139">
        <f>HYPERLINK("https://klasma.github.io/Logging_1290/tillsyn/A 15105-2023 tillsynsbegäran.docx", "A 15105-2023")</f>
        <v/>
      </c>
      <c r="AD139">
        <f>HYPERLINK("https://klasma.github.io/Logging_1290/tillsynsmail/A 15105-2023 tillsynsbegäran mail.docx", "A 15105-2023")</f>
        <v/>
      </c>
    </row>
    <row r="140" ht="15" customHeight="1">
      <c r="A140" t="inlineStr">
        <is>
          <t>A 31616-2024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46258</v>
      </c>
      <c r="F140" t="inlineStr">
        <is>
          <t>SKÅNE LÄN</t>
        </is>
      </c>
      <c r="G140" t="inlineStr">
        <is>
          <t>KRISTIANSTAD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Crunoecia irrorata</t>
        </is>
      </c>
      <c r="W140">
        <f>HYPERLINK("https://klasma.github.io/Logging_1290/artfynd/A 31616-2024 artfynd.xlsx", "A 31616-2024")</f>
        <v/>
      </c>
      <c r="X140">
        <f>HYPERLINK("https://klasma.github.io/Logging_1290/kartor/A 31616-2024 karta.png", "A 31616-2024")</f>
        <v/>
      </c>
      <c r="Y140">
        <f>HYPERLINK("https://klasma.github.io/Logging_1290/kartor_geotiff/A 31616-2024 georefererad karta.tif", "A 31616-2024")</f>
        <v/>
      </c>
      <c r="AA140">
        <f>HYPERLINK("https://klasma.github.io/Logging_1290/klagomål/A 31616-2024 FSC-klagomål.docx", "A 31616-2024")</f>
        <v/>
      </c>
      <c r="AB140">
        <f>HYPERLINK("https://klasma.github.io/Logging_1290/klagomålsmail/A 31616-2024 FSC-klagomål mail.docx", "A 31616-2024")</f>
        <v/>
      </c>
      <c r="AC140">
        <f>HYPERLINK("https://klasma.github.io/Logging_1290/tillsyn/A 31616-2024 tillsynsbegäran.docx", "A 31616-2024")</f>
        <v/>
      </c>
      <c r="AD140">
        <f>HYPERLINK("https://klasma.github.io/Logging_1290/tillsynsmail/A 31616-2024 tillsynsbegäran mail.docx", "A 31616-2024")</f>
        <v/>
      </c>
    </row>
    <row r="141" ht="15" customHeight="1">
      <c r="A141" t="inlineStr">
        <is>
          <t>A 50699-2025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46258</v>
      </c>
      <c r="F141" t="inlineStr">
        <is>
          <t>SKÅNE LÄN</t>
        </is>
      </c>
      <c r="G141" t="inlineStr">
        <is>
          <t>KRISTIANSTAD</t>
        </is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Guldlockmossa</t>
        </is>
      </c>
      <c r="W141">
        <f>HYPERLINK("https://klasma.github.io/Logging_1290/artfynd/A 50699-2025 artfynd.xlsx", "A 50699-2025")</f>
        <v/>
      </c>
      <c r="X141">
        <f>HYPERLINK("https://klasma.github.io/Logging_1290/kartor/A 50699-2025 karta.png", "A 50699-2025")</f>
        <v/>
      </c>
      <c r="Y141">
        <f>HYPERLINK("https://klasma.github.io/Logging_1290/kartor_geotiff/A 50699-2025 georefererad karta.tif", "A 50699-2025")</f>
        <v/>
      </c>
      <c r="AA141">
        <f>HYPERLINK("https://klasma.github.io/Logging_1290/klagomål/A 50699-2025 FSC-klagomål.docx", "A 50699-2025")</f>
        <v/>
      </c>
      <c r="AB141">
        <f>HYPERLINK("https://klasma.github.io/Logging_1290/klagomålsmail/A 50699-2025 FSC-klagomål mail.docx", "A 50699-2025")</f>
        <v/>
      </c>
      <c r="AC141">
        <f>HYPERLINK("https://klasma.github.io/Logging_1290/tillsyn/A 50699-2025 tillsynsbegäran.docx", "A 50699-2025")</f>
        <v/>
      </c>
      <c r="AD141">
        <f>HYPERLINK("https://klasma.github.io/Logging_1290/tillsynsmail/A 50699-2025 tillsynsbegäran mail.docx", "A 50699-2025")</f>
        <v/>
      </c>
    </row>
    <row r="142" ht="15" customHeight="1">
      <c r="A142" t="inlineStr">
        <is>
          <t>A 21835-2026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46258</v>
      </c>
      <c r="F142" t="inlineStr">
        <is>
          <t>SKÅNE LÄN</t>
        </is>
      </c>
      <c r="G142" t="inlineStr">
        <is>
          <t>KRISTIANSTAD</t>
        </is>
      </c>
      <c r="I142" t="n">
        <v>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Skogsbräsma</t>
        </is>
      </c>
      <c r="W142">
        <f>HYPERLINK("https://klasma.github.io/Logging_1290/artfynd/A 21835-2026 artfynd.xlsx", "A 21835-2026")</f>
        <v/>
      </c>
      <c r="X142">
        <f>HYPERLINK("https://klasma.github.io/Logging_1290/kartor/A 21835-2026 karta.png", "A 21835-2026")</f>
        <v/>
      </c>
      <c r="Y142">
        <f>HYPERLINK("https://klasma.github.io/Logging_1290/kartor_geotiff/A 21835-2026 georefererad karta.tif", "A 21835-2026")</f>
        <v/>
      </c>
      <c r="AA142">
        <f>HYPERLINK("https://klasma.github.io/Logging_1290/klagomål/A 21835-2026 FSC-klagomål.docx", "A 21835-2026")</f>
        <v/>
      </c>
      <c r="AB142">
        <f>HYPERLINK("https://klasma.github.io/Logging_1290/klagomålsmail/A 21835-2026 FSC-klagomål mail.docx", "A 21835-2026")</f>
        <v/>
      </c>
      <c r="AC142">
        <f>HYPERLINK("https://klasma.github.io/Logging_1290/tillsyn/A 21835-2026 tillsynsbegäran.docx", "A 21835-2026")</f>
        <v/>
      </c>
      <c r="AD142">
        <f>HYPERLINK("https://klasma.github.io/Logging_1290/tillsynsmail/A 21835-2026 tillsynsbegäran mail.docx", "A 21835-2026")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46258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46258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46258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46258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46258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46258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46258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46258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46258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46258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46258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46258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46258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46258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46258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46258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46258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46258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46258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46258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46258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46258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46258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46258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46258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46258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46258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46258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46258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46258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46258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46258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46258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46258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46258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46258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46258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46258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46258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46258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46258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46258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46258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46258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46258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46258</v>
      </c>
      <c r="F188" t="inlineStr">
        <is>
          <t>SKÅNE LÄN</t>
        </is>
      </c>
      <c r="G188" t="inlineStr">
        <is>
          <t>KRISTIANSTAD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46258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46258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46258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46258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46258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46258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46258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46258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46258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46258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46258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46258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45648</v>
      </c>
      <c r="E201" s="1" t="n">
        <v>46258</v>
      </c>
      <c r="F201" t="inlineStr">
        <is>
          <t>SKÅNE LÄN</t>
        </is>
      </c>
      <c r="G201" t="inlineStr">
        <is>
          <t>KRISTIANSTAD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46258</v>
      </c>
      <c r="F202" t="inlineStr">
        <is>
          <t>SKÅNE LÄN</t>
        </is>
      </c>
      <c r="G202" t="inlineStr">
        <is>
          <t>KRISTIANSTAD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46258</v>
      </c>
      <c r="F203" t="inlineStr">
        <is>
          <t>SKÅNE LÄN</t>
        </is>
      </c>
      <c r="G203" t="inlineStr">
        <is>
          <t>KRISTIANSTAD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46258</v>
      </c>
      <c r="F204" t="inlineStr">
        <is>
          <t>SKÅNE LÄN</t>
        </is>
      </c>
      <c r="G204" t="inlineStr">
        <is>
          <t>KRISTIANSTAD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44685</v>
      </c>
      <c r="E205" s="1" t="n">
        <v>46258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46258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46258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45887</v>
      </c>
      <c r="E208" s="1" t="n">
        <v>46258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46258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46258</v>
      </c>
      <c r="F210" t="inlineStr">
        <is>
          <t>SKÅNE LÄN</t>
        </is>
      </c>
      <c r="G210" t="inlineStr">
        <is>
          <t>KRISTIANSTAD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46258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45668</v>
      </c>
      <c r="E212" s="1" t="n">
        <v>46258</v>
      </c>
      <c r="F212" t="inlineStr">
        <is>
          <t>SKÅNE LÄN</t>
        </is>
      </c>
      <c r="G212" t="inlineStr">
        <is>
          <t>KRISTIANSTAD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46258</v>
      </c>
      <c r="F213" t="inlineStr">
        <is>
          <t>SKÅNE LÄN</t>
        </is>
      </c>
      <c r="G213" t="inlineStr">
        <is>
          <t>KRISTIANSTAD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46258</v>
      </c>
      <c r="F214" t="inlineStr">
        <is>
          <t>SKÅNE LÄN</t>
        </is>
      </c>
      <c r="G214" t="inlineStr">
        <is>
          <t>KRISTIANSTAD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46258</v>
      </c>
      <c r="F215" t="inlineStr">
        <is>
          <t>SKÅNE LÄN</t>
        </is>
      </c>
      <c r="G215" t="inlineStr">
        <is>
          <t>KRISTIANSTAD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46258</v>
      </c>
      <c r="F216" t="inlineStr">
        <is>
          <t>SKÅNE LÄN</t>
        </is>
      </c>
      <c r="G216" t="inlineStr">
        <is>
          <t>KRISTIANSTAD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46258</v>
      </c>
      <c r="F217" t="inlineStr">
        <is>
          <t>SKÅNE LÄN</t>
        </is>
      </c>
      <c r="G217" t="inlineStr">
        <is>
          <t>KRISTIANSTAD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46258</v>
      </c>
      <c r="F218" t="inlineStr">
        <is>
          <t>SKÅNE LÄN</t>
        </is>
      </c>
      <c r="G218" t="inlineStr">
        <is>
          <t>KRISTIANSTAD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46258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46258</v>
      </c>
      <c r="F220" t="inlineStr">
        <is>
          <t>SKÅNE LÄN</t>
        </is>
      </c>
      <c r="G220" t="inlineStr">
        <is>
          <t>KRISTIANSTAD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45396</v>
      </c>
      <c r="E221" s="1" t="n">
        <v>46258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46258</v>
      </c>
      <c r="F222" t="inlineStr">
        <is>
          <t>SKÅNE LÄN</t>
        </is>
      </c>
      <c r="G222" t="inlineStr">
        <is>
          <t>KRISTIANSTAD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46258</v>
      </c>
      <c r="F223" t="inlineStr">
        <is>
          <t>SKÅNE LÄN</t>
        </is>
      </c>
      <c r="G223" t="inlineStr">
        <is>
          <t>KRISTIANSTAD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46258</v>
      </c>
      <c r="F224" t="inlineStr">
        <is>
          <t>SKÅNE LÄN</t>
        </is>
      </c>
      <c r="G224" t="inlineStr">
        <is>
          <t>KRISTIANSTAD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46258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44628</v>
      </c>
      <c r="E226" s="1" t="n">
        <v>46258</v>
      </c>
      <c r="F226" t="inlineStr">
        <is>
          <t>SKÅNE LÄN</t>
        </is>
      </c>
      <c r="G226" t="inlineStr">
        <is>
          <t>KRISTIANSTAD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45027</v>
      </c>
      <c r="E227" s="1" t="n">
        <v>46258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45144</v>
      </c>
      <c r="E228" s="1" t="n">
        <v>46258</v>
      </c>
      <c r="F228" t="inlineStr">
        <is>
          <t>SKÅNE LÄN</t>
        </is>
      </c>
      <c r="G228" t="inlineStr">
        <is>
          <t>KRISTIANSTAD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45144</v>
      </c>
      <c r="E229" s="1" t="n">
        <v>46258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44672</v>
      </c>
      <c r="E230" s="1" t="n">
        <v>46258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46258</v>
      </c>
      <c r="F231" t="inlineStr">
        <is>
          <t>SKÅNE LÄN</t>
        </is>
      </c>
      <c r="G231" t="inlineStr">
        <is>
          <t>KRISTIANSTAD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45338</v>
      </c>
      <c r="E232" s="1" t="n">
        <v>46258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45416</v>
      </c>
      <c r="E233" s="1" t="n">
        <v>46258</v>
      </c>
      <c r="F233" t="inlineStr">
        <is>
          <t>SKÅNE LÄN</t>
        </is>
      </c>
      <c r="G233" t="inlineStr">
        <is>
          <t>KRISTIANSTAD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45338</v>
      </c>
      <c r="E234" s="1" t="n">
        <v>46258</v>
      </c>
      <c r="F234" t="inlineStr">
        <is>
          <t>SKÅNE LÄN</t>
        </is>
      </c>
      <c r="G234" t="inlineStr">
        <is>
          <t>KRISTIANSTAD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46258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70705-2021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46258</v>
      </c>
      <c r="F236" t="inlineStr">
        <is>
          <t>SKÅNE LÄN</t>
        </is>
      </c>
      <c r="G236" t="inlineStr">
        <is>
          <t>KRISTIANSTAD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46258</v>
      </c>
      <c r="F237" t="inlineStr">
        <is>
          <t>SKÅNE LÄN</t>
        </is>
      </c>
      <c r="G237" t="inlineStr">
        <is>
          <t>KRISTIANSTAD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46258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45083</v>
      </c>
      <c r="E239" s="1" t="n">
        <v>46258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46258</v>
      </c>
      <c r="F240" t="inlineStr">
        <is>
          <t>SKÅNE LÄN</t>
        </is>
      </c>
      <c r="G240" t="inlineStr">
        <is>
          <t>KRISTIANSTAD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46258</v>
      </c>
      <c r="F241" t="inlineStr">
        <is>
          <t>SKÅNE LÄN</t>
        </is>
      </c>
      <c r="G241" t="inlineStr">
        <is>
          <t>KRISTIANSTAD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46258</v>
      </c>
      <c r="F242" t="inlineStr">
        <is>
          <t>SKÅNE LÄN</t>
        </is>
      </c>
      <c r="G242" t="inlineStr">
        <is>
          <t>KRISTIANSTAD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46258</v>
      </c>
      <c r="F243" t="inlineStr">
        <is>
          <t>SKÅNE LÄN</t>
        </is>
      </c>
      <c r="G243" t="inlineStr">
        <is>
          <t>KRISTIANSTAD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45644</v>
      </c>
      <c r="E244" s="1" t="n">
        <v>46258</v>
      </c>
      <c r="F244" t="inlineStr">
        <is>
          <t>SKÅNE LÄN</t>
        </is>
      </c>
      <c r="G244" t="inlineStr">
        <is>
          <t>KRISTIANSTAD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46258</v>
      </c>
      <c r="F245" t="inlineStr">
        <is>
          <t>SKÅNE LÄN</t>
        </is>
      </c>
      <c r="G245" t="inlineStr">
        <is>
          <t>KRISTIANSTAD</t>
        </is>
      </c>
      <c r="I245" t="n">
        <v>12.8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38021-2023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45159</v>
      </c>
      <c r="E246" s="1" t="n">
        <v>46258</v>
      </c>
      <c r="F246" t="inlineStr">
        <is>
          <t>SKÅNE LÄN</t>
        </is>
      </c>
      <c r="G246" t="inlineStr">
        <is>
          <t>KRISTIANSTAD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45896</v>
      </c>
      <c r="E247" s="1" t="n">
        <v>46258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46258</v>
      </c>
      <c r="F248" t="inlineStr">
        <is>
          <t>SKÅNE LÄN</t>
        </is>
      </c>
      <c r="G248" t="inlineStr">
        <is>
          <t>KRISTIANSTAD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45355</v>
      </c>
      <c r="E249" s="1" t="n">
        <v>46258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46258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46258</v>
      </c>
      <c r="F251" t="inlineStr">
        <is>
          <t>SKÅNE LÄN</t>
        </is>
      </c>
      <c r="G251" t="inlineStr">
        <is>
          <t>KRISTIANSTAD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45083</v>
      </c>
      <c r="E252" s="1" t="n">
        <v>46258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10.5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45900</v>
      </c>
      <c r="E253" s="1" t="n">
        <v>46258</v>
      </c>
      <c r="F253" t="inlineStr">
        <is>
          <t>SKÅNE LÄN</t>
        </is>
      </c>
      <c r="G253" t="inlineStr">
        <is>
          <t>KRISTIANSTAD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45900</v>
      </c>
      <c r="E254" s="1" t="n">
        <v>46258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47652-2023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45198</v>
      </c>
      <c r="E255" s="1" t="n">
        <v>46258</v>
      </c>
      <c r="F255" t="inlineStr">
        <is>
          <t>SKÅNE LÄN</t>
        </is>
      </c>
      <c r="G255" t="inlineStr">
        <is>
          <t>KRISTIANSTAD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72100-2021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44544</v>
      </c>
      <c r="E256" s="1" t="n">
        <v>46258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46258</v>
      </c>
      <c r="F257" t="inlineStr">
        <is>
          <t>SKÅNE LÄN</t>
        </is>
      </c>
      <c r="G257" t="inlineStr">
        <is>
          <t>KRISTIANSTAD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45511</v>
      </c>
      <c r="E258" s="1" t="n">
        <v>46258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46258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46258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46258</v>
      </c>
      <c r="F261" t="inlineStr">
        <is>
          <t>SKÅNE LÄN</t>
        </is>
      </c>
      <c r="G261" t="inlineStr">
        <is>
          <t>KRISTIANSTAD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46258</v>
      </c>
      <c r="F262" t="inlineStr">
        <is>
          <t>SKÅNE LÄN</t>
        </is>
      </c>
      <c r="G262" t="inlineStr">
        <is>
          <t>KRISTIANSTAD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45121</v>
      </c>
      <c r="E263" s="1" t="n">
        <v>46258</v>
      </c>
      <c r="F263" t="inlineStr">
        <is>
          <t>SKÅNE LÄN</t>
        </is>
      </c>
      <c r="G263" t="inlineStr">
        <is>
          <t>KRISTIANSTAD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45144</v>
      </c>
      <c r="E264" s="1" t="n">
        <v>46258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13431-2022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44645</v>
      </c>
      <c r="E265" s="1" t="n">
        <v>46258</v>
      </c>
      <c r="F265" t="inlineStr">
        <is>
          <t>SKÅNE LÄN</t>
        </is>
      </c>
      <c r="G265" t="inlineStr">
        <is>
          <t>KRISTIANSTAD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46258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45577</v>
      </c>
      <c r="E267" s="1" t="n">
        <v>46258</v>
      </c>
      <c r="F267" t="inlineStr">
        <is>
          <t>SKÅNE LÄN</t>
        </is>
      </c>
      <c r="G267" t="inlineStr">
        <is>
          <t>KRISTIANSTAD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46258</v>
      </c>
      <c r="F268" t="inlineStr">
        <is>
          <t>SKÅNE LÄN</t>
        </is>
      </c>
      <c r="G268" t="inlineStr">
        <is>
          <t>KRISTIANSTAD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46258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46258</v>
      </c>
      <c r="F270" t="inlineStr">
        <is>
          <t>SKÅNE LÄN</t>
        </is>
      </c>
      <c r="G270" t="inlineStr">
        <is>
          <t>KRISTIANSTAD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46258</v>
      </c>
      <c r="F271" t="inlineStr">
        <is>
          <t>SKÅNE LÄN</t>
        </is>
      </c>
      <c r="G271" t="inlineStr">
        <is>
          <t>KRISTIANSTAD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45737</v>
      </c>
      <c r="E272" s="1" t="n">
        <v>46258</v>
      </c>
      <c r="F272" t="inlineStr">
        <is>
          <t>SKÅNE LÄN</t>
        </is>
      </c>
      <c r="G272" t="inlineStr">
        <is>
          <t>KRISTIANSTAD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46258</v>
      </c>
      <c r="F273" t="inlineStr">
        <is>
          <t>SKÅNE LÄN</t>
        </is>
      </c>
      <c r="G273" t="inlineStr">
        <is>
          <t>KRISTIANSTAD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44339-2023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46258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45665</v>
      </c>
      <c r="E275" s="1" t="n">
        <v>46258</v>
      </c>
      <c r="F275" t="inlineStr">
        <is>
          <t>SKÅNE LÄN</t>
        </is>
      </c>
      <c r="G275" t="inlineStr">
        <is>
          <t>KRISTIANSTAD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45197</v>
      </c>
      <c r="E276" s="1" t="n">
        <v>46258</v>
      </c>
      <c r="F276" t="inlineStr">
        <is>
          <t>SKÅNE LÄN</t>
        </is>
      </c>
      <c r="G276" t="inlineStr">
        <is>
          <t>KRISTIANSTAD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46258</v>
      </c>
      <c r="F277" t="inlineStr">
        <is>
          <t>SKÅNE LÄN</t>
        </is>
      </c>
      <c r="G277" t="inlineStr">
        <is>
          <t>KRISTIANSTAD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33984-2025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45843</v>
      </c>
      <c r="E278" s="1" t="n">
        <v>46258</v>
      </c>
      <c r="F278" t="inlineStr">
        <is>
          <t>SKÅNE LÄN</t>
        </is>
      </c>
      <c r="G278" t="inlineStr">
        <is>
          <t>KRISTIANSTAD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46258</v>
      </c>
      <c r="F279" t="inlineStr">
        <is>
          <t>SKÅNE LÄN</t>
        </is>
      </c>
      <c r="G279" t="inlineStr">
        <is>
          <t>KRISTIANSTAD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46258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46258</v>
      </c>
      <c r="F281" t="inlineStr">
        <is>
          <t>SKÅNE LÄN</t>
        </is>
      </c>
      <c r="G281" t="inlineStr">
        <is>
          <t>KRISTIANSTAD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46258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46258</v>
      </c>
      <c r="F283" t="inlineStr">
        <is>
          <t>SKÅNE LÄN</t>
        </is>
      </c>
      <c r="G283" t="inlineStr">
        <is>
          <t>KRISTIANSTAD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46258</v>
      </c>
      <c r="F284" t="inlineStr">
        <is>
          <t>SKÅNE LÄN</t>
        </is>
      </c>
      <c r="G284" t="inlineStr">
        <is>
          <t>KRISTIANSTAD</t>
        </is>
      </c>
      <c r="I284" t="n">
        <v>12.6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28607-2023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46258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46095-2023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45190</v>
      </c>
      <c r="E286" s="1" t="n">
        <v>46258</v>
      </c>
      <c r="F286" t="inlineStr">
        <is>
          <t>SKÅNE LÄN</t>
        </is>
      </c>
      <c r="G286" t="inlineStr">
        <is>
          <t>KRISTIANSTAD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46258</v>
      </c>
      <c r="F287" t="inlineStr">
        <is>
          <t>SKÅNE LÄN</t>
        </is>
      </c>
      <c r="G287" t="inlineStr">
        <is>
          <t>KRISTIANSTAD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44858</v>
      </c>
      <c r="E288" s="1" t="n">
        <v>46258</v>
      </c>
      <c r="F288" t="inlineStr">
        <is>
          <t>SKÅNE LÄN</t>
        </is>
      </c>
      <c r="G288" t="inlineStr">
        <is>
          <t>KRISTIANSTAD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44824</v>
      </c>
      <c r="E289" s="1" t="n">
        <v>46258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46258</v>
      </c>
      <c r="F290" t="inlineStr">
        <is>
          <t>SKÅNE LÄN</t>
        </is>
      </c>
      <c r="G290" t="inlineStr">
        <is>
          <t>KRISTIANSTAD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46258</v>
      </c>
      <c r="F291" t="inlineStr">
        <is>
          <t>SKÅNE LÄN</t>
        </is>
      </c>
      <c r="G291" t="inlineStr">
        <is>
          <t>KRISTIANSTAD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44744</v>
      </c>
      <c r="E292" s="1" t="n">
        <v>46258</v>
      </c>
      <c r="F292" t="inlineStr">
        <is>
          <t>SKÅNE LÄN</t>
        </is>
      </c>
      <c r="G292" t="inlineStr">
        <is>
          <t>KRISTIANSTAD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46258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46258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44111-2025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46258</v>
      </c>
      <c r="F295" t="inlineStr">
        <is>
          <t>SKÅNE LÄN</t>
        </is>
      </c>
      <c r="G295" t="inlineStr">
        <is>
          <t>KRISTIANSTAD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46258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46258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31575-2025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45833</v>
      </c>
      <c r="E298" s="1" t="n">
        <v>46258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31105-2025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45832</v>
      </c>
      <c r="E299" s="1" t="n">
        <v>46258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45419</v>
      </c>
      <c r="E300" s="1" t="n">
        <v>46258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45577</v>
      </c>
      <c r="E301" s="1" t="n">
        <v>46258</v>
      </c>
      <c r="F301" t="inlineStr">
        <is>
          <t>SKÅNE LÄN</t>
        </is>
      </c>
      <c r="G301" t="inlineStr">
        <is>
          <t>KRISTIANSTAD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45307</v>
      </c>
      <c r="E302" s="1" t="n">
        <v>46258</v>
      </c>
      <c r="F302" t="inlineStr">
        <is>
          <t>SKÅNE LÄN</t>
        </is>
      </c>
      <c r="G302" t="inlineStr">
        <is>
          <t>KRISTIANSTAD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46258</v>
      </c>
      <c r="F303" t="inlineStr">
        <is>
          <t>SKÅNE LÄN</t>
        </is>
      </c>
      <c r="G303" t="inlineStr">
        <is>
          <t>KRISTIANSTAD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44599</v>
      </c>
      <c r="E304" s="1" t="n">
        <v>46258</v>
      </c>
      <c r="F304" t="inlineStr">
        <is>
          <t>SKÅNE LÄN</t>
        </is>
      </c>
      <c r="G304" t="inlineStr">
        <is>
          <t>KRISTIANSTAD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45132</v>
      </c>
      <c r="E305" s="1" t="n">
        <v>46258</v>
      </c>
      <c r="F305" t="inlineStr">
        <is>
          <t>SKÅNE LÄN</t>
        </is>
      </c>
      <c r="G305" t="inlineStr">
        <is>
          <t>KRISTIANSTAD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45134</v>
      </c>
      <c r="E306" s="1" t="n">
        <v>46258</v>
      </c>
      <c r="F306" t="inlineStr">
        <is>
          <t>SKÅNE LÄN</t>
        </is>
      </c>
      <c r="G306" t="inlineStr">
        <is>
          <t>KRISTIANSTAD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44876</v>
      </c>
      <c r="E307" s="1" t="n">
        <v>46258</v>
      </c>
      <c r="F307" t="inlineStr">
        <is>
          <t>SKÅNE LÄN</t>
        </is>
      </c>
      <c r="G307" t="inlineStr">
        <is>
          <t>KRISTIANSTAD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46258</v>
      </c>
      <c r="F308" t="inlineStr">
        <is>
          <t>SKÅNE LÄN</t>
        </is>
      </c>
      <c r="G308" t="inlineStr">
        <is>
          <t>KRISTIANSTAD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46258</v>
      </c>
      <c r="F309" t="inlineStr">
        <is>
          <t>SKÅNE LÄN</t>
        </is>
      </c>
      <c r="G309" t="inlineStr">
        <is>
          <t>KRISTIANSTAD</t>
        </is>
      </c>
      <c r="H309" t="inlineStr">
        <is>
          <t>Kyrkan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46258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46258</v>
      </c>
      <c r="F311" t="inlineStr">
        <is>
          <t>SKÅNE LÄN</t>
        </is>
      </c>
      <c r="G311" t="inlineStr">
        <is>
          <t>KRISTIANSTAD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45342</v>
      </c>
      <c r="E312" s="1" t="n">
        <v>46258</v>
      </c>
      <c r="F312" t="inlineStr">
        <is>
          <t>SKÅNE LÄN</t>
        </is>
      </c>
      <c r="G312" t="inlineStr">
        <is>
          <t>KRISTIANSTAD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45467</v>
      </c>
      <c r="E313" s="1" t="n">
        <v>46258</v>
      </c>
      <c r="F313" t="inlineStr">
        <is>
          <t>SKÅNE LÄN</t>
        </is>
      </c>
      <c r="G313" t="inlineStr">
        <is>
          <t>KRISTIANSTAD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46258</v>
      </c>
      <c r="F314" t="inlineStr">
        <is>
          <t>SKÅNE LÄN</t>
        </is>
      </c>
      <c r="G314" t="inlineStr">
        <is>
          <t>KRISTIANSTAD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46258</v>
      </c>
      <c r="F315" t="inlineStr">
        <is>
          <t>SKÅNE LÄN</t>
        </is>
      </c>
      <c r="G315" t="inlineStr">
        <is>
          <t>KRISTIANSTAD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45764-2022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46258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46258</v>
      </c>
      <c r="F317" t="inlineStr">
        <is>
          <t>SKÅNE LÄN</t>
        </is>
      </c>
      <c r="G317" t="inlineStr">
        <is>
          <t>KRISTIANSTAD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46258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46258</v>
      </c>
      <c r="F319" t="inlineStr">
        <is>
          <t>SKÅNE LÄN</t>
        </is>
      </c>
      <c r="G319" t="inlineStr">
        <is>
          <t>KRISTIANSTAD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46258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44795</v>
      </c>
      <c r="E321" s="1" t="n">
        <v>46258</v>
      </c>
      <c r="F321" t="inlineStr">
        <is>
          <t>SKÅNE LÄN</t>
        </is>
      </c>
      <c r="G321" t="inlineStr">
        <is>
          <t>KRISTIANSTAD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46258</v>
      </c>
      <c r="F322" t="inlineStr">
        <is>
          <t>SKÅNE LÄN</t>
        </is>
      </c>
      <c r="G322" t="inlineStr">
        <is>
          <t>KRISTIANSTAD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46258</v>
      </c>
      <c r="F323" t="inlineStr">
        <is>
          <t>SKÅNE LÄN</t>
        </is>
      </c>
      <c r="G323" t="inlineStr">
        <is>
          <t>KRISTIANSTAD</t>
        </is>
      </c>
      <c r="H323" t="inlineStr">
        <is>
          <t>Kyrkan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46258</v>
      </c>
      <c r="F324" t="inlineStr">
        <is>
          <t>SKÅNE LÄN</t>
        </is>
      </c>
      <c r="G324" t="inlineStr">
        <is>
          <t>KRISTIANSTAD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46258</v>
      </c>
      <c r="F325" t="inlineStr">
        <is>
          <t>SKÅNE LÄN</t>
        </is>
      </c>
      <c r="G325" t="inlineStr">
        <is>
          <t>KRISTIANSTAD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44743</v>
      </c>
      <c r="E326" s="1" t="n">
        <v>46258</v>
      </c>
      <c r="F326" t="inlineStr">
        <is>
          <t>SKÅNE LÄN</t>
        </is>
      </c>
      <c r="G326" t="inlineStr">
        <is>
          <t>KRISTIANSTAD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46258</v>
      </c>
      <c r="F327" t="inlineStr">
        <is>
          <t>SKÅNE LÄN</t>
        </is>
      </c>
      <c r="G327" t="inlineStr">
        <is>
          <t>KRISTIANSTAD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46258</v>
      </c>
      <c r="F328" t="inlineStr">
        <is>
          <t>SKÅNE LÄN</t>
        </is>
      </c>
      <c r="G328" t="inlineStr">
        <is>
          <t>KRISTIANSTAD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45652</v>
      </c>
      <c r="E329" s="1" t="n">
        <v>46258</v>
      </c>
      <c r="F329" t="inlineStr">
        <is>
          <t>SKÅNE LÄN</t>
        </is>
      </c>
      <c r="G329" t="inlineStr">
        <is>
          <t>KRISTIANSTAD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47665-2025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46258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45761</v>
      </c>
      <c r="E331" s="1" t="n">
        <v>46258</v>
      </c>
      <c r="F331" t="inlineStr">
        <is>
          <t>SKÅNE LÄN</t>
        </is>
      </c>
      <c r="G331" t="inlineStr">
        <is>
          <t>KRISTIANSTAD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46504-2022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44847</v>
      </c>
      <c r="E332" s="1" t="n">
        <v>46258</v>
      </c>
      <c r="F332" t="inlineStr">
        <is>
          <t>SKÅNE LÄN</t>
        </is>
      </c>
      <c r="G332" t="inlineStr">
        <is>
          <t>KRISTIANSTAD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44634</v>
      </c>
      <c r="E333" s="1" t="n">
        <v>46258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45665</v>
      </c>
      <c r="E334" s="1" t="n">
        <v>46258</v>
      </c>
      <c r="F334" t="inlineStr">
        <is>
          <t>SKÅNE LÄN</t>
        </is>
      </c>
      <c r="G334" t="inlineStr">
        <is>
          <t>KRISTIANSTAD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48378-2025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46258</v>
      </c>
      <c r="F335" t="inlineStr">
        <is>
          <t>SKÅNE LÄN</t>
        </is>
      </c>
      <c r="G335" t="inlineStr">
        <is>
          <t>KRISTIANSTAD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46258</v>
      </c>
      <c r="F336" t="inlineStr">
        <is>
          <t>SKÅNE LÄN</t>
        </is>
      </c>
      <c r="G336" t="inlineStr">
        <is>
          <t>KRISTIANSTAD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45300</v>
      </c>
      <c r="E337" s="1" t="n">
        <v>46258</v>
      </c>
      <c r="F337" t="inlineStr">
        <is>
          <t>SKÅNE LÄN</t>
        </is>
      </c>
      <c r="G337" t="inlineStr">
        <is>
          <t>KRISTIANSTAD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43966-2025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45915</v>
      </c>
      <c r="E338" s="1" t="n">
        <v>46258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46258</v>
      </c>
      <c r="F339" t="inlineStr">
        <is>
          <t>SKÅNE LÄN</t>
        </is>
      </c>
      <c r="G339" t="inlineStr">
        <is>
          <t>KRISTIANSTAD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44961</v>
      </c>
      <c r="E340" s="1" t="n">
        <v>46258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46258</v>
      </c>
      <c r="F341" t="inlineStr">
        <is>
          <t>SKÅNE LÄN</t>
        </is>
      </c>
      <c r="G341" t="inlineStr">
        <is>
          <t>KRISTIANSTAD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46258</v>
      </c>
      <c r="F342" t="inlineStr">
        <is>
          <t>SKÅNE LÄN</t>
        </is>
      </c>
      <c r="G342" t="inlineStr">
        <is>
          <t>KRISTIANSTAD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46258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46258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46258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45693</v>
      </c>
      <c r="E346" s="1" t="n">
        <v>46258</v>
      </c>
      <c r="F346" t="inlineStr">
        <is>
          <t>SKÅNE LÄN</t>
        </is>
      </c>
      <c r="G346" t="inlineStr">
        <is>
          <t>KRISTIANSTAD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46258</v>
      </c>
      <c r="F347" t="inlineStr">
        <is>
          <t>SKÅNE LÄN</t>
        </is>
      </c>
      <c r="G347" t="inlineStr">
        <is>
          <t>KRISTIANSTAD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46258</v>
      </c>
      <c r="F348" t="inlineStr">
        <is>
          <t>SKÅNE LÄN</t>
        </is>
      </c>
      <c r="G348" t="inlineStr">
        <is>
          <t>KRISTIANSTAD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45490</v>
      </c>
      <c r="E349" s="1" t="n">
        <v>46258</v>
      </c>
      <c r="F349" t="inlineStr">
        <is>
          <t>SKÅNE LÄN</t>
        </is>
      </c>
      <c r="G349" t="inlineStr">
        <is>
          <t>KRISTIANSTAD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46258</v>
      </c>
      <c r="F350" t="inlineStr">
        <is>
          <t>SKÅNE LÄN</t>
        </is>
      </c>
      <c r="G350" t="inlineStr">
        <is>
          <t>KRISTIANSTAD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44655</v>
      </c>
      <c r="E351" s="1" t="n">
        <v>46258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46258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46258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45405</v>
      </c>
      <c r="E354" s="1" t="n">
        <v>46258</v>
      </c>
      <c r="F354" t="inlineStr">
        <is>
          <t>SKÅNE LÄN</t>
        </is>
      </c>
      <c r="G354" t="inlineStr">
        <is>
          <t>KRISTIANSTAD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45007</v>
      </c>
      <c r="E355" s="1" t="n">
        <v>46258</v>
      </c>
      <c r="F355" t="inlineStr">
        <is>
          <t>SKÅNE LÄN</t>
        </is>
      </c>
      <c r="G355" t="inlineStr">
        <is>
          <t>KRISTIANSTAD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45049</v>
      </c>
      <c r="E356" s="1" t="n">
        <v>46258</v>
      </c>
      <c r="F356" t="inlineStr">
        <is>
          <t>SKÅNE LÄN</t>
        </is>
      </c>
      <c r="G356" t="inlineStr">
        <is>
          <t>KRISTIANSTAD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46258</v>
      </c>
      <c r="F357" t="inlineStr">
        <is>
          <t>SKÅNE LÄN</t>
        </is>
      </c>
      <c r="G357" t="inlineStr">
        <is>
          <t>KRISTIANSTAD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45568</v>
      </c>
      <c r="E358" s="1" t="n">
        <v>46258</v>
      </c>
      <c r="F358" t="inlineStr">
        <is>
          <t>SKÅNE LÄN</t>
        </is>
      </c>
      <c r="G358" t="inlineStr">
        <is>
          <t>KRISTIANSTAD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46258</v>
      </c>
      <c r="F359" t="inlineStr">
        <is>
          <t>SKÅNE LÄN</t>
        </is>
      </c>
      <c r="G359" t="inlineStr">
        <is>
          <t>KRISTIANSTAD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46258</v>
      </c>
      <c r="F360" t="inlineStr">
        <is>
          <t>SKÅNE LÄN</t>
        </is>
      </c>
      <c r="G360" t="inlineStr">
        <is>
          <t>KRISTIANSTAD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46258</v>
      </c>
      <c r="F361" t="inlineStr">
        <is>
          <t>SKÅNE LÄN</t>
        </is>
      </c>
      <c r="G361" t="inlineStr">
        <is>
          <t>KRISTIANSTAD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46258</v>
      </c>
      <c r="F362" t="inlineStr">
        <is>
          <t>SKÅNE LÄN</t>
        </is>
      </c>
      <c r="G362" t="inlineStr">
        <is>
          <t>KRISTIANSTAD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12134-2024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46258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13952-2025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45737</v>
      </c>
      <c r="E364" s="1" t="n">
        <v>46258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45738</v>
      </c>
      <c r="E365" s="1" t="n">
        <v>46258</v>
      </c>
      <c r="F365" t="inlineStr">
        <is>
          <t>SKÅNE LÄN</t>
        </is>
      </c>
      <c r="G365" t="inlineStr">
        <is>
          <t>KRISTIANSTAD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46258</v>
      </c>
      <c r="F366" t="inlineStr">
        <is>
          <t>SKÅNE LÄN</t>
        </is>
      </c>
      <c r="G366" t="inlineStr">
        <is>
          <t>KRISTIANSTAD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46258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45370</v>
      </c>
      <c r="E368" s="1" t="n">
        <v>46258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46258</v>
      </c>
      <c r="F369" t="inlineStr">
        <is>
          <t>SKÅNE LÄN</t>
        </is>
      </c>
      <c r="G369" t="inlineStr">
        <is>
          <t>KRISTIANSTAD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44923</v>
      </c>
      <c r="E370" s="1" t="n">
        <v>46258</v>
      </c>
      <c r="F370" t="inlineStr">
        <is>
          <t>SKÅNE LÄN</t>
        </is>
      </c>
      <c r="G370" t="inlineStr">
        <is>
          <t>KRISTIANSTAD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46258</v>
      </c>
      <c r="F371" t="inlineStr">
        <is>
          <t>SKÅNE LÄN</t>
        </is>
      </c>
      <c r="G371" t="inlineStr">
        <is>
          <t>KRISTIANSTAD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25671-2023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45089</v>
      </c>
      <c r="E372" s="1" t="n">
        <v>46258</v>
      </c>
      <c r="F372" t="inlineStr">
        <is>
          <t>SKÅNE LÄN</t>
        </is>
      </c>
      <c r="G372" t="inlineStr">
        <is>
          <t>KRISTIANSTAD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45173</v>
      </c>
      <c r="E373" s="1" t="n">
        <v>46258</v>
      </c>
      <c r="F373" t="inlineStr">
        <is>
          <t>SKÅNE LÄN</t>
        </is>
      </c>
      <c r="G373" t="inlineStr">
        <is>
          <t>KRISTIANSTAD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46258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46258</v>
      </c>
      <c r="F375" t="inlineStr">
        <is>
          <t>SKÅNE LÄN</t>
        </is>
      </c>
      <c r="G375" t="inlineStr">
        <is>
          <t>KRISTIANSTAD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46258</v>
      </c>
      <c r="F376" t="inlineStr">
        <is>
          <t>SKÅNE LÄN</t>
        </is>
      </c>
      <c r="G376" t="inlineStr">
        <is>
          <t>KRISTIANSTAD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50294-2024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46258</v>
      </c>
      <c r="F377" t="inlineStr">
        <is>
          <t>SKÅNE LÄN</t>
        </is>
      </c>
      <c r="G377" t="inlineStr">
        <is>
          <t>KRISTIANSTAD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46258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46258</v>
      </c>
      <c r="F379" t="inlineStr">
        <is>
          <t>SKÅNE LÄN</t>
        </is>
      </c>
      <c r="G379" t="inlineStr">
        <is>
          <t>KRISTIANSTAD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61147-2021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44497</v>
      </c>
      <c r="E380" s="1" t="n">
        <v>46258</v>
      </c>
      <c r="F380" t="inlineStr">
        <is>
          <t>SKÅNE LÄN</t>
        </is>
      </c>
      <c r="G380" t="inlineStr">
        <is>
          <t>KRISTIANSTAD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46258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46258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46258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44818</v>
      </c>
      <c r="E384" s="1" t="n">
        <v>46258</v>
      </c>
      <c r="F384" t="inlineStr">
        <is>
          <t>SKÅNE LÄN</t>
        </is>
      </c>
      <c r="G384" t="inlineStr">
        <is>
          <t>KRISTIANSTAD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45116</v>
      </c>
      <c r="E385" s="1" t="n">
        <v>46258</v>
      </c>
      <c r="F385" t="inlineStr">
        <is>
          <t>SKÅNE LÄN</t>
        </is>
      </c>
      <c r="G385" t="inlineStr">
        <is>
          <t>KRISTIANSTAD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45555</v>
      </c>
      <c r="E386" s="1" t="n">
        <v>46258</v>
      </c>
      <c r="F386" t="inlineStr">
        <is>
          <t>SKÅNE LÄN</t>
        </is>
      </c>
      <c r="G386" t="inlineStr">
        <is>
          <t>KRISTIANSTAD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46258</v>
      </c>
      <c r="F387" t="inlineStr">
        <is>
          <t>SKÅNE LÄN</t>
        </is>
      </c>
      <c r="G387" t="inlineStr">
        <is>
          <t>KRISTIANSTAD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46258</v>
      </c>
      <c r="F388" t="inlineStr">
        <is>
          <t>SKÅNE LÄN</t>
        </is>
      </c>
      <c r="G388" t="inlineStr">
        <is>
          <t>KRISTIANSTAD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45609</v>
      </c>
      <c r="E389" s="1" t="n">
        <v>46258</v>
      </c>
      <c r="F389" t="inlineStr">
        <is>
          <t>SKÅNE LÄN</t>
        </is>
      </c>
      <c r="G389" t="inlineStr">
        <is>
          <t>KRISTIANSTAD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18146-2022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44684</v>
      </c>
      <c r="E390" s="1" t="n">
        <v>46258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46258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45233</v>
      </c>
      <c r="E392" s="1" t="n">
        <v>46258</v>
      </c>
      <c r="F392" t="inlineStr">
        <is>
          <t>SKÅNE LÄN</t>
        </is>
      </c>
      <c r="G392" t="inlineStr">
        <is>
          <t>KRISTIANSTAD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45233</v>
      </c>
      <c r="E393" s="1" t="n">
        <v>46258</v>
      </c>
      <c r="F393" t="inlineStr">
        <is>
          <t>SKÅNE LÄN</t>
        </is>
      </c>
      <c r="G393" t="inlineStr">
        <is>
          <t>KRISTIANSTAD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46469-2024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46258</v>
      </c>
      <c r="F394" t="inlineStr">
        <is>
          <t>SKÅNE LÄN</t>
        </is>
      </c>
      <c r="G394" t="inlineStr">
        <is>
          <t>KRISTIANSTAD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46258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61402-2023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46258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3769-2024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45321</v>
      </c>
      <c r="E397" s="1" t="n">
        <v>46258</v>
      </c>
      <c r="F397" t="inlineStr">
        <is>
          <t>SKÅNE LÄN</t>
        </is>
      </c>
      <c r="G397" t="inlineStr">
        <is>
          <t>KRISTIANSTAD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46258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46258</v>
      </c>
      <c r="F399" t="inlineStr">
        <is>
          <t>SKÅNE LÄN</t>
        </is>
      </c>
      <c r="G399" t="inlineStr">
        <is>
          <t>KRISTIANSTAD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45736</v>
      </c>
      <c r="E400" s="1" t="n">
        <v>46258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45014</v>
      </c>
      <c r="E401" s="1" t="n">
        <v>46258</v>
      </c>
      <c r="F401" t="inlineStr">
        <is>
          <t>SKÅNE LÄN</t>
        </is>
      </c>
      <c r="G401" t="inlineStr">
        <is>
          <t>KRISTIANSTAD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45736</v>
      </c>
      <c r="E402" s="1" t="n">
        <v>46258</v>
      </c>
      <c r="F402" t="inlineStr">
        <is>
          <t>SKÅNE LÄN</t>
        </is>
      </c>
      <c r="G402" t="inlineStr">
        <is>
          <t>KRISTIANSTAD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46258</v>
      </c>
      <c r="F403" t="inlineStr">
        <is>
          <t>SKÅNE LÄN</t>
        </is>
      </c>
      <c r="G403" t="inlineStr">
        <is>
          <t>KRISTIANSTAD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46258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58175-2021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44487</v>
      </c>
      <c r="E405" s="1" t="n">
        <v>46258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46258</v>
      </c>
      <c r="F406" t="inlineStr">
        <is>
          <t>SKÅNE LÄN</t>
        </is>
      </c>
      <c r="G406" t="inlineStr">
        <is>
          <t>KRISTIANSTAD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46258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45478</v>
      </c>
      <c r="E408" s="1" t="n">
        <v>46258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44938</v>
      </c>
      <c r="E409" s="1" t="n">
        <v>46258</v>
      </c>
      <c r="F409" t="inlineStr">
        <is>
          <t>SKÅNE LÄN</t>
        </is>
      </c>
      <c r="G409" t="inlineStr">
        <is>
          <t>KRISTIANSTAD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45343</v>
      </c>
      <c r="E410" s="1" t="n">
        <v>46258</v>
      </c>
      <c r="F410" t="inlineStr">
        <is>
          <t>SKÅNE LÄN</t>
        </is>
      </c>
      <c r="G410" t="inlineStr">
        <is>
          <t>KRISTIANSTAD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46258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46258</v>
      </c>
      <c r="F412" t="inlineStr">
        <is>
          <t>SKÅNE LÄN</t>
        </is>
      </c>
      <c r="G412" t="inlineStr">
        <is>
          <t>KRISTIANSTAD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46258</v>
      </c>
      <c r="F413" t="inlineStr">
        <is>
          <t>SKÅNE LÄN</t>
        </is>
      </c>
      <c r="G413" t="inlineStr">
        <is>
          <t>KRISTIANSTAD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46258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56042-2025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46258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46258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46258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46258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46258</v>
      </c>
      <c r="F419" t="inlineStr">
        <is>
          <t>SKÅNE LÄN</t>
        </is>
      </c>
      <c r="G419" t="inlineStr">
        <is>
          <t>KRISTIANSTAD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46258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46258</v>
      </c>
      <c r="F421" t="inlineStr">
        <is>
          <t>SKÅNE LÄN</t>
        </is>
      </c>
      <c r="G421" t="inlineStr">
        <is>
          <t>KRISTIANSTAD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53466-2022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44879</v>
      </c>
      <c r="E422" s="1" t="n">
        <v>46258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46258</v>
      </c>
      <c r="F423" t="inlineStr">
        <is>
          <t>SKÅNE LÄN</t>
        </is>
      </c>
      <c r="G423" t="inlineStr">
        <is>
          <t>KRISTIANSTAD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45532</v>
      </c>
      <c r="E424" s="1" t="n">
        <v>46258</v>
      </c>
      <c r="F424" t="inlineStr">
        <is>
          <t>SKÅNE LÄN</t>
        </is>
      </c>
      <c r="G424" t="inlineStr">
        <is>
          <t>KRISTIANSTAD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46258</v>
      </c>
      <c r="F425" t="inlineStr">
        <is>
          <t>SKÅNE LÄN</t>
        </is>
      </c>
      <c r="G425" t="inlineStr">
        <is>
          <t>KRISTIANSTAD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46258</v>
      </c>
      <c r="F426" t="inlineStr">
        <is>
          <t>SKÅNE LÄN</t>
        </is>
      </c>
      <c r="G426" t="inlineStr">
        <is>
          <t>KRISTIANSTAD</t>
        </is>
      </c>
      <c r="I426" t="n">
        <v>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46258</v>
      </c>
      <c r="F427" t="inlineStr">
        <is>
          <t>SKÅNE LÄN</t>
        </is>
      </c>
      <c r="G427" t="inlineStr">
        <is>
          <t>KRISTIANSTAD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46258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10781-2022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46258</v>
      </c>
      <c r="F429" t="inlineStr">
        <is>
          <t>SKÅNE LÄN</t>
        </is>
      </c>
      <c r="G429" t="inlineStr">
        <is>
          <t>KRISTIANSTAD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6597-2025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45700</v>
      </c>
      <c r="E430" s="1" t="n">
        <v>46258</v>
      </c>
      <c r="F430" t="inlineStr">
        <is>
          <t>SKÅNE LÄN</t>
        </is>
      </c>
      <c r="G430" t="inlineStr">
        <is>
          <t>KRISTIANSTAD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47237-2024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45586</v>
      </c>
      <c r="E431" s="1" t="n">
        <v>46258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53299-2023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45229</v>
      </c>
      <c r="E432" s="1" t="n">
        <v>46258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46258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45326</v>
      </c>
      <c r="E434" s="1" t="n">
        <v>46258</v>
      </c>
      <c r="F434" t="inlineStr">
        <is>
          <t>SKÅNE LÄN</t>
        </is>
      </c>
      <c r="G434" t="inlineStr">
        <is>
          <t>KRISTIANSTAD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45648</v>
      </c>
      <c r="E435" s="1" t="n">
        <v>46258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46258</v>
      </c>
      <c r="F436" t="inlineStr">
        <is>
          <t>SKÅNE LÄN</t>
        </is>
      </c>
      <c r="G436" t="inlineStr">
        <is>
          <t>KRISTIANSTAD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38778-2022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44816</v>
      </c>
      <c r="E437" s="1" t="n">
        <v>46258</v>
      </c>
      <c r="F437" t="inlineStr">
        <is>
          <t>SKÅNE LÄN</t>
        </is>
      </c>
      <c r="G437" t="inlineStr">
        <is>
          <t>KRISTIANSTAD</t>
        </is>
      </c>
      <c r="I437" t="n">
        <v>17.1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46258</v>
      </c>
      <c r="F438" t="inlineStr">
        <is>
          <t>SKÅNE LÄN</t>
        </is>
      </c>
      <c r="G438" t="inlineStr">
        <is>
          <t>KRISTIANSTAD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45496</v>
      </c>
      <c r="E439" s="1" t="n">
        <v>46258</v>
      </c>
      <c r="F439" t="inlineStr">
        <is>
          <t>SKÅNE LÄN</t>
        </is>
      </c>
      <c r="G439" t="inlineStr">
        <is>
          <t>KRISTIANSTAD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46258</v>
      </c>
      <c r="F440" t="inlineStr">
        <is>
          <t>SKÅNE LÄN</t>
        </is>
      </c>
      <c r="G440" t="inlineStr">
        <is>
          <t>KRISTIANSTAD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46258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45149</v>
      </c>
      <c r="E442" s="1" t="n">
        <v>46258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45232</v>
      </c>
      <c r="E443" s="1" t="n">
        <v>46258</v>
      </c>
      <c r="F443" t="inlineStr">
        <is>
          <t>SKÅNE LÄN</t>
        </is>
      </c>
      <c r="G443" t="inlineStr">
        <is>
          <t>KRISTIANSTAD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45119</v>
      </c>
      <c r="E444" s="1" t="n">
        <v>46258</v>
      </c>
      <c r="F444" t="inlineStr">
        <is>
          <t>SKÅNE LÄN</t>
        </is>
      </c>
      <c r="G444" t="inlineStr">
        <is>
          <t>KRISTIANSTAD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45311</v>
      </c>
      <c r="E445" s="1" t="n">
        <v>46258</v>
      </c>
      <c r="F445" t="inlineStr">
        <is>
          <t>SKÅNE LÄN</t>
        </is>
      </c>
      <c r="G445" t="inlineStr">
        <is>
          <t>KRISTIANSTAD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45072</v>
      </c>
      <c r="E446" s="1" t="n">
        <v>46258</v>
      </c>
      <c r="F446" t="inlineStr">
        <is>
          <t>SKÅNE LÄN</t>
        </is>
      </c>
      <c r="G446" t="inlineStr">
        <is>
          <t>KRISTIANSTAD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46258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65097-2021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44513</v>
      </c>
      <c r="E448" s="1" t="n">
        <v>46258</v>
      </c>
      <c r="F448" t="inlineStr">
        <is>
          <t>SKÅNE LÄN</t>
        </is>
      </c>
      <c r="G448" t="inlineStr">
        <is>
          <t>KRISTIANSTAD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9794-2023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44984</v>
      </c>
      <c r="E449" s="1" t="n">
        <v>46258</v>
      </c>
      <c r="F449" t="inlineStr">
        <is>
          <t>SKÅNE LÄN</t>
        </is>
      </c>
      <c r="G449" t="inlineStr">
        <is>
          <t>KRISTIANSTAD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44363-2024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45573</v>
      </c>
      <c r="E450" s="1" t="n">
        <v>46258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46258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45144</v>
      </c>
      <c r="E452" s="1" t="n">
        <v>46258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47231-2024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45586</v>
      </c>
      <c r="E453" s="1" t="n">
        <v>46258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15890-2025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46258</v>
      </c>
      <c r="F454" t="inlineStr">
        <is>
          <t>SKÅNE LÄN</t>
        </is>
      </c>
      <c r="G454" t="inlineStr">
        <is>
          <t>KRISTIANSTAD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34688-2024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45526</v>
      </c>
      <c r="E455" s="1" t="n">
        <v>46258</v>
      </c>
      <c r="F455" t="inlineStr">
        <is>
          <t>SKÅNE LÄN</t>
        </is>
      </c>
      <c r="G455" t="inlineStr">
        <is>
          <t>KRISTIANSTAD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46258</v>
      </c>
      <c r="F456" t="inlineStr">
        <is>
          <t>SKÅNE LÄN</t>
        </is>
      </c>
      <c r="G456" t="inlineStr">
        <is>
          <t>KRISTIANSTAD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45532</v>
      </c>
      <c r="E457" s="1" t="n">
        <v>46258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45532</v>
      </c>
      <c r="E458" s="1" t="n">
        <v>46258</v>
      </c>
      <c r="F458" t="inlineStr">
        <is>
          <t>SKÅNE LÄN</t>
        </is>
      </c>
      <c r="G458" t="inlineStr">
        <is>
          <t>KRISTIANSTAD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45338</v>
      </c>
      <c r="E459" s="1" t="n">
        <v>46258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46258</v>
      </c>
      <c r="F460" t="inlineStr">
        <is>
          <t>SKÅNE LÄN</t>
        </is>
      </c>
      <c r="G460" t="inlineStr">
        <is>
          <t>KRISTIANSTAD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46258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46258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45000</v>
      </c>
      <c r="E463" s="1" t="n">
        <v>46258</v>
      </c>
      <c r="F463" t="inlineStr">
        <is>
          <t>SKÅNE LÄN</t>
        </is>
      </c>
      <c r="G463" t="inlineStr">
        <is>
          <t>KRISTIANSTAD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46258</v>
      </c>
      <c r="F464" t="inlineStr">
        <is>
          <t>SKÅNE LÄN</t>
        </is>
      </c>
      <c r="G464" t="inlineStr">
        <is>
          <t>KRISTIANSTAD</t>
        </is>
      </c>
      <c r="H464" t="inlineStr">
        <is>
          <t>Övriga Aktiebolag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46258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46258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46258</v>
      </c>
      <c r="F467" t="inlineStr">
        <is>
          <t>SKÅNE LÄN</t>
        </is>
      </c>
      <c r="G467" t="inlineStr">
        <is>
          <t>KRISTIANSTAD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44742</v>
      </c>
      <c r="E468" s="1" t="n">
        <v>46258</v>
      </c>
      <c r="F468" t="inlineStr">
        <is>
          <t>SKÅNE LÄN</t>
        </is>
      </c>
      <c r="G468" t="inlineStr">
        <is>
          <t>KRISTIANSTAD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8455-2025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45709</v>
      </c>
      <c r="E469" s="1" t="n">
        <v>46258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46258</v>
      </c>
      <c r="F470" t="inlineStr">
        <is>
          <t>SKÅNE LÄN</t>
        </is>
      </c>
      <c r="G470" t="inlineStr">
        <is>
          <t>KRISTIANSTAD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11067-2022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44628</v>
      </c>
      <c r="E471" s="1" t="n">
        <v>46258</v>
      </c>
      <c r="F471" t="inlineStr">
        <is>
          <t>SKÅNE LÄN</t>
        </is>
      </c>
      <c r="G471" t="inlineStr">
        <is>
          <t>KRISTIANSTAD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46258</v>
      </c>
      <c r="F472" t="inlineStr">
        <is>
          <t>SKÅNE LÄN</t>
        </is>
      </c>
      <c r="G472" t="inlineStr">
        <is>
          <t>KRISTIANSTAD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39935-2023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46258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46258</v>
      </c>
      <c r="F474" t="inlineStr">
        <is>
          <t>SKÅNE LÄN</t>
        </is>
      </c>
      <c r="G474" t="inlineStr">
        <is>
          <t>KRISTIANSTAD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45408</v>
      </c>
      <c r="E475" s="1" t="n">
        <v>46258</v>
      </c>
      <c r="F475" t="inlineStr">
        <is>
          <t>SKÅNE LÄN</t>
        </is>
      </c>
      <c r="G475" t="inlineStr">
        <is>
          <t>KRISTIANSTAD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45573</v>
      </c>
      <c r="E476" s="1" t="n">
        <v>46258</v>
      </c>
      <c r="F476" t="inlineStr">
        <is>
          <t>SKÅNE LÄN</t>
        </is>
      </c>
      <c r="G476" t="inlineStr">
        <is>
          <t>KRISTIANSTAD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45477</v>
      </c>
      <c r="E477" s="1" t="n">
        <v>46258</v>
      </c>
      <c r="F477" t="inlineStr">
        <is>
          <t>SKÅNE LÄN</t>
        </is>
      </c>
      <c r="G477" t="inlineStr">
        <is>
          <t>KRISTIANSTAD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45398</v>
      </c>
      <c r="E478" s="1" t="n">
        <v>46258</v>
      </c>
      <c r="F478" t="inlineStr">
        <is>
          <t>SKÅNE LÄN</t>
        </is>
      </c>
      <c r="G478" t="inlineStr">
        <is>
          <t>KRISTIANSTAD</t>
        </is>
      </c>
      <c r="I478" t="n">
        <v>13.5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46258</v>
      </c>
      <c r="F479" t="inlineStr">
        <is>
          <t>SKÅNE LÄN</t>
        </is>
      </c>
      <c r="G479" t="inlineStr">
        <is>
          <t>KRISTIANSTAD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46001</v>
      </c>
      <c r="E480" s="1" t="n">
        <v>46258</v>
      </c>
      <c r="F480" t="inlineStr">
        <is>
          <t>SKÅNE LÄN</t>
        </is>
      </c>
      <c r="G480" t="inlineStr">
        <is>
          <t>KRISTIANSTAD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45860</v>
      </c>
      <c r="E481" s="1" t="n">
        <v>46258</v>
      </c>
      <c r="F481" t="inlineStr">
        <is>
          <t>SKÅNE LÄN</t>
        </is>
      </c>
      <c r="G481" t="inlineStr">
        <is>
          <t>KRISTIANSTAD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46258</v>
      </c>
      <c r="F482" t="inlineStr">
        <is>
          <t>SKÅNE LÄN</t>
        </is>
      </c>
      <c r="G482" t="inlineStr">
        <is>
          <t>KRISTIANSTAD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45054</v>
      </c>
      <c r="E483" s="1" t="n">
        <v>46258</v>
      </c>
      <c r="F483" t="inlineStr">
        <is>
          <t>SKÅNE LÄN</t>
        </is>
      </c>
      <c r="G483" t="inlineStr">
        <is>
          <t>KRISTIANSTAD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46258</v>
      </c>
      <c r="F484" t="inlineStr">
        <is>
          <t>SKÅNE LÄN</t>
        </is>
      </c>
      <c r="G484" t="inlineStr">
        <is>
          <t>KRISTIANSTAD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45846</v>
      </c>
      <c r="E485" s="1" t="n">
        <v>46258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46258</v>
      </c>
      <c r="F486" t="inlineStr">
        <is>
          <t>SKÅNE LÄN</t>
        </is>
      </c>
      <c r="G486" t="inlineStr">
        <is>
          <t>KRISTIANSTAD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24947-2023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45085</v>
      </c>
      <c r="E487" s="1" t="n">
        <v>46258</v>
      </c>
      <c r="F487" t="inlineStr">
        <is>
          <t>SKÅNE LÄN</t>
        </is>
      </c>
      <c r="G487" t="inlineStr">
        <is>
          <t>KRISTIANSTAD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45085</v>
      </c>
      <c r="E488" s="1" t="n">
        <v>46258</v>
      </c>
      <c r="F488" t="inlineStr">
        <is>
          <t>SKÅNE LÄN</t>
        </is>
      </c>
      <c r="G488" t="inlineStr">
        <is>
          <t>KRISTIANSTAD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46007</v>
      </c>
      <c r="E489" s="1" t="n">
        <v>46258</v>
      </c>
      <c r="F489" t="inlineStr">
        <is>
          <t>SKÅNE LÄN</t>
        </is>
      </c>
      <c r="G489" t="inlineStr">
        <is>
          <t>KRISTIANSTAD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46258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39567-2022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44817</v>
      </c>
      <c r="E491" s="1" t="n">
        <v>46258</v>
      </c>
      <c r="F491" t="inlineStr">
        <is>
          <t>SKÅNE LÄN</t>
        </is>
      </c>
      <c r="G491" t="inlineStr">
        <is>
          <t>KRISTIANSTAD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46258</v>
      </c>
      <c r="F492" t="inlineStr">
        <is>
          <t>SKÅNE LÄN</t>
        </is>
      </c>
      <c r="G492" t="inlineStr">
        <is>
          <t>KRISTIANSTAD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44587</v>
      </c>
      <c r="E493" s="1" t="n">
        <v>46258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45069</v>
      </c>
      <c r="E494" s="1" t="n">
        <v>46258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30457-2025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46258</v>
      </c>
      <c r="F495" t="inlineStr">
        <is>
          <t>SKÅNE LÄN</t>
        </is>
      </c>
      <c r="G495" t="inlineStr">
        <is>
          <t>KRISTIANSTAD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45306</v>
      </c>
      <c r="E496" s="1" t="n">
        <v>46258</v>
      </c>
      <c r="F496" t="inlineStr">
        <is>
          <t>SKÅNE LÄN</t>
        </is>
      </c>
      <c r="G496" t="inlineStr">
        <is>
          <t>KRISTIANSTAD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46258</v>
      </c>
      <c r="F497" t="inlineStr">
        <is>
          <t>SKÅNE LÄN</t>
        </is>
      </c>
      <c r="G497" t="inlineStr">
        <is>
          <t>KRISTIANSTAD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46258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45493</v>
      </c>
      <c r="E499" s="1" t="n">
        <v>46258</v>
      </c>
      <c r="F499" t="inlineStr">
        <is>
          <t>SKÅNE LÄN</t>
        </is>
      </c>
      <c r="G499" t="inlineStr">
        <is>
          <t>KRISTIANSTAD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45387</v>
      </c>
      <c r="E500" s="1" t="n">
        <v>46258</v>
      </c>
      <c r="F500" t="inlineStr">
        <is>
          <t>SKÅNE LÄN</t>
        </is>
      </c>
      <c r="G500" t="inlineStr">
        <is>
          <t>KRISTIANSTAD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52057-2021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44463</v>
      </c>
      <c r="E501" s="1" t="n">
        <v>46258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10062-2024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45364</v>
      </c>
      <c r="E502" s="1" t="n">
        <v>46258</v>
      </c>
      <c r="F502" t="inlineStr">
        <is>
          <t>SKÅNE LÄN</t>
        </is>
      </c>
      <c r="G502" t="inlineStr">
        <is>
          <t>KRISTIANSTAD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45803</v>
      </c>
      <c r="E503" s="1" t="n">
        <v>46258</v>
      </c>
      <c r="F503" t="inlineStr">
        <is>
          <t>SKÅNE LÄN</t>
        </is>
      </c>
      <c r="G503" t="inlineStr">
        <is>
          <t>KRISTIANSTAD</t>
        </is>
      </c>
      <c r="I503" t="n">
        <v>18.8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27590-2024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45474</v>
      </c>
      <c r="E504" s="1" t="n">
        <v>46258</v>
      </c>
      <c r="F504" t="inlineStr">
        <is>
          <t>SKÅNE LÄN</t>
        </is>
      </c>
      <c r="G504" t="inlineStr">
        <is>
          <t>KRISTIANSTAD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46258</v>
      </c>
      <c r="F505" t="inlineStr">
        <is>
          <t>SKÅNE LÄN</t>
        </is>
      </c>
      <c r="G505" t="inlineStr">
        <is>
          <t>KRISTIANSTAD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31374-2022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44774</v>
      </c>
      <c r="E506" s="1" t="n">
        <v>46258</v>
      </c>
      <c r="F506" t="inlineStr">
        <is>
          <t>SKÅNE LÄN</t>
        </is>
      </c>
      <c r="G506" t="inlineStr">
        <is>
          <t>KRISTIANSTAD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46258</v>
      </c>
      <c r="F507" t="inlineStr">
        <is>
          <t>SKÅNE LÄN</t>
        </is>
      </c>
      <c r="G507" t="inlineStr">
        <is>
          <t>KRISTIANSTAD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45282</v>
      </c>
      <c r="E508" s="1" t="n">
        <v>46258</v>
      </c>
      <c r="F508" t="inlineStr">
        <is>
          <t>SKÅNE LÄN</t>
        </is>
      </c>
      <c r="G508" t="inlineStr">
        <is>
          <t>KRISTIANSTAD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46258</v>
      </c>
      <c r="F509" t="inlineStr">
        <is>
          <t>SKÅNE LÄN</t>
        </is>
      </c>
      <c r="G509" t="inlineStr">
        <is>
          <t>KRISTIANSTAD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45274</v>
      </c>
      <c r="E510" s="1" t="n">
        <v>46258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13954-2025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45737</v>
      </c>
      <c r="E511" s="1" t="n">
        <v>46258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61550-2023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45265</v>
      </c>
      <c r="E512" s="1" t="n">
        <v>46258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45485</v>
      </c>
      <c r="E513" s="1" t="n">
        <v>46258</v>
      </c>
      <c r="F513" t="inlineStr">
        <is>
          <t>SKÅNE LÄN</t>
        </is>
      </c>
      <c r="G513" t="inlineStr">
        <is>
          <t>KRISTIANSTAD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46258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46258</v>
      </c>
      <c r="F515" t="inlineStr">
        <is>
          <t>SKÅNE LÄN</t>
        </is>
      </c>
      <c r="G515" t="inlineStr">
        <is>
          <t>KRISTIANSTAD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46258</v>
      </c>
      <c r="F516" t="inlineStr">
        <is>
          <t>SKÅNE LÄN</t>
        </is>
      </c>
      <c r="G516" t="inlineStr">
        <is>
          <t>KRISTIANSTAD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46031</v>
      </c>
      <c r="E517" s="1" t="n">
        <v>46258</v>
      </c>
      <c r="F517" t="inlineStr">
        <is>
          <t>SKÅNE LÄN</t>
        </is>
      </c>
      <c r="G517" t="inlineStr">
        <is>
          <t>KRISTIANSTAD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46258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46258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56633-2022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44893</v>
      </c>
      <c r="E520" s="1" t="n">
        <v>46258</v>
      </c>
      <c r="F520" t="inlineStr">
        <is>
          <t>SKÅNE LÄN</t>
        </is>
      </c>
      <c r="G520" t="inlineStr">
        <is>
          <t>KRISTIANSTAD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46258</v>
      </c>
      <c r="F521" t="inlineStr">
        <is>
          <t>SKÅNE LÄN</t>
        </is>
      </c>
      <c r="G521" t="inlineStr">
        <is>
          <t>KRISTIANSTAD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46258</v>
      </c>
      <c r="F522" t="inlineStr">
        <is>
          <t>SKÅNE LÄN</t>
        </is>
      </c>
      <c r="G522" t="inlineStr">
        <is>
          <t>KRISTIANSTAD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45583</v>
      </c>
      <c r="E523" s="1" t="n">
        <v>46258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46515-2022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44847</v>
      </c>
      <c r="E524" s="1" t="n">
        <v>46258</v>
      </c>
      <c r="F524" t="inlineStr">
        <is>
          <t>SKÅNE LÄN</t>
        </is>
      </c>
      <c r="G524" t="inlineStr">
        <is>
          <t>KRISTIANSTAD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44729</v>
      </c>
      <c r="E525" s="1" t="n">
        <v>46258</v>
      </c>
      <c r="F525" t="inlineStr">
        <is>
          <t>SKÅNE LÄN</t>
        </is>
      </c>
      <c r="G525" t="inlineStr">
        <is>
          <t>KRISTIANSTAD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45833</v>
      </c>
      <c r="E526" s="1" t="n">
        <v>46258</v>
      </c>
      <c r="F526" t="inlineStr">
        <is>
          <t>SKÅNE LÄN</t>
        </is>
      </c>
      <c r="G526" t="inlineStr">
        <is>
          <t>KRISTIANSTAD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46258</v>
      </c>
      <c r="F527" t="inlineStr">
        <is>
          <t>SKÅNE LÄN</t>
        </is>
      </c>
      <c r="G527" t="inlineStr">
        <is>
          <t>KRISTIANSTAD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46258</v>
      </c>
      <c r="F528" t="inlineStr">
        <is>
          <t>SKÅNE LÄN</t>
        </is>
      </c>
      <c r="G528" t="inlineStr">
        <is>
          <t>KRISTIANSTAD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46258</v>
      </c>
      <c r="F529" t="inlineStr">
        <is>
          <t>SKÅNE LÄN</t>
        </is>
      </c>
      <c r="G529" t="inlineStr">
        <is>
          <t>KRISTIANSTAD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46258</v>
      </c>
      <c r="F530" t="inlineStr">
        <is>
          <t>SKÅNE LÄN</t>
        </is>
      </c>
      <c r="G530" t="inlineStr">
        <is>
          <t>KRISTIANSTAD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46258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46258</v>
      </c>
      <c r="F532" t="inlineStr">
        <is>
          <t>SKÅNE LÄN</t>
        </is>
      </c>
      <c r="G532" t="inlineStr">
        <is>
          <t>KRISTIANSTAD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46258</v>
      </c>
      <c r="F533" t="inlineStr">
        <is>
          <t>SKÅNE LÄN</t>
        </is>
      </c>
      <c r="G533" t="inlineStr">
        <is>
          <t>KRISTIANSTAD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40149-2024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45554</v>
      </c>
      <c r="E534" s="1" t="n">
        <v>46258</v>
      </c>
      <c r="F534" t="inlineStr">
        <is>
          <t>SKÅNE LÄN</t>
        </is>
      </c>
      <c r="G534" t="inlineStr">
        <is>
          <t>KRISTIANSTAD</t>
        </is>
      </c>
      <c r="I534" t="n">
        <v>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46258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46258</v>
      </c>
      <c r="F536" t="inlineStr">
        <is>
          <t>SKÅNE LÄN</t>
        </is>
      </c>
      <c r="G536" t="inlineStr">
        <is>
          <t>KRISTIANSTAD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45336</v>
      </c>
      <c r="E537" s="1" t="n">
        <v>46258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45420</v>
      </c>
      <c r="E538" s="1" t="n">
        <v>46258</v>
      </c>
      <c r="F538" t="inlineStr">
        <is>
          <t>SKÅNE LÄN</t>
        </is>
      </c>
      <c r="G538" t="inlineStr">
        <is>
          <t>KRISTIANSTAD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45079</v>
      </c>
      <c r="E539" s="1" t="n">
        <v>46258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46258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45120</v>
      </c>
      <c r="E541" s="1" t="n">
        <v>46258</v>
      </c>
      <c r="F541" t="inlineStr">
        <is>
          <t>SKÅNE LÄN</t>
        </is>
      </c>
      <c r="G541" t="inlineStr">
        <is>
          <t>KRISTIANSTAD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45307</v>
      </c>
      <c r="E542" s="1" t="n">
        <v>46258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46258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45874</v>
      </c>
      <c r="E544" s="1" t="n">
        <v>46258</v>
      </c>
      <c r="F544" t="inlineStr">
        <is>
          <t>SKÅNE LÄN</t>
        </is>
      </c>
      <c r="G544" t="inlineStr">
        <is>
          <t>KRISTIANSTAD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46258</v>
      </c>
      <c r="F545" t="inlineStr">
        <is>
          <t>SKÅNE LÄN</t>
        </is>
      </c>
      <c r="G545" t="inlineStr">
        <is>
          <t>KRISTIANSTAD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13070-2023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45002</v>
      </c>
      <c r="E546" s="1" t="n">
        <v>46258</v>
      </c>
      <c r="F546" t="inlineStr">
        <is>
          <t>SKÅNE LÄN</t>
        </is>
      </c>
      <c r="G546" t="inlineStr">
        <is>
          <t>KRISTIANSTAD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46258</v>
      </c>
      <c r="F547" t="inlineStr">
        <is>
          <t>SKÅNE LÄN</t>
        </is>
      </c>
      <c r="G547" t="inlineStr">
        <is>
          <t>KRISTIANSTAD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45465</v>
      </c>
      <c r="E548" s="1" t="n">
        <v>46258</v>
      </c>
      <c r="F548" t="inlineStr">
        <is>
          <t>SKÅNE LÄN</t>
        </is>
      </c>
      <c r="G548" t="inlineStr">
        <is>
          <t>KRISTIANSTAD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46258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42092-2025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45903</v>
      </c>
      <c r="E550" s="1" t="n">
        <v>46258</v>
      </c>
      <c r="F550" t="inlineStr">
        <is>
          <t>SKÅNE LÄN</t>
        </is>
      </c>
      <c r="G550" t="inlineStr">
        <is>
          <t>KRISTIANSTAD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14442-2023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46258</v>
      </c>
      <c r="F551" t="inlineStr">
        <is>
          <t>SKÅNE LÄN</t>
        </is>
      </c>
      <c r="G551" t="inlineStr">
        <is>
          <t>KRISTIANSTAD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22504-2022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44713</v>
      </c>
      <c r="E552" s="1" t="n">
        <v>46258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45607</v>
      </c>
      <c r="E553" s="1" t="n">
        <v>46258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51898-2024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45607</v>
      </c>
      <c r="E554" s="1" t="n">
        <v>46258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7546-2022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44607</v>
      </c>
      <c r="E555" s="1" t="n">
        <v>46258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46258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19.8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46258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46258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45763</v>
      </c>
      <c r="E559" s="1" t="n">
        <v>46258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46258</v>
      </c>
      <c r="F560" t="inlineStr">
        <is>
          <t>SKÅNE LÄN</t>
        </is>
      </c>
      <c r="G560" t="inlineStr">
        <is>
          <t>KRISTIANSTAD</t>
        </is>
      </c>
      <c r="H560" t="inlineStr">
        <is>
          <t>Övriga Aktiebolag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46182-2024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45581</v>
      </c>
      <c r="E561" s="1" t="n">
        <v>46258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46214</v>
      </c>
      <c r="E562" s="1" t="n">
        <v>46258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46258</v>
      </c>
      <c r="F563" t="inlineStr">
        <is>
          <t>SKÅNE LÄN</t>
        </is>
      </c>
      <c r="G563" t="inlineStr">
        <is>
          <t>KRISTIANSTAD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46258</v>
      </c>
      <c r="F564" t="inlineStr">
        <is>
          <t>SKÅNE LÄN</t>
        </is>
      </c>
      <c r="G564" t="inlineStr">
        <is>
          <t>KRISTIANSTAD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38121-2025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45882</v>
      </c>
      <c r="E565" s="1" t="n">
        <v>46258</v>
      </c>
      <c r="F565" t="inlineStr">
        <is>
          <t>SKÅNE LÄN</t>
        </is>
      </c>
      <c r="G565" t="inlineStr">
        <is>
          <t>KRISTIANSTAD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45228</v>
      </c>
      <c r="E566" s="1" t="n">
        <v>46258</v>
      </c>
      <c r="F566" t="inlineStr">
        <is>
          <t>SKÅNE LÄN</t>
        </is>
      </c>
      <c r="G566" t="inlineStr">
        <is>
          <t>KRISTIANSTAD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45926</v>
      </c>
      <c r="E567" s="1" t="n">
        <v>46258</v>
      </c>
      <c r="F567" t="inlineStr">
        <is>
          <t>SKÅNE LÄN</t>
        </is>
      </c>
      <c r="G567" t="inlineStr">
        <is>
          <t>KRISTIANSTAD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46057</v>
      </c>
      <c r="E568" s="1" t="n">
        <v>46258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31219-2026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46217</v>
      </c>
      <c r="E569" s="1" t="n">
        <v>46258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61491-2024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46258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46258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49143-2025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45938</v>
      </c>
      <c r="E572" s="1" t="n">
        <v>46258</v>
      </c>
      <c r="F572" t="inlineStr">
        <is>
          <t>SKÅNE LÄN</t>
        </is>
      </c>
      <c r="G572" t="inlineStr">
        <is>
          <t>KRISTIANSTAD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46258</v>
      </c>
      <c r="F573" t="inlineStr">
        <is>
          <t>SKÅNE LÄN</t>
        </is>
      </c>
      <c r="G573" t="inlineStr">
        <is>
          <t>KRISTIANSTAD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31292-2026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46218</v>
      </c>
      <c r="E574" s="1" t="n">
        <v>46258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46258</v>
      </c>
      <c r="F575" t="inlineStr">
        <is>
          <t>SKÅNE LÄN</t>
        </is>
      </c>
      <c r="G575" t="inlineStr">
        <is>
          <t>KRISTIANSTAD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46258</v>
      </c>
      <c r="F576" t="inlineStr">
        <is>
          <t>SKÅNE LÄN</t>
        </is>
      </c>
      <c r="G576" t="inlineStr">
        <is>
          <t>KRISTIANSTAD</t>
        </is>
      </c>
      <c r="I576" t="n">
        <v>15.8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46258</v>
      </c>
      <c r="F577" t="inlineStr">
        <is>
          <t>SKÅNE LÄN</t>
        </is>
      </c>
      <c r="G577" t="inlineStr">
        <is>
          <t>KRISTIANSTAD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46223</v>
      </c>
      <c r="E578" s="1" t="n">
        <v>46258</v>
      </c>
      <c r="F578" t="inlineStr">
        <is>
          <t>SKÅNE LÄN</t>
        </is>
      </c>
      <c r="G578" t="inlineStr">
        <is>
          <t>KRISTIANSTAD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45014</v>
      </c>
      <c r="E579" s="1" t="n">
        <v>46258</v>
      </c>
      <c r="F579" t="inlineStr">
        <is>
          <t>SKÅNE LÄN</t>
        </is>
      </c>
      <c r="G579" t="inlineStr">
        <is>
          <t>KRISTIANSTAD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46258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46258</v>
      </c>
      <c r="F581" t="inlineStr">
        <is>
          <t>SKÅNE LÄN</t>
        </is>
      </c>
      <c r="G581" t="inlineStr">
        <is>
          <t>KRISTIANSTAD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45415</v>
      </c>
      <c r="E582" s="1" t="n">
        <v>46258</v>
      </c>
      <c r="F582" t="inlineStr">
        <is>
          <t>SKÅNE LÄN</t>
        </is>
      </c>
      <c r="G582" t="inlineStr">
        <is>
          <t>KRISTIANSTAD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12235-2023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46258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15322-2023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46258</v>
      </c>
      <c r="F584" t="inlineStr">
        <is>
          <t>SKÅNE LÄN</t>
        </is>
      </c>
      <c r="G584" t="inlineStr">
        <is>
          <t>KRISTIANSTAD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46258</v>
      </c>
      <c r="F585" t="inlineStr">
        <is>
          <t>SKÅNE LÄN</t>
        </is>
      </c>
      <c r="G585" t="inlineStr">
        <is>
          <t>KRISTIANSTAD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61198-2021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44497</v>
      </c>
      <c r="E586" s="1" t="n">
        <v>46258</v>
      </c>
      <c r="F586" t="inlineStr">
        <is>
          <t>SKÅNE LÄN</t>
        </is>
      </c>
      <c r="G586" t="inlineStr">
        <is>
          <t>KRISTIANSTAD</t>
        </is>
      </c>
      <c r="I586" t="n">
        <v>13.8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46258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46222</v>
      </c>
      <c r="E588" s="1" t="n">
        <v>46258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45812</v>
      </c>
      <c r="E589" s="1" t="n">
        <v>46258</v>
      </c>
      <c r="F589" t="inlineStr">
        <is>
          <t>SKÅNE LÄN</t>
        </is>
      </c>
      <c r="G589" t="inlineStr">
        <is>
          <t>KRISTIANSTAD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45307</v>
      </c>
      <c r="E590" s="1" t="n">
        <v>46258</v>
      </c>
      <c r="F590" t="inlineStr">
        <is>
          <t>SKÅNE LÄN</t>
        </is>
      </c>
      <c r="G590" t="inlineStr">
        <is>
          <t>KRISTIANSTAD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58269-2022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44894</v>
      </c>
      <c r="E591" s="1" t="n">
        <v>46258</v>
      </c>
      <c r="F591" t="inlineStr">
        <is>
          <t>SKÅNE LÄN</t>
        </is>
      </c>
      <c r="G591" t="inlineStr">
        <is>
          <t>KRISTIANSTAD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46258</v>
      </c>
      <c r="F592" t="inlineStr">
        <is>
          <t>SKÅNE LÄN</t>
        </is>
      </c>
      <c r="G592" t="inlineStr">
        <is>
          <t>KRISTIANSTAD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40000-2025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45894</v>
      </c>
      <c r="E593" s="1" t="n">
        <v>46258</v>
      </c>
      <c r="F593" t="inlineStr">
        <is>
          <t>SKÅNE LÄN</t>
        </is>
      </c>
      <c r="G593" t="inlineStr">
        <is>
          <t>KRISTIANSTAD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45831</v>
      </c>
      <c r="E594" s="1" t="n">
        <v>46258</v>
      </c>
      <c r="F594" t="inlineStr">
        <is>
          <t>SKÅNE LÄN</t>
        </is>
      </c>
      <c r="G594" t="inlineStr">
        <is>
          <t>KRISTIANSTAD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46083</v>
      </c>
      <c r="E595" s="1" t="n">
        <v>46258</v>
      </c>
      <c r="F595" t="inlineStr">
        <is>
          <t>SKÅNE LÄN</t>
        </is>
      </c>
      <c r="G595" t="inlineStr">
        <is>
          <t>KRISTIANSTAD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45894</v>
      </c>
      <c r="E596" s="1" t="n">
        <v>46258</v>
      </c>
      <c r="F596" t="inlineStr">
        <is>
          <t>SKÅNE LÄN</t>
        </is>
      </c>
      <c r="G596" t="inlineStr">
        <is>
          <t>KRISTIANSTAD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45894</v>
      </c>
      <c r="E597" s="1" t="n">
        <v>46258</v>
      </c>
      <c r="F597" t="inlineStr">
        <is>
          <t>SKÅNE LÄN</t>
        </is>
      </c>
      <c r="G597" t="inlineStr">
        <is>
          <t>KRISTIANSTAD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46258</v>
      </c>
      <c r="F598" t="inlineStr">
        <is>
          <t>SKÅNE LÄN</t>
        </is>
      </c>
      <c r="G598" t="inlineStr">
        <is>
          <t>KRISTIANSTAD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38173-2025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46258</v>
      </c>
      <c r="F599" t="inlineStr">
        <is>
          <t>SKÅNE LÄN</t>
        </is>
      </c>
      <c r="G599" t="inlineStr">
        <is>
          <t>KRISTIANSTAD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46258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45300</v>
      </c>
      <c r="E601" s="1" t="n">
        <v>46258</v>
      </c>
      <c r="F601" t="inlineStr">
        <is>
          <t>SKÅNE LÄN</t>
        </is>
      </c>
      <c r="G601" t="inlineStr">
        <is>
          <t>KRISTIANSTAD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46258</v>
      </c>
      <c r="F602" t="inlineStr">
        <is>
          <t>SKÅNE LÄN</t>
        </is>
      </c>
      <c r="G602" t="inlineStr">
        <is>
          <t>KRISTIANSTAD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26827-2024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46258</v>
      </c>
      <c r="F603" t="inlineStr">
        <is>
          <t>SKÅNE LÄN</t>
        </is>
      </c>
      <c r="G603" t="inlineStr">
        <is>
          <t>KRISTIANSTAD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46258</v>
      </c>
      <c r="F604" t="inlineStr">
        <is>
          <t>SKÅNE LÄN</t>
        </is>
      </c>
      <c r="G604" t="inlineStr">
        <is>
          <t>KRISTIANSTAD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46258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45098</v>
      </c>
      <c r="E606" s="1" t="n">
        <v>46258</v>
      </c>
      <c r="F606" t="inlineStr">
        <is>
          <t>SKÅNE LÄN</t>
        </is>
      </c>
      <c r="G606" t="inlineStr">
        <is>
          <t>KRISTIANSTAD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46092</v>
      </c>
      <c r="E607" s="1" t="n">
        <v>46258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52064-2024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45608</v>
      </c>
      <c r="E608" s="1" t="n">
        <v>46258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56930-2022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44894</v>
      </c>
      <c r="E609" s="1" t="n">
        <v>46258</v>
      </c>
      <c r="F609" t="inlineStr">
        <is>
          <t>SKÅNE LÄN</t>
        </is>
      </c>
      <c r="G609" t="inlineStr">
        <is>
          <t>KRISTIANSTAD</t>
        </is>
      </c>
      <c r="H609" t="inlineStr">
        <is>
          <t>Kyrkan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45321</v>
      </c>
      <c r="E610" s="1" t="n">
        <v>46258</v>
      </c>
      <c r="F610" t="inlineStr">
        <is>
          <t>SKÅNE LÄN</t>
        </is>
      </c>
      <c r="G610" t="inlineStr">
        <is>
          <t>KRISTIANSTAD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46258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13444-2026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46258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45315</v>
      </c>
      <c r="E613" s="1" t="n">
        <v>46258</v>
      </c>
      <c r="F613" t="inlineStr">
        <is>
          <t>SKÅNE LÄN</t>
        </is>
      </c>
      <c r="G613" t="inlineStr">
        <is>
          <t>KRISTIANSTAD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45668</v>
      </c>
      <c r="E614" s="1" t="n">
        <v>46258</v>
      </c>
      <c r="F614" t="inlineStr">
        <is>
          <t>SKÅNE LÄN</t>
        </is>
      </c>
      <c r="G614" t="inlineStr">
        <is>
          <t>KRISTIANSTAD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46258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41636-2025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45902</v>
      </c>
      <c r="E616" s="1" t="n">
        <v>46258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46258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46258</v>
      </c>
      <c r="F618" t="inlineStr">
        <is>
          <t>SKÅNE LÄN</t>
        </is>
      </c>
      <c r="G618" t="inlineStr">
        <is>
          <t>KRISTIANSTAD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13587-2026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46095</v>
      </c>
      <c r="E619" s="1" t="n">
        <v>46258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10.9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46258</v>
      </c>
      <c r="F620" t="inlineStr">
        <is>
          <t>SKÅNE LÄN</t>
        </is>
      </c>
      <c r="G620" t="inlineStr">
        <is>
          <t>KRISTIANSTAD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45566</v>
      </c>
      <c r="E621" s="1" t="n">
        <v>46258</v>
      </c>
      <c r="F621" t="inlineStr">
        <is>
          <t>SKÅNE LÄN</t>
        </is>
      </c>
      <c r="G621" t="inlineStr">
        <is>
          <t>KRISTIANSTAD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46258</v>
      </c>
      <c r="F622" t="inlineStr">
        <is>
          <t>SKÅNE LÄN</t>
        </is>
      </c>
      <c r="G622" t="inlineStr">
        <is>
          <t>KRISTIANSTAD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15957-2023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45022</v>
      </c>
      <c r="E623" s="1" t="n">
        <v>46258</v>
      </c>
      <c r="F623" t="inlineStr">
        <is>
          <t>SKÅNE LÄN</t>
        </is>
      </c>
      <c r="G623" t="inlineStr">
        <is>
          <t>KRISTIANSTAD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46258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8804-2025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46258</v>
      </c>
      <c r="F625" t="inlineStr">
        <is>
          <t>SKÅNE LÄN</t>
        </is>
      </c>
      <c r="G625" t="inlineStr">
        <is>
          <t>KRISTIANSTAD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59597-2023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45254</v>
      </c>
      <c r="E626" s="1" t="n">
        <v>46258</v>
      </c>
      <c r="F626" t="inlineStr">
        <is>
          <t>SKÅNE LÄN</t>
        </is>
      </c>
      <c r="G626" t="inlineStr">
        <is>
          <t>KRISTIANSTAD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44963</v>
      </c>
      <c r="E627" s="1" t="n">
        <v>46258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46258</v>
      </c>
      <c r="F628" t="inlineStr">
        <is>
          <t>SKÅNE LÄN</t>
        </is>
      </c>
      <c r="G628" t="inlineStr">
        <is>
          <t>KRISTIANSTAD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46258</v>
      </c>
      <c r="F629" t="inlineStr">
        <is>
          <t>SKÅNE LÄN</t>
        </is>
      </c>
      <c r="G629" t="inlineStr">
        <is>
          <t>KRISTIANSTAD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46258</v>
      </c>
      <c r="F630" t="inlineStr">
        <is>
          <t>SKÅNE LÄN</t>
        </is>
      </c>
      <c r="G630" t="inlineStr">
        <is>
          <t>KRISTIANSTAD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62350-2023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45267</v>
      </c>
      <c r="E631" s="1" t="n">
        <v>46258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45394</v>
      </c>
      <c r="E632" s="1" t="n">
        <v>46258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42293-2023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45180</v>
      </c>
      <c r="E633" s="1" t="n">
        <v>46258</v>
      </c>
      <c r="F633" t="inlineStr">
        <is>
          <t>SKÅNE LÄN</t>
        </is>
      </c>
      <c r="G633" t="inlineStr">
        <is>
          <t>KRISTIANSTAD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45379</v>
      </c>
      <c r="E634" s="1" t="n">
        <v>46258</v>
      </c>
      <c r="F634" t="inlineStr">
        <is>
          <t>SKÅNE LÄN</t>
        </is>
      </c>
      <c r="G634" t="inlineStr">
        <is>
          <t>KRISTIANSTAD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46258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64844-2023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45282</v>
      </c>
      <c r="E636" s="1" t="n">
        <v>46258</v>
      </c>
      <c r="F636" t="inlineStr">
        <is>
          <t>SKÅNE LÄN</t>
        </is>
      </c>
      <c r="G636" t="inlineStr">
        <is>
          <t>KRISTIANSTAD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45465</v>
      </c>
      <c r="E637" s="1" t="n">
        <v>46258</v>
      </c>
      <c r="F637" t="inlineStr">
        <is>
          <t>SKÅNE LÄN</t>
        </is>
      </c>
      <c r="G637" t="inlineStr">
        <is>
          <t>KRISTIANSTAD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37983-2024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45544</v>
      </c>
      <c r="E638" s="1" t="n">
        <v>46258</v>
      </c>
      <c r="F638" t="inlineStr">
        <is>
          <t>SKÅNE LÄN</t>
        </is>
      </c>
      <c r="G638" t="inlineStr">
        <is>
          <t>KRISTIANSTAD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45119</v>
      </c>
      <c r="E639" s="1" t="n">
        <v>46258</v>
      </c>
      <c r="F639" t="inlineStr">
        <is>
          <t>SKÅNE LÄN</t>
        </is>
      </c>
      <c r="G639" t="inlineStr">
        <is>
          <t>KRISTIANSTAD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49520-2021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44455</v>
      </c>
      <c r="E640" s="1" t="n">
        <v>46258</v>
      </c>
      <c r="F640" t="inlineStr">
        <is>
          <t>SKÅNE LÄN</t>
        </is>
      </c>
      <c r="G640" t="inlineStr">
        <is>
          <t>KRISTIANSTAD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46258</v>
      </c>
      <c r="F641" t="inlineStr">
        <is>
          <t>SKÅNE LÄN</t>
        </is>
      </c>
      <c r="G641" t="inlineStr">
        <is>
          <t>KRISTIANSTAD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46258</v>
      </c>
      <c r="F642" t="inlineStr">
        <is>
          <t>SKÅNE LÄN</t>
        </is>
      </c>
      <c r="G642" t="inlineStr">
        <is>
          <t>KRISTIANSTAD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46258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17515-2026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46258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46258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46258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7055-2024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45343</v>
      </c>
      <c r="E647" s="1" t="n">
        <v>46258</v>
      </c>
      <c r="F647" t="inlineStr">
        <is>
          <t>SKÅNE LÄN</t>
        </is>
      </c>
      <c r="G647" t="inlineStr">
        <is>
          <t>KRISTIANSTAD</t>
        </is>
      </c>
      <c r="H647" t="inlineStr">
        <is>
          <t>Sveaskog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47232-2024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45586</v>
      </c>
      <c r="E648" s="1" t="n">
        <v>46258</v>
      </c>
      <c r="F648" t="inlineStr">
        <is>
          <t>SKÅNE LÄN</t>
        </is>
      </c>
      <c r="G648" t="inlineStr">
        <is>
          <t>KRISTIANSTAD</t>
        </is>
      </c>
      <c r="H648" t="inlineStr">
        <is>
          <t>Övriga Aktiebolag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46129</v>
      </c>
      <c r="E649" s="1" t="n">
        <v>46258</v>
      </c>
      <c r="F649" t="inlineStr">
        <is>
          <t>SKÅNE LÄN</t>
        </is>
      </c>
      <c r="G649" t="inlineStr">
        <is>
          <t>KRISTIANSTAD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62397-2022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44923</v>
      </c>
      <c r="E650" s="1" t="n">
        <v>46258</v>
      </c>
      <c r="F650" t="inlineStr">
        <is>
          <t>SKÅNE LÄN</t>
        </is>
      </c>
      <c r="G650" t="inlineStr">
        <is>
          <t>KRISTIANSTAD</t>
        </is>
      </c>
      <c r="I650" t="n">
        <v>12.6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17371-2024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45414</v>
      </c>
      <c r="E651" s="1" t="n">
        <v>46258</v>
      </c>
      <c r="F651" t="inlineStr">
        <is>
          <t>SKÅNE LÄN</t>
        </is>
      </c>
      <c r="G651" t="inlineStr">
        <is>
          <t>KRISTIANSTAD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46258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61348-2024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45646</v>
      </c>
      <c r="E653" s="1" t="n">
        <v>46258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45334</v>
      </c>
      <c r="E654" s="1" t="n">
        <v>46258</v>
      </c>
      <c r="F654" t="inlineStr">
        <is>
          <t>SKÅNE LÄN</t>
        </is>
      </c>
      <c r="G654" t="inlineStr">
        <is>
          <t>KRISTIANSTAD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46258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46258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7565-2023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44972</v>
      </c>
      <c r="E657" s="1" t="n">
        <v>46258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46258</v>
      </c>
      <c r="F658" t="inlineStr">
        <is>
          <t>SKÅNE LÄN</t>
        </is>
      </c>
      <c r="G658" t="inlineStr">
        <is>
          <t>KRISTIANSTAD</t>
        </is>
      </c>
      <c r="H658" t="inlineStr">
        <is>
          <t>Övriga Aktiebolag</t>
        </is>
      </c>
      <c r="I658" t="n">
        <v>19.7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45015</v>
      </c>
      <c r="E659" s="1" t="n">
        <v>46258</v>
      </c>
      <c r="F659" t="inlineStr">
        <is>
          <t>SKÅNE LÄN</t>
        </is>
      </c>
      <c r="G659" t="inlineStr">
        <is>
          <t>KRISTIANSTAD</t>
        </is>
      </c>
      <c r="H659" t="inlineStr">
        <is>
          <t>Kyrkan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27979-2024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46258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6349-2024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45338</v>
      </c>
      <c r="E661" s="1" t="n">
        <v>46258</v>
      </c>
      <c r="F661" t="inlineStr">
        <is>
          <t>SKÅNE LÄN</t>
        </is>
      </c>
      <c r="G661" t="inlineStr">
        <is>
          <t>KRISTIANSTAD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34348-2024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45525</v>
      </c>
      <c r="E662" s="1" t="n">
        <v>46258</v>
      </c>
      <c r="F662" t="inlineStr">
        <is>
          <t>SKÅNE LÄN</t>
        </is>
      </c>
      <c r="G662" t="inlineStr">
        <is>
          <t>KRISTIANSTAD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45716</v>
      </c>
      <c r="E663" s="1" t="n">
        <v>46258</v>
      </c>
      <c r="F663" t="inlineStr">
        <is>
          <t>SKÅNE LÄN</t>
        </is>
      </c>
      <c r="G663" t="inlineStr">
        <is>
          <t>KRISTIANSTAD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46258</v>
      </c>
      <c r="F664" t="inlineStr">
        <is>
          <t>SKÅNE LÄN</t>
        </is>
      </c>
      <c r="G664" t="inlineStr">
        <is>
          <t>KRISTIANSTAD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46258</v>
      </c>
      <c r="F665" t="inlineStr">
        <is>
          <t>SKÅNE LÄN</t>
        </is>
      </c>
      <c r="G665" t="inlineStr">
        <is>
          <t>KRISTIANSTAD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46258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24930-2024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45461</v>
      </c>
      <c r="E667" s="1" t="n">
        <v>46258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33701-2026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46250</v>
      </c>
      <c r="E668" s="1" t="n">
        <v>46258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20302-2026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46136</v>
      </c>
      <c r="E669" s="1" t="n">
        <v>46258</v>
      </c>
      <c r="F669" t="inlineStr">
        <is>
          <t>SKÅNE LÄN</t>
        </is>
      </c>
      <c r="G669" t="inlineStr">
        <is>
          <t>KRISTIANSTAD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27613-2024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45474</v>
      </c>
      <c r="E670" s="1" t="n">
        <v>46258</v>
      </c>
      <c r="F670" t="inlineStr">
        <is>
          <t>SKÅNE LÄN</t>
        </is>
      </c>
      <c r="G670" t="inlineStr">
        <is>
          <t>KRISTIANSTAD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48217-2022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44853</v>
      </c>
      <c r="E671" s="1" t="n">
        <v>46258</v>
      </c>
      <c r="F671" t="inlineStr">
        <is>
          <t>SKÅNE LÄN</t>
        </is>
      </c>
      <c r="G671" t="inlineStr">
        <is>
          <t>KRISTIANSTAD</t>
        </is>
      </c>
      <c r="H671" t="inlineStr">
        <is>
          <t>Kyrkan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33702-2026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46250</v>
      </c>
      <c r="E672" s="1" t="n">
        <v>46258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59302-2023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45253</v>
      </c>
      <c r="E673" s="1" t="n">
        <v>46258</v>
      </c>
      <c r="F673" t="inlineStr">
        <is>
          <t>SKÅNE LÄN</t>
        </is>
      </c>
      <c r="G673" t="inlineStr">
        <is>
          <t>KRISTIANSTAD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48217-2022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46258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30845-2022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44767</v>
      </c>
      <c r="E675" s="1" t="n">
        <v>46258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45777</v>
      </c>
      <c r="E676" s="1" t="n">
        <v>46258</v>
      </c>
      <c r="F676" t="inlineStr">
        <is>
          <t>SKÅNE LÄN</t>
        </is>
      </c>
      <c r="G676" t="inlineStr">
        <is>
          <t>KRISTIANSTAD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44732</v>
      </c>
      <c r="E677" s="1" t="n">
        <v>46258</v>
      </c>
      <c r="F677" t="inlineStr">
        <is>
          <t>SKÅNE LÄN</t>
        </is>
      </c>
      <c r="G677" t="inlineStr">
        <is>
          <t>KRISTIANSTAD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44995</v>
      </c>
      <c r="E678" s="1" t="n">
        <v>46258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34291-2026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46258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15887-2025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45749</v>
      </c>
      <c r="E680" s="1" t="n">
        <v>46258</v>
      </c>
      <c r="F680" t="inlineStr">
        <is>
          <t>SKÅNE LÄN</t>
        </is>
      </c>
      <c r="G680" t="inlineStr">
        <is>
          <t>KRISTIANSTAD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32156-2023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46258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44596</v>
      </c>
      <c r="E682" s="1" t="n">
        <v>46258</v>
      </c>
      <c r="F682" t="inlineStr">
        <is>
          <t>SKÅNE LÄN</t>
        </is>
      </c>
      <c r="G682" t="inlineStr">
        <is>
          <t>KRISTIANSTAD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44992</v>
      </c>
      <c r="E683" s="1" t="n">
        <v>46258</v>
      </c>
      <c r="F683" t="inlineStr">
        <is>
          <t>SKÅNE LÄN</t>
        </is>
      </c>
      <c r="G683" t="inlineStr">
        <is>
          <t>KRISTIANSTAD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46135</v>
      </c>
      <c r="E684" s="1" t="n">
        <v>46258</v>
      </c>
      <c r="F684" t="inlineStr">
        <is>
          <t>SKÅNE LÄN</t>
        </is>
      </c>
      <c r="G684" t="inlineStr">
        <is>
          <t>KRISTIANSTAD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46258</v>
      </c>
      <c r="F685" t="inlineStr">
        <is>
          <t>SKÅNE LÄN</t>
        </is>
      </c>
      <c r="G685" t="inlineStr">
        <is>
          <t>KRISTIANSTAD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46258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45165</v>
      </c>
      <c r="E687" s="1" t="n">
        <v>46258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45482</v>
      </c>
      <c r="E688" s="1" t="n">
        <v>46258</v>
      </c>
      <c r="F688" t="inlineStr">
        <is>
          <t>SKÅNE LÄN</t>
        </is>
      </c>
      <c r="G688" t="inlineStr">
        <is>
          <t>KRISTIANSTAD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34294-2026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46253</v>
      </c>
      <c r="E689" s="1" t="n">
        <v>46258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46258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46189</v>
      </c>
      <c r="E691" s="1" t="n">
        <v>46258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46258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46258</v>
      </c>
      <c r="F693" t="inlineStr">
        <is>
          <t>SKÅNE LÄN</t>
        </is>
      </c>
      <c r="G693" t="inlineStr">
        <is>
          <t>KRISTIANSTAD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46212</v>
      </c>
      <c r="E694" s="1" t="n">
        <v>46258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46212</v>
      </c>
      <c r="E695" s="1" t="n">
        <v>46258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57976-2023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46258</v>
      </c>
      <c r="F696" t="inlineStr">
        <is>
          <t>SKÅNE LÄN</t>
        </is>
      </c>
      <c r="G696" t="inlineStr">
        <is>
          <t>KRISTIANSTAD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30844-2026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46212</v>
      </c>
      <c r="E697" s="1" t="n">
        <v>46258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46212</v>
      </c>
      <c r="E698" s="1" t="n">
        <v>46258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46258</v>
      </c>
      <c r="F699" t="inlineStr">
        <is>
          <t>SKÅNE LÄN</t>
        </is>
      </c>
      <c r="G699" t="inlineStr">
        <is>
          <t>KRISTIANSTAD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46258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44933</v>
      </c>
      <c r="E701" s="1" t="n">
        <v>46258</v>
      </c>
      <c r="F701" t="inlineStr">
        <is>
          <t>SKÅNE LÄN</t>
        </is>
      </c>
      <c r="G701" t="inlineStr">
        <is>
          <t>KRISTIANSTAD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46258</v>
      </c>
      <c r="F702" t="inlineStr">
        <is>
          <t>SKÅNE LÄN</t>
        </is>
      </c>
      <c r="G702" t="inlineStr">
        <is>
          <t>KRISTIANSTAD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20651-2026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46141</v>
      </c>
      <c r="E703" s="1" t="n">
        <v>46258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46258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63931-2023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45278</v>
      </c>
      <c r="E705" s="1" t="n">
        <v>46258</v>
      </c>
      <c r="F705" t="inlineStr">
        <is>
          <t>SKÅNE LÄN</t>
        </is>
      </c>
      <c r="G705" t="inlineStr">
        <is>
          <t>KRISTIANSTAD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63942-2023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45278</v>
      </c>
      <c r="E706" s="1" t="n">
        <v>46258</v>
      </c>
      <c r="F706" t="inlineStr">
        <is>
          <t>SKÅNE LÄN</t>
        </is>
      </c>
      <c r="G706" t="inlineStr">
        <is>
          <t>KRISTIANSTAD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45506</v>
      </c>
      <c r="E707" s="1" t="n">
        <v>46258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32106-2023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45119</v>
      </c>
      <c r="E708" s="1" t="n">
        <v>46258</v>
      </c>
      <c r="F708" t="inlineStr">
        <is>
          <t>SKÅNE LÄN</t>
        </is>
      </c>
      <c r="G708" t="inlineStr">
        <is>
          <t>KRISTIANSTAD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46258</v>
      </c>
      <c r="F709" t="inlineStr">
        <is>
          <t>SKÅNE LÄN</t>
        </is>
      </c>
      <c r="G709" t="inlineStr">
        <is>
          <t>KRISTIANSTAD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34730-2023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45141</v>
      </c>
      <c r="E710" s="1" t="n">
        <v>46258</v>
      </c>
      <c r="F710" t="inlineStr">
        <is>
          <t>SKÅNE LÄN</t>
        </is>
      </c>
      <c r="G710" t="inlineStr">
        <is>
          <t>KRISTIANSTAD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49233-2022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44858</v>
      </c>
      <c r="E711" s="1" t="n">
        <v>46258</v>
      </c>
      <c r="F711" t="inlineStr">
        <is>
          <t>SKÅNE LÄN</t>
        </is>
      </c>
      <c r="G711" t="inlineStr">
        <is>
          <t>KRISTIANSTAD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17043-2024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45412</v>
      </c>
      <c r="E712" s="1" t="n">
        <v>46258</v>
      </c>
      <c r="F712" t="inlineStr">
        <is>
          <t>SKÅNE LÄN</t>
        </is>
      </c>
      <c r="G712" t="inlineStr">
        <is>
          <t>KRISTIANSTAD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53491-2021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44468</v>
      </c>
      <c r="E713" s="1" t="n">
        <v>46258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46258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46258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45121</v>
      </c>
      <c r="E716" s="1" t="n">
        <v>46258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45738</v>
      </c>
      <c r="E717" s="1" t="n">
        <v>46258</v>
      </c>
      <c r="F717" t="inlineStr">
        <is>
          <t>SKÅNE LÄN</t>
        </is>
      </c>
      <c r="G717" t="inlineStr">
        <is>
          <t>KRISTIANSTAD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45738</v>
      </c>
      <c r="E718" s="1" t="n">
        <v>46258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46147</v>
      </c>
      <c r="E719" s="1" t="n">
        <v>46258</v>
      </c>
      <c r="F719" t="inlineStr">
        <is>
          <t>SKÅNE LÄN</t>
        </is>
      </c>
      <c r="G719" t="inlineStr">
        <is>
          <t>KRISTIANSTAD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42916-2024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46258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45357</v>
      </c>
      <c r="E721" s="1" t="n">
        <v>46258</v>
      </c>
      <c r="F721" t="inlineStr">
        <is>
          <t>SKÅNE LÄN</t>
        </is>
      </c>
      <c r="G721" t="inlineStr">
        <is>
          <t>KRISTIANSTAD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46258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46258</v>
      </c>
      <c r="F723" t="inlineStr">
        <is>
          <t>SKÅNE LÄN</t>
        </is>
      </c>
      <c r="G723" t="inlineStr">
        <is>
          <t>KRISTIANSTAD</t>
        </is>
      </c>
      <c r="I723" t="n">
        <v>10.1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44442-2023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45189</v>
      </c>
      <c r="E724" s="1" t="n">
        <v>46258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45387</v>
      </c>
      <c r="E725" s="1" t="n">
        <v>46258</v>
      </c>
      <c r="F725" t="inlineStr">
        <is>
          <t>SKÅNE LÄN</t>
        </is>
      </c>
      <c r="G725" t="inlineStr">
        <is>
          <t>KRISTIANSTAD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22116-2026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46258</v>
      </c>
      <c r="F726" t="inlineStr">
        <is>
          <t>SKÅNE LÄN</t>
        </is>
      </c>
      <c r="G726" t="inlineStr">
        <is>
          <t>KRISTIANSTAD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46150</v>
      </c>
      <c r="E727" s="1" t="n">
        <v>46258</v>
      </c>
      <c r="F727" t="inlineStr">
        <is>
          <t>SKÅNE LÄN</t>
        </is>
      </c>
      <c r="G727" t="inlineStr">
        <is>
          <t>KRISTIANSTAD</t>
        </is>
      </c>
      <c r="H727" t="inlineStr">
        <is>
          <t>Kommuner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10971-2023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44991</v>
      </c>
      <c r="E728" s="1" t="n">
        <v>46258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59625-2022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44907</v>
      </c>
      <c r="E729" s="1" t="n">
        <v>46258</v>
      </c>
      <c r="F729" t="inlineStr">
        <is>
          <t>SKÅNE LÄN</t>
        </is>
      </c>
      <c r="G729" t="inlineStr">
        <is>
          <t>KRISTIANSTAD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63681-2023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45275</v>
      </c>
      <c r="E730" s="1" t="n">
        <v>46258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32013-2023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45119</v>
      </c>
      <c r="E731" s="1" t="n">
        <v>46258</v>
      </c>
      <c r="F731" t="inlineStr">
        <is>
          <t>SKÅNE LÄN</t>
        </is>
      </c>
      <c r="G731" t="inlineStr">
        <is>
          <t>KRISTIANSTAD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10961-2025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46258</v>
      </c>
      <c r="F732" t="inlineStr">
        <is>
          <t>SKÅNE LÄN</t>
        </is>
      </c>
      <c r="G732" t="inlineStr">
        <is>
          <t>KRISTIANSTAD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19642-2022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44694</v>
      </c>
      <c r="E733" s="1" t="n">
        <v>46258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44946</v>
      </c>
      <c r="E734" s="1" t="n">
        <v>46258</v>
      </c>
      <c r="F734" t="inlineStr">
        <is>
          <t>SKÅNE LÄN</t>
        </is>
      </c>
      <c r="G734" t="inlineStr">
        <is>
          <t>KRISTIANSTAD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46258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45776</v>
      </c>
      <c r="E736" s="1" t="n">
        <v>46258</v>
      </c>
      <c r="F736" t="inlineStr">
        <is>
          <t>SKÅNE LÄN</t>
        </is>
      </c>
      <c r="G736" t="inlineStr">
        <is>
          <t>KRISTIANSTAD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36907-2025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45874</v>
      </c>
      <c r="E737" s="1" t="n">
        <v>46258</v>
      </c>
      <c r="F737" t="inlineStr">
        <is>
          <t>SKÅNE LÄN</t>
        </is>
      </c>
      <c r="G737" t="inlineStr">
        <is>
          <t>KRISTIANSTAD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41023-2025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45898</v>
      </c>
      <c r="E738" s="1" t="n">
        <v>46258</v>
      </c>
      <c r="F738" t="inlineStr">
        <is>
          <t>SKÅNE LÄN</t>
        </is>
      </c>
      <c r="G738" t="inlineStr">
        <is>
          <t>KRISTIANSTAD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21992-2024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45443</v>
      </c>
      <c r="E739" s="1" t="n">
        <v>46258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45453</v>
      </c>
      <c r="E740" s="1" t="n">
        <v>46258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44538-2024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45574</v>
      </c>
      <c r="E741" s="1" t="n">
        <v>46258</v>
      </c>
      <c r="F741" t="inlineStr">
        <is>
          <t>SKÅNE LÄN</t>
        </is>
      </c>
      <c r="G741" t="inlineStr">
        <is>
          <t>KRISTIANSTAD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38849-2025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45887</v>
      </c>
      <c r="E742" s="1" t="n">
        <v>46258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46258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2472-2022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44579</v>
      </c>
      <c r="E744" s="1" t="n">
        <v>46258</v>
      </c>
      <c r="F744" t="inlineStr">
        <is>
          <t>SKÅNE LÄN</t>
        </is>
      </c>
      <c r="G744" t="inlineStr">
        <is>
          <t>KRISTIANSTAD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45414</v>
      </c>
      <c r="E745" s="1" t="n">
        <v>46258</v>
      </c>
      <c r="F745" t="inlineStr">
        <is>
          <t>SKÅNE LÄN</t>
        </is>
      </c>
      <c r="G745" t="inlineStr">
        <is>
          <t>KRISTIANSTAD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61137-2021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44497</v>
      </c>
      <c r="E746" s="1" t="n">
        <v>46258</v>
      </c>
      <c r="F746" t="inlineStr">
        <is>
          <t>SKÅNE LÄN</t>
        </is>
      </c>
      <c r="G746" t="inlineStr">
        <is>
          <t>KRISTIANSTAD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46258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11037-2024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45370</v>
      </c>
      <c r="E748" s="1" t="n">
        <v>46258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51248-2024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46258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52176-2023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45217</v>
      </c>
      <c r="E750" s="1" t="n">
        <v>46258</v>
      </c>
      <c r="F750" t="inlineStr">
        <is>
          <t>SKÅNE LÄN</t>
        </is>
      </c>
      <c r="G750" t="inlineStr">
        <is>
          <t>KRISTIANSTAD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55961-2023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45233</v>
      </c>
      <c r="E751" s="1" t="n">
        <v>46258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6858-2025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45700</v>
      </c>
      <c r="E752" s="1" t="n">
        <v>46258</v>
      </c>
      <c r="F752" t="inlineStr">
        <is>
          <t>SKÅNE LÄN</t>
        </is>
      </c>
      <c r="G752" t="inlineStr">
        <is>
          <t>KRISTIANSTAD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43321-2023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45183</v>
      </c>
      <c r="E753" s="1" t="n">
        <v>46258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32990-2024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45517</v>
      </c>
      <c r="E754" s="1" t="n">
        <v>46258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30893-2024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46258</v>
      </c>
      <c r="F755" t="inlineStr">
        <is>
          <t>SKÅNE LÄN</t>
        </is>
      </c>
      <c r="G755" t="inlineStr">
        <is>
          <t>KRISTIANSTAD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35937-2024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46258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24303-2025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45797</v>
      </c>
      <c r="E757" s="1" t="n">
        <v>46258</v>
      </c>
      <c r="F757" t="inlineStr">
        <is>
          <t>SKÅNE LÄN</t>
        </is>
      </c>
      <c r="G757" t="inlineStr">
        <is>
          <t>KRISTIANSTAD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46258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46258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46258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46258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46258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46258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46258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46258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46258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46258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46258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46258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46258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46258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46258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2146-2022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44676</v>
      </c>
      <c r="E773" s="1" t="n">
        <v>46258</v>
      </c>
      <c r="F773" t="inlineStr">
        <is>
          <t>SKÅNE LÄN</t>
        </is>
      </c>
      <c r="G773" t="inlineStr">
        <is>
          <t>KRISTIANSTAD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307-2023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44956</v>
      </c>
      <c r="E774" s="1" t="n">
        <v>46258</v>
      </c>
      <c r="F774" t="inlineStr">
        <is>
          <t>SKÅNE LÄN</t>
        </is>
      </c>
      <c r="G774" t="inlineStr">
        <is>
          <t>KRISTIANSTAD</t>
        </is>
      </c>
      <c r="I774" t="n">
        <v>11.9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1731-2023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45069</v>
      </c>
      <c r="E775" s="1" t="n">
        <v>46258</v>
      </c>
      <c r="F775" t="inlineStr">
        <is>
          <t>SKÅNE LÄN</t>
        </is>
      </c>
      <c r="G775" t="inlineStr">
        <is>
          <t>KRISTIANSTAD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2492-2023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45120</v>
      </c>
      <c r="E776" s="1" t="n">
        <v>46258</v>
      </c>
      <c r="F776" t="inlineStr">
        <is>
          <t>SKÅNE LÄN</t>
        </is>
      </c>
      <c r="G776" t="inlineStr">
        <is>
          <t>KRISTIANSTAD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45728</v>
      </c>
      <c r="E777" s="1" t="n">
        <v>46258</v>
      </c>
      <c r="F777" t="inlineStr">
        <is>
          <t>SKÅNE LÄN</t>
        </is>
      </c>
      <c r="G777" t="inlineStr">
        <is>
          <t>KRISTIANSTAD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476-2025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46258</v>
      </c>
      <c r="F778" t="inlineStr">
        <is>
          <t>SKÅNE LÄN</t>
        </is>
      </c>
      <c r="G778" t="inlineStr">
        <is>
          <t>KRISTIANSTAD</t>
        </is>
      </c>
      <c r="I778" t="n">
        <v>58.6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46258</v>
      </c>
      <c r="F779" t="inlineStr">
        <is>
          <t>SKÅNE LÄN</t>
        </is>
      </c>
      <c r="G779" t="inlineStr">
        <is>
          <t>KRISTIANSTAD</t>
        </is>
      </c>
      <c r="I779" t="n">
        <v>67.7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45726</v>
      </c>
      <c r="E780" s="1" t="n">
        <v>46258</v>
      </c>
      <c r="F780" t="inlineStr">
        <is>
          <t>SKÅNE LÄN</t>
        </is>
      </c>
      <c r="G780" t="inlineStr">
        <is>
          <t>KRISTIANSTAD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871-2025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45734</v>
      </c>
      <c r="E781" s="1" t="n">
        <v>46258</v>
      </c>
      <c r="F781" t="inlineStr">
        <is>
          <t>SKÅNE LÄN</t>
        </is>
      </c>
      <c r="G781" t="inlineStr">
        <is>
          <t>KRISTIANSTAD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1747-2025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46258</v>
      </c>
      <c r="F782" t="inlineStr">
        <is>
          <t>SKÅNE LÄN</t>
        </is>
      </c>
      <c r="G782" t="inlineStr">
        <is>
          <t>KRISTIANSTAD</t>
        </is>
      </c>
      <c r="I782" t="n">
        <v>11.3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46258</v>
      </c>
      <c r="F783" t="inlineStr">
        <is>
          <t>SKÅNE LÄN</t>
        </is>
      </c>
      <c r="G783" t="inlineStr">
        <is>
          <t>KRISTIANSTAD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1750-2025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46258</v>
      </c>
      <c r="F784" t="inlineStr">
        <is>
          <t>SKÅNE LÄN</t>
        </is>
      </c>
      <c r="G784" t="inlineStr">
        <is>
          <t>KRISTIANSTAD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2468-2025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45901</v>
      </c>
      <c r="E785" s="1" t="n">
        <v>46258</v>
      </c>
      <c r="F785" t="inlineStr">
        <is>
          <t>SKÅNE LÄN</t>
        </is>
      </c>
      <c r="G785" t="inlineStr">
        <is>
          <t>KRISTIANSTAD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45945</v>
      </c>
      <c r="E786" s="1" t="n">
        <v>46258</v>
      </c>
      <c r="F786" t="inlineStr">
        <is>
          <t>SKÅNE LÄN</t>
        </is>
      </c>
      <c r="G786" t="inlineStr">
        <is>
          <t>KRISTIANSTAD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2889-2025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45946</v>
      </c>
      <c r="E787" s="1" t="n">
        <v>46258</v>
      </c>
      <c r="F787" t="inlineStr">
        <is>
          <t>SKÅNE LÄN</t>
        </is>
      </c>
      <c r="G787" t="inlineStr">
        <is>
          <t>KRISTIANSTAD</t>
        </is>
      </c>
      <c r="I787" t="n">
        <v>43.6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1064-2026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46127</v>
      </c>
      <c r="E788" s="1" t="n">
        <v>46258</v>
      </c>
      <c r="F788" t="inlineStr">
        <is>
          <t>SKÅNE LÄN</t>
        </is>
      </c>
      <c r="G788" t="inlineStr">
        <is>
          <t>KRISTIANSTAD</t>
        </is>
      </c>
      <c r="I788" t="n">
        <v>69.8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1210-2026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46141</v>
      </c>
      <c r="E789" s="1" t="n">
        <v>46258</v>
      </c>
      <c r="F789" t="inlineStr">
        <is>
          <t>SKÅNE LÄN</t>
        </is>
      </c>
      <c r="G789" t="inlineStr">
        <is>
          <t>KRISTIANSTAD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1380-2026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46148</v>
      </c>
      <c r="E790" s="1" t="n">
        <v>46258</v>
      </c>
      <c r="F790" t="inlineStr">
        <is>
          <t>SKÅNE LÄN</t>
        </is>
      </c>
      <c r="G790" t="inlineStr">
        <is>
          <t>KRISTIANSTAD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2026-08-24T01:53:59Z</dcterms:created>
  <dcterms:modified xmlns:dcterms="http://purl.org/dc/terms/" xmlns:xsi="http://www.w3.org/2001/XMLSchema-instance" xsi:type="dcterms:W3CDTF">2026-08-24T01:53:59Z</dcterms:modified>
</cp:coreProperties>
</file>