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45583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45583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45583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45583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45583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45583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45583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45583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45583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45583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45583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45583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45583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45583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45583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45583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45583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45583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45583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45583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45583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45583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45583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45583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45583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45583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45583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45583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45583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45583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45583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45583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45583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45583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45911-2024</t>
        </is>
      </c>
      <c r="B36" s="1" t="n">
        <v>45580</v>
      </c>
      <c r="C36" s="1" t="n">
        <v>45583</v>
      </c>
      <c r="D36" t="inlineStr">
        <is>
          <t>SKÅNE LÄN</t>
        </is>
      </c>
      <c r="E36" t="inlineStr">
        <is>
          <t>KRISTIANSTAD</t>
        </is>
      </c>
      <c r="G36" t="n">
        <v>2.2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Lömsk flugsvamp
Svavelriska</t>
        </is>
      </c>
      <c r="S36">
        <f>HYPERLINK("https://klasma.github.io/Logging_1290/artfynd/A 45911-2024 artfynd.xlsx", "A 45911-2024")</f>
        <v/>
      </c>
      <c r="T36">
        <f>HYPERLINK("https://klasma.github.io/Logging_1290/kartor/A 45911-2024 karta.png", "A 45911-2024")</f>
        <v/>
      </c>
      <c r="V36">
        <f>HYPERLINK("https://klasma.github.io/Logging_1290/klagomål/A 45911-2024 FSC-klagomål.docx", "A 45911-2024")</f>
        <v/>
      </c>
      <c r="W36">
        <f>HYPERLINK("https://klasma.github.io/Logging_1290/klagomålsmail/A 45911-2024 FSC-klagomål mail.docx", "A 45911-2024")</f>
        <v/>
      </c>
      <c r="X36">
        <f>HYPERLINK("https://klasma.github.io/Logging_1290/tillsyn/A 45911-2024 tillsynsbegäran.docx", "A 45911-2024")</f>
        <v/>
      </c>
      <c r="Y36">
        <f>HYPERLINK("https://klasma.github.io/Logging_1290/tillsynsmail/A 45911-2024 tillsynsbegäran mail.docx", "A 45911-2024")</f>
        <v/>
      </c>
    </row>
    <row r="37" ht="15" customHeight="1">
      <c r="A37" t="inlineStr">
        <is>
          <t>A 38678-2019</t>
        </is>
      </c>
      <c r="B37" s="1" t="n">
        <v>43684</v>
      </c>
      <c r="C37" s="1" t="n">
        <v>45583</v>
      </c>
      <c r="D37" t="inlineStr">
        <is>
          <t>SKÅNE LÄN</t>
        </is>
      </c>
      <c r="E37" t="inlineStr">
        <is>
          <t>KRISTIANSTAD</t>
        </is>
      </c>
      <c r="G37" t="n">
        <v>2.5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HYPERLINK("https://klasma.github.io/Logging_1290/artfynd/A 38678-2019 artfynd.xlsx", "A 38678-2019")</f>
        <v/>
      </c>
      <c r="T37">
        <f>HYPERLINK("https://klasma.github.io/Logging_1290/kartor/A 38678-2019 karta.png", "A 38678-2019")</f>
        <v/>
      </c>
      <c r="V37">
        <f>HYPERLINK("https://klasma.github.io/Logging_1290/klagomål/A 38678-2019 FSC-klagomål.docx", "A 38678-2019")</f>
        <v/>
      </c>
      <c r="W37">
        <f>HYPERLINK("https://klasma.github.io/Logging_1290/klagomålsmail/A 38678-2019 FSC-klagomål mail.docx", "A 38678-2019")</f>
        <v/>
      </c>
      <c r="X37">
        <f>HYPERLINK("https://klasma.github.io/Logging_1290/tillsyn/A 38678-2019 tillsynsbegäran.docx", "A 38678-2019")</f>
        <v/>
      </c>
      <c r="Y37">
        <f>HYPERLINK("https://klasma.github.io/Logging_1290/tillsynsmail/A 38678-2019 tillsynsbegäran mail.docx", "A 38678-2019")</f>
        <v/>
      </c>
    </row>
    <row r="38" ht="15" customHeight="1">
      <c r="A38" t="inlineStr">
        <is>
          <t>A 46680-2019</t>
        </is>
      </c>
      <c r="B38" s="1" t="n">
        <v>43717</v>
      </c>
      <c r="C38" s="1" t="n">
        <v>45583</v>
      </c>
      <c r="D38" t="inlineStr">
        <is>
          <t>SKÅNE LÄN</t>
        </is>
      </c>
      <c r="E38" t="inlineStr">
        <is>
          <t>KRISTIANSTAD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46680-2019 artfynd.xlsx", "A 46680-2019")</f>
        <v/>
      </c>
      <c r="T38">
        <f>HYPERLINK("https://klasma.github.io/Logging_1290/kartor/A 46680-2019 karta.png", "A 46680-2019")</f>
        <v/>
      </c>
      <c r="V38">
        <f>HYPERLINK("https://klasma.github.io/Logging_1290/klagomål/A 46680-2019 FSC-klagomål.docx", "A 46680-2019")</f>
        <v/>
      </c>
      <c r="W38">
        <f>HYPERLINK("https://klasma.github.io/Logging_1290/klagomålsmail/A 46680-2019 FSC-klagomål mail.docx", "A 46680-2019")</f>
        <v/>
      </c>
      <c r="X38">
        <f>HYPERLINK("https://klasma.github.io/Logging_1290/tillsyn/A 46680-2019 tillsynsbegäran.docx", "A 46680-2019")</f>
        <v/>
      </c>
      <c r="Y38">
        <f>HYPERLINK("https://klasma.github.io/Logging_1290/tillsynsmail/A 46680-2019 tillsynsbegäran mail.docx", "A 46680-2019")</f>
        <v/>
      </c>
    </row>
    <row r="39" ht="15" customHeight="1">
      <c r="A39" t="inlineStr">
        <is>
          <t>A 30687-2020</t>
        </is>
      </c>
      <c r="B39" s="1" t="n">
        <v>44008</v>
      </c>
      <c r="C39" s="1" t="n">
        <v>45583</v>
      </c>
      <c r="D39" t="inlineStr">
        <is>
          <t>SKÅNE LÄN</t>
        </is>
      </c>
      <c r="E39" t="inlineStr">
        <is>
          <t>KRISTIANSTAD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Stortapetserarbi</t>
        </is>
      </c>
      <c r="S39">
        <f>HYPERLINK("https://klasma.github.io/Logging_1290/artfynd/A 30687-2020 artfynd.xlsx", "A 30687-2020")</f>
        <v/>
      </c>
      <c r="T39">
        <f>HYPERLINK("https://klasma.github.io/Logging_1290/kartor/A 30687-2020 karta.png", "A 30687-2020")</f>
        <v/>
      </c>
      <c r="V39">
        <f>HYPERLINK("https://klasma.github.io/Logging_1290/klagomål/A 30687-2020 FSC-klagomål.docx", "A 30687-2020")</f>
        <v/>
      </c>
      <c r="W39">
        <f>HYPERLINK("https://klasma.github.io/Logging_1290/klagomålsmail/A 30687-2020 FSC-klagomål mail.docx", "A 30687-2020")</f>
        <v/>
      </c>
      <c r="X39">
        <f>HYPERLINK("https://klasma.github.io/Logging_1290/tillsyn/A 30687-2020 tillsynsbegäran.docx", "A 30687-2020")</f>
        <v/>
      </c>
      <c r="Y39">
        <f>HYPERLINK("https://klasma.github.io/Logging_1290/tillsynsmail/A 30687-2020 tillsynsbegäran mail.docx", "A 30687-2020")</f>
        <v/>
      </c>
    </row>
    <row r="40" ht="15" customHeight="1">
      <c r="A40" t="inlineStr">
        <is>
          <t>A 42615-2020</t>
        </is>
      </c>
      <c r="B40" s="1" t="n">
        <v>44076</v>
      </c>
      <c r="C40" s="1" t="n">
        <v>45583</v>
      </c>
      <c r="D40" t="inlineStr">
        <is>
          <t>SKÅNE LÄN</t>
        </is>
      </c>
      <c r="E40" t="inlineStr">
        <is>
          <t>KRISTIANSTAD</t>
        </is>
      </c>
      <c r="G40" t="n">
        <v>7.5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Lamellsnäcka</t>
        </is>
      </c>
      <c r="S40">
        <f>HYPERLINK("https://klasma.github.io/Logging_1290/artfynd/A 42615-2020 artfynd.xlsx", "A 42615-2020")</f>
        <v/>
      </c>
      <c r="T40">
        <f>HYPERLINK("https://klasma.github.io/Logging_1290/kartor/A 42615-2020 karta.png", "A 42615-2020")</f>
        <v/>
      </c>
      <c r="V40">
        <f>HYPERLINK("https://klasma.github.io/Logging_1290/klagomål/A 42615-2020 FSC-klagomål.docx", "A 42615-2020")</f>
        <v/>
      </c>
      <c r="W40">
        <f>HYPERLINK("https://klasma.github.io/Logging_1290/klagomålsmail/A 42615-2020 FSC-klagomål mail.docx", "A 42615-2020")</f>
        <v/>
      </c>
      <c r="X40">
        <f>HYPERLINK("https://klasma.github.io/Logging_1290/tillsyn/A 42615-2020 tillsynsbegäran.docx", "A 42615-2020")</f>
        <v/>
      </c>
      <c r="Y40">
        <f>HYPERLINK("https://klasma.github.io/Logging_1290/tillsynsmail/A 42615-2020 tillsynsbegäran mail.docx", "A 42615-2020")</f>
        <v/>
      </c>
    </row>
    <row r="41" ht="15" customHeight="1">
      <c r="A41" t="inlineStr">
        <is>
          <t>A 21568-2021</t>
        </is>
      </c>
      <c r="B41" s="1" t="n">
        <v>44314</v>
      </c>
      <c r="C41" s="1" t="n">
        <v>45583</v>
      </c>
      <c r="D41" t="inlineStr">
        <is>
          <t>SKÅNE LÄN</t>
        </is>
      </c>
      <c r="E41" t="inlineStr">
        <is>
          <t>KRISTIANSTAD</t>
        </is>
      </c>
      <c r="G41" t="n">
        <v>18.4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21568-2021 artfynd.xlsx", "A 21568-2021")</f>
        <v/>
      </c>
      <c r="T41">
        <f>HYPERLINK("https://klasma.github.io/Logging_1290/kartor/A 21568-2021 karta.png", "A 21568-2021")</f>
        <v/>
      </c>
      <c r="V41">
        <f>HYPERLINK("https://klasma.github.io/Logging_1290/klagomål/A 21568-2021 FSC-klagomål.docx", "A 21568-2021")</f>
        <v/>
      </c>
      <c r="W41">
        <f>HYPERLINK("https://klasma.github.io/Logging_1290/klagomålsmail/A 21568-2021 FSC-klagomål mail.docx", "A 21568-2021")</f>
        <v/>
      </c>
      <c r="X41">
        <f>HYPERLINK("https://klasma.github.io/Logging_1290/tillsyn/A 21568-2021 tillsynsbegäran.docx", "A 21568-2021")</f>
        <v/>
      </c>
      <c r="Y41">
        <f>HYPERLINK("https://klasma.github.io/Logging_1290/tillsynsmail/A 21568-2021 tillsynsbegäran mail.docx", "A 21568-2021")</f>
        <v/>
      </c>
    </row>
    <row r="42" ht="15" customHeight="1">
      <c r="A42" t="inlineStr">
        <is>
          <t>A 22549-2021</t>
        </is>
      </c>
      <c r="B42" s="1" t="n">
        <v>44327</v>
      </c>
      <c r="C42" s="1" t="n">
        <v>45583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Lövgroda</t>
        </is>
      </c>
      <c r="S42">
        <f>HYPERLINK("https://klasma.github.io/Logging_1290/artfynd/A 22549-2021 artfynd.xlsx", "A 22549-2021")</f>
        <v/>
      </c>
      <c r="T42">
        <f>HYPERLINK("https://klasma.github.io/Logging_1290/kartor/A 22549-2021 karta.png", "A 22549-2021")</f>
        <v/>
      </c>
      <c r="V42">
        <f>HYPERLINK("https://klasma.github.io/Logging_1290/klagomål/A 22549-2021 FSC-klagomål.docx", "A 22549-2021")</f>
        <v/>
      </c>
      <c r="W42">
        <f>HYPERLINK("https://klasma.github.io/Logging_1290/klagomålsmail/A 22549-2021 FSC-klagomål mail.docx", "A 22549-2021")</f>
        <v/>
      </c>
      <c r="X42">
        <f>HYPERLINK("https://klasma.github.io/Logging_1290/tillsyn/A 22549-2021 tillsynsbegäran.docx", "A 22549-2021")</f>
        <v/>
      </c>
      <c r="Y42">
        <f>HYPERLINK("https://klasma.github.io/Logging_1290/tillsynsmail/A 22549-2021 tillsynsbegäran mail.docx", "A 22549-2021")</f>
        <v/>
      </c>
    </row>
    <row r="43" ht="15" customHeight="1">
      <c r="A43" t="inlineStr">
        <is>
          <t>A 22965-2021</t>
        </is>
      </c>
      <c r="B43" s="1" t="n">
        <v>44328</v>
      </c>
      <c r="C43" s="1" t="n">
        <v>45583</v>
      </c>
      <c r="D43" t="inlineStr">
        <is>
          <t>SKÅNE LÄN</t>
        </is>
      </c>
      <c r="E43" t="inlineStr">
        <is>
          <t>KRISTIANSTAD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HYPERLINK("https://klasma.github.io/Logging_1290/artfynd/A 22965-2021 artfynd.xlsx", "A 22965-2021")</f>
        <v/>
      </c>
      <c r="T43">
        <f>HYPERLINK("https://klasma.github.io/Logging_1290/kartor/A 22965-2021 karta.png", "A 22965-2021")</f>
        <v/>
      </c>
      <c r="V43">
        <f>HYPERLINK("https://klasma.github.io/Logging_1290/klagomål/A 22965-2021 FSC-klagomål.docx", "A 22965-2021")</f>
        <v/>
      </c>
      <c r="W43">
        <f>HYPERLINK("https://klasma.github.io/Logging_1290/klagomålsmail/A 22965-2021 FSC-klagomål mail.docx", "A 22965-2021")</f>
        <v/>
      </c>
      <c r="X43">
        <f>HYPERLINK("https://klasma.github.io/Logging_1290/tillsyn/A 22965-2021 tillsynsbegäran.docx", "A 22965-2021")</f>
        <v/>
      </c>
      <c r="Y43">
        <f>HYPERLINK("https://klasma.github.io/Logging_1290/tillsynsmail/A 22965-2021 tillsynsbegäran mail.docx", "A 22965-2021")</f>
        <v/>
      </c>
      <c r="Z43">
        <f>HYPERLINK("https://klasma.github.io/Logging_1290/fåglar/A 22965-2021 prioriterade fågelarter.docx", "A 22965-2021")</f>
        <v/>
      </c>
    </row>
    <row r="44" ht="15" customHeight="1">
      <c r="A44" t="inlineStr">
        <is>
          <t>A 11750-2022</t>
        </is>
      </c>
      <c r="B44" s="1" t="n">
        <v>44634</v>
      </c>
      <c r="C44" s="1" t="n">
        <v>45583</v>
      </c>
      <c r="D44" t="inlineStr">
        <is>
          <t>SKÅNE LÄN</t>
        </is>
      </c>
      <c r="E44" t="inlineStr">
        <is>
          <t>KRISTIANSTAD</t>
        </is>
      </c>
      <c r="G44" t="n">
        <v>1.8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Sanddådra</t>
        </is>
      </c>
      <c r="S44">
        <f>HYPERLINK("https://klasma.github.io/Logging_1290/artfynd/A 11750-2022 artfynd.xlsx", "A 11750-2022")</f>
        <v/>
      </c>
      <c r="T44">
        <f>HYPERLINK("https://klasma.github.io/Logging_1290/kartor/A 11750-2022 karta.png", "A 11750-2022")</f>
        <v/>
      </c>
      <c r="V44">
        <f>HYPERLINK("https://klasma.github.io/Logging_1290/klagomål/A 11750-2022 FSC-klagomål.docx", "A 11750-2022")</f>
        <v/>
      </c>
      <c r="W44">
        <f>HYPERLINK("https://klasma.github.io/Logging_1290/klagomålsmail/A 11750-2022 FSC-klagomål mail.docx", "A 11750-2022")</f>
        <v/>
      </c>
      <c r="X44">
        <f>HYPERLINK("https://klasma.github.io/Logging_1290/tillsyn/A 11750-2022 tillsynsbegäran.docx", "A 11750-2022")</f>
        <v/>
      </c>
      <c r="Y44">
        <f>HYPERLINK("https://klasma.github.io/Logging_1290/tillsynsmail/A 11750-2022 tillsynsbegäran mail.docx", "A 11750-2022")</f>
        <v/>
      </c>
    </row>
    <row r="45" ht="15" customHeight="1">
      <c r="A45" t="inlineStr">
        <is>
          <t>A 18539-2022</t>
        </is>
      </c>
      <c r="B45" s="1" t="n">
        <v>44686</v>
      </c>
      <c r="C45" s="1" t="n">
        <v>45583</v>
      </c>
      <c r="D45" t="inlineStr">
        <is>
          <t>SKÅNE LÄN</t>
        </is>
      </c>
      <c r="E45" t="inlineStr">
        <is>
          <t>KRISTIANSTAD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18539-2022 artfynd.xlsx", "A 18539-2022")</f>
        <v/>
      </c>
      <c r="T45">
        <f>HYPERLINK("https://klasma.github.io/Logging_1290/kartor/A 18539-2022 karta.png", "A 18539-2022")</f>
        <v/>
      </c>
      <c r="V45">
        <f>HYPERLINK("https://klasma.github.io/Logging_1290/klagomål/A 18539-2022 FSC-klagomål.docx", "A 18539-2022")</f>
        <v/>
      </c>
      <c r="W45">
        <f>HYPERLINK("https://klasma.github.io/Logging_1290/klagomålsmail/A 18539-2022 FSC-klagomål mail.docx", "A 18539-2022")</f>
        <v/>
      </c>
      <c r="X45">
        <f>HYPERLINK("https://klasma.github.io/Logging_1290/tillsyn/A 18539-2022 tillsynsbegäran.docx", "A 18539-2022")</f>
        <v/>
      </c>
      <c r="Y45">
        <f>HYPERLINK("https://klasma.github.io/Logging_1290/tillsynsmail/A 18539-2022 tillsynsbegäran mail.docx", "A 18539-2022")</f>
        <v/>
      </c>
    </row>
    <row r="46" ht="15" customHeight="1">
      <c r="A46" t="inlineStr">
        <is>
          <t>A 41004-2022</t>
        </is>
      </c>
      <c r="B46" s="1" t="n">
        <v>44825</v>
      </c>
      <c r="C46" s="1" t="n">
        <v>45583</v>
      </c>
      <c r="D46" t="inlineStr">
        <is>
          <t>SKÅNE LÄN</t>
        </is>
      </c>
      <c r="E46" t="inlineStr">
        <is>
          <t>KRISTIANSTAD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HYPERLINK("https://klasma.github.io/Logging_1290/artfynd/A 41004-2022 artfynd.xlsx", "A 41004-2022")</f>
        <v/>
      </c>
      <c r="T46">
        <f>HYPERLINK("https://klasma.github.io/Logging_1290/kartor/A 41004-2022 karta.png", "A 41004-2022")</f>
        <v/>
      </c>
      <c r="V46">
        <f>HYPERLINK("https://klasma.github.io/Logging_1290/klagomål/A 41004-2022 FSC-klagomål.docx", "A 41004-2022")</f>
        <v/>
      </c>
      <c r="W46">
        <f>HYPERLINK("https://klasma.github.io/Logging_1290/klagomålsmail/A 41004-2022 FSC-klagomål mail.docx", "A 41004-2022")</f>
        <v/>
      </c>
      <c r="X46">
        <f>HYPERLINK("https://klasma.github.io/Logging_1290/tillsyn/A 41004-2022 tillsynsbegäran.docx", "A 41004-2022")</f>
        <v/>
      </c>
      <c r="Y46">
        <f>HYPERLINK("https://klasma.github.io/Logging_1290/tillsynsmail/A 41004-2022 tillsynsbegäran mail.docx", "A 41004-2022")</f>
        <v/>
      </c>
    </row>
    <row r="47" ht="15" customHeight="1">
      <c r="A47" t="inlineStr">
        <is>
          <t>A 41275-2022</t>
        </is>
      </c>
      <c r="B47" s="1" t="n">
        <v>44826</v>
      </c>
      <c r="C47" s="1" t="n">
        <v>45583</v>
      </c>
      <c r="D47" t="inlineStr">
        <is>
          <t>SKÅNE LÄN</t>
        </is>
      </c>
      <c r="E47" t="inlineStr">
        <is>
          <t>KRISTIANSTAD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Praktnejlika</t>
        </is>
      </c>
      <c r="S47">
        <f>HYPERLINK("https://klasma.github.io/Logging_1290/artfynd/A 41275-2022 artfynd.xlsx", "A 41275-2022")</f>
        <v/>
      </c>
      <c r="T47">
        <f>HYPERLINK("https://klasma.github.io/Logging_1290/kartor/A 41275-2022 karta.png", "A 41275-2022")</f>
        <v/>
      </c>
      <c r="V47">
        <f>HYPERLINK("https://klasma.github.io/Logging_1290/klagomål/A 41275-2022 FSC-klagomål.docx", "A 41275-2022")</f>
        <v/>
      </c>
      <c r="W47">
        <f>HYPERLINK("https://klasma.github.io/Logging_1290/klagomålsmail/A 41275-2022 FSC-klagomål mail.docx", "A 41275-2022")</f>
        <v/>
      </c>
      <c r="X47">
        <f>HYPERLINK("https://klasma.github.io/Logging_1290/tillsyn/A 41275-2022 tillsynsbegäran.docx", "A 41275-2022")</f>
        <v/>
      </c>
      <c r="Y47">
        <f>HYPERLINK("https://klasma.github.io/Logging_1290/tillsynsmail/A 41275-2022 tillsynsbegäran mail.docx", "A 41275-2022")</f>
        <v/>
      </c>
    </row>
    <row r="48" ht="15" customHeight="1">
      <c r="A48" t="inlineStr">
        <is>
          <t>A 61885-2022</t>
        </is>
      </c>
      <c r="B48" s="1" t="n">
        <v>44917</v>
      </c>
      <c r="C48" s="1" t="n">
        <v>45583</v>
      </c>
      <c r="D48" t="inlineStr">
        <is>
          <t>SKÅNE LÄN</t>
        </is>
      </c>
      <c r="E48" t="inlineStr">
        <is>
          <t>KRISTIANSTAD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Koralltaggsvamp</t>
        </is>
      </c>
      <c r="S48">
        <f>HYPERLINK("https://klasma.github.io/Logging_1290/artfynd/A 61885-2022 artfynd.xlsx", "A 61885-2022")</f>
        <v/>
      </c>
      <c r="T48">
        <f>HYPERLINK("https://klasma.github.io/Logging_1290/kartor/A 61885-2022 karta.png", "A 61885-2022")</f>
        <v/>
      </c>
      <c r="V48">
        <f>HYPERLINK("https://klasma.github.io/Logging_1290/klagomål/A 61885-2022 FSC-klagomål.docx", "A 61885-2022")</f>
        <v/>
      </c>
      <c r="W48">
        <f>HYPERLINK("https://klasma.github.io/Logging_1290/klagomålsmail/A 61885-2022 FSC-klagomål mail.docx", "A 61885-2022")</f>
        <v/>
      </c>
      <c r="X48">
        <f>HYPERLINK("https://klasma.github.io/Logging_1290/tillsyn/A 61885-2022 tillsynsbegäran.docx", "A 61885-2022")</f>
        <v/>
      </c>
      <c r="Y48">
        <f>HYPERLINK("https://klasma.github.io/Logging_1290/tillsynsmail/A 61885-2022 tillsynsbegäran mail.docx", "A 61885-2022")</f>
        <v/>
      </c>
    </row>
    <row r="49" ht="15" customHeight="1">
      <c r="A49" t="inlineStr">
        <is>
          <t>A 62065-2022</t>
        </is>
      </c>
      <c r="B49" s="1" t="n">
        <v>44918</v>
      </c>
      <c r="C49" s="1" t="n">
        <v>45583</v>
      </c>
      <c r="D49" t="inlineStr">
        <is>
          <t>SKÅNE LÄN</t>
        </is>
      </c>
      <c r="E49" t="inlineStr">
        <is>
          <t>KRISTIANSTAD</t>
        </is>
      </c>
      <c r="G49" t="n">
        <v>0.8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Myrvapenfluga</t>
        </is>
      </c>
      <c r="S49">
        <f>HYPERLINK("https://klasma.github.io/Logging_1290/artfynd/A 62065-2022 artfynd.xlsx", "A 62065-2022")</f>
        <v/>
      </c>
      <c r="T49">
        <f>HYPERLINK("https://klasma.github.io/Logging_1290/kartor/A 62065-2022 karta.png", "A 62065-2022")</f>
        <v/>
      </c>
      <c r="V49">
        <f>HYPERLINK("https://klasma.github.io/Logging_1290/klagomål/A 62065-2022 FSC-klagomål.docx", "A 62065-2022")</f>
        <v/>
      </c>
      <c r="W49">
        <f>HYPERLINK("https://klasma.github.io/Logging_1290/klagomålsmail/A 62065-2022 FSC-klagomål mail.docx", "A 62065-2022")</f>
        <v/>
      </c>
      <c r="X49">
        <f>HYPERLINK("https://klasma.github.io/Logging_1290/tillsyn/A 62065-2022 tillsynsbegäran.docx", "A 62065-2022")</f>
        <v/>
      </c>
      <c r="Y49">
        <f>HYPERLINK("https://klasma.github.io/Logging_1290/tillsynsmail/A 62065-2022 tillsynsbegäran mail.docx", "A 62065-2022")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45583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45583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45583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45583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45583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45583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45583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45583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45583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45583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45583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45583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45583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45583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45583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45583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45583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45583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45583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45583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45583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45583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45583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45583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45583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45583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45583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45583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45583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45583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45583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45583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45583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45583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45583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45583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45583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45583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45583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45583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45583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45583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45583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45583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45583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45583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45583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45583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45583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45583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45583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45583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45583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45583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45583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45583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45583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45583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45583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45583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45583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45583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45583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45583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45583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45583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45583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45583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45583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45583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45583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45583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45583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45583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45583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45583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45583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45583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45583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45583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45583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45583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45583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45583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45583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45583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45583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45583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45583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45583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45583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45583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45583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45583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45583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45583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45583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45583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45583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45583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45583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45583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45583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45583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45583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45583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45583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45583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45583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45583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45583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45583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45583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45583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45583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45583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45583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45583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45583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45583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45583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45583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45583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45583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45583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45583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45583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45583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45583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45583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45583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45583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45583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45583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45583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45583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45583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45583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45583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45583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45583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45583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45583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45583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45583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45583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45583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45583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45583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45583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45583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45583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45583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45583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45583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45583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45583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45583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45583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45583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45583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45583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45583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45583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45583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45583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45583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45583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45583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45583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45583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45583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45583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45583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45583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45583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45583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45583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45583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45583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45583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45583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45583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45583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45583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45583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45583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45583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45583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45583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45583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45583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45583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45583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45583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45583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45583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45583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45583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45583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45583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45583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45583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45583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45583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45583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45583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45583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45583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45583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45583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45583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45583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45583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45583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45583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45583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45583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45583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45583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45583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45583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45583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45583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45583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45583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45583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45583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45583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45583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45583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45583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45583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45583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45583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45583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45583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45583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45583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45583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45583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45583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45583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45583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45583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45583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45583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45583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45583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45583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45583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45583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45583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45583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45583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45583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45583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45583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45583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45583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45583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45583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45583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45583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45583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45583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45583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45583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45583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45583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45583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45583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45583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45583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45583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45583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45583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45583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45583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45583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45583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45583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45583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45583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45583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45583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45583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45583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45583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45583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45583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45583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45583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45583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45583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45583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45583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45583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45583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45583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45583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45583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45583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45583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45583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45583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45583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45583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45583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45583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45583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45583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45583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45583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45583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45583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45583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45583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45583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45583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45583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45583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45583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45583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45583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45583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45583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45583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45583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45583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45583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45583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45583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45583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45583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45583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45583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45583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45583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45583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45583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45583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45583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45583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45583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45583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45583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45583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45583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45583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45583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45583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45583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45583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45583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45583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45583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45583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45583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45583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45583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45583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45583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45583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45583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45583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45583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45583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45583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45583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45583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45583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45583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45583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45583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45583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45583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45583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45583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45583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45583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45583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45583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45583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45583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45583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45583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45583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45583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45583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45583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45583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45583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45583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45583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45583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45583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45583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45583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45583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45583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45583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45583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45583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45583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45583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45583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45583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45583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45583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45583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45583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45583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45583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45583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45583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45583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45583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45583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45583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45583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45583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45583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45583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45583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45583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45583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45583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45583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45583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45583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45583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45583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45583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45583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45583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45583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45583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45583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45583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45583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45583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45583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45583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45583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45583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45583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45583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45583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45583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45583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45583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45583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45583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45583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45583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45583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45583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45583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45583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45583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45583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45583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45583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45583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45583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45583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45583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45583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45583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45583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45583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45583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45583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45583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45583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45583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45583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45583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45583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45583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45583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45583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45583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45583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45583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45583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45583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45583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45583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45583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45583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45583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45583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45583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45583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45583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45583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45583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45583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45583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45583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45583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45583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45583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45583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45583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45583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45583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45583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45583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45583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45583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45583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45583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45583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45583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45583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45583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45583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45583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45583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45583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45583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45583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45583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45583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45583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45583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45583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45583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45583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45583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45583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45583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45583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45583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45583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45583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45583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45583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45583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45583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45583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45583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45583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45583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45583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45583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45583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45583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45583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45583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45583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45583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45583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45583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45583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45583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45583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45583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45583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45583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45583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45583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45583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45583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45583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45583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45583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45583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45583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45583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45583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45583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45583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45583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45583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45583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45583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45583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45583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45583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45583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45583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45583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45583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45583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45583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45583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45583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45583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45583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45583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45583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45583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45583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45583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45583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45583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45583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45583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45583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45583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45583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45583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45583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45583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45583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45583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45583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45583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45583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45583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45583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45583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45583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45583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45583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45583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45583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45583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45583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45583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45583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45583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45583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45583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45583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45583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45583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45583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45583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45583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45583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45583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45583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45583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45583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45583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45583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45583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45583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45583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45583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45583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45583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45583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45583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45583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45583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45583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45583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45583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45583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45583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45583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45583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45583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45583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45583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45583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45583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45583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45583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45583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45583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45583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45583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45583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45583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45583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45583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45583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45583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45583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45583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45583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45583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45583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45583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45583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45583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45583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45583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45583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45583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45583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45583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45583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45583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45583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45583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45583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45583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45583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45583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45583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45583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45583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45583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45583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45583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45583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45583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45583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45583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45583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45583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45583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45583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45583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45583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45583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45583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45583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45583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45583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45583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45583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45583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45583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45583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45583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45583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45583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45583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45583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45583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45583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45583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45583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45583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45583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45583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45583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45583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45583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45583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45583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45583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45583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45583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45583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45583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45583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45583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45583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45583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45583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45583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45583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45583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45583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45583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45583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45583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45583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45583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45583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45583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45583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45583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45583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45583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45583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45583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45583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45583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45583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45583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45583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45583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45583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45583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45583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45583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45583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45583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45583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45583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45583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45583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45583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45583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45583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45583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45583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45583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45583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45583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45583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45583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45583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45583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45583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45583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45583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45583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45583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45583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45583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45583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45583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45583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45583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45583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45583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45583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45583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45583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45583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45583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45583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45583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45583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45583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45583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45583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45583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45583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45583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45583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45583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45583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45583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45583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45583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45583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45583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45583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45583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45583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45583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40145-2024</t>
        </is>
      </c>
      <c r="B884" s="1" t="n">
        <v>45554</v>
      </c>
      <c r="C884" s="1" t="n">
        <v>45583</v>
      </c>
      <c r="D884" t="inlineStr">
        <is>
          <t>SKÅNE LÄN</t>
        </is>
      </c>
      <c r="E884" t="inlineStr">
        <is>
          <t>KRISTIANSTAD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40149-2024</t>
        </is>
      </c>
      <c r="B885" s="1" t="n">
        <v>45554</v>
      </c>
      <c r="C885" s="1" t="n">
        <v>45583</v>
      </c>
      <c r="D885" t="inlineStr">
        <is>
          <t>SKÅNE LÄN</t>
        </is>
      </c>
      <c r="E885" t="inlineStr">
        <is>
          <t>KRISTIANSTAD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45583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45583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45583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40419-2024</t>
        </is>
      </c>
      <c r="B889" s="1" t="n">
        <v>45555</v>
      </c>
      <c r="C889" s="1" t="n">
        <v>45583</v>
      </c>
      <c r="D889" t="inlineStr">
        <is>
          <t>SKÅNE LÄN</t>
        </is>
      </c>
      <c r="E889" t="inlineStr">
        <is>
          <t>KRISTIANSTAD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40423-2024</t>
        </is>
      </c>
      <c r="B890" s="1" t="n">
        <v>45555</v>
      </c>
      <c r="C890" s="1" t="n">
        <v>45583</v>
      </c>
      <c r="D890" t="inlineStr">
        <is>
          <t>SKÅNE LÄN</t>
        </is>
      </c>
      <c r="E890" t="inlineStr">
        <is>
          <t>KRISTIANSTAD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40540-2024</t>
        </is>
      </c>
      <c r="B891" s="1" t="n">
        <v>45555</v>
      </c>
      <c r="C891" s="1" t="n">
        <v>45583</v>
      </c>
      <c r="D891" t="inlineStr">
        <is>
          <t>SKÅNE LÄN</t>
        </is>
      </c>
      <c r="E891" t="inlineStr">
        <is>
          <t>KRISTIANSTAD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45583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45583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40866-2024</t>
        </is>
      </c>
      <c r="B894" s="1" t="n">
        <v>45558</v>
      </c>
      <c r="C894" s="1" t="n">
        <v>45583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40903-2024</t>
        </is>
      </c>
      <c r="B895" s="1" t="n">
        <v>45558</v>
      </c>
      <c r="C895" s="1" t="n">
        <v>45583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40896-2024</t>
        </is>
      </c>
      <c r="B896" s="1" t="n">
        <v>45558</v>
      </c>
      <c r="C896" s="1" t="n">
        <v>45583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40916-2024</t>
        </is>
      </c>
      <c r="B897" s="1" t="n">
        <v>45558</v>
      </c>
      <c r="C897" s="1" t="n">
        <v>45583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40973-2024</t>
        </is>
      </c>
      <c r="B898" s="1" t="n">
        <v>45558</v>
      </c>
      <c r="C898" s="1" t="n">
        <v>45583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40975-2024</t>
        </is>
      </c>
      <c r="B899" s="1" t="n">
        <v>45558</v>
      </c>
      <c r="C899" s="1" t="n">
        <v>45583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40884-2024</t>
        </is>
      </c>
      <c r="B900" s="1" t="n">
        <v>45558</v>
      </c>
      <c r="C900" s="1" t="n">
        <v>45583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40962-2024</t>
        </is>
      </c>
      <c r="B901" s="1" t="n">
        <v>45558</v>
      </c>
      <c r="C901" s="1" t="n">
        <v>45583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41809-2024</t>
        </is>
      </c>
      <c r="B902" s="1" t="n">
        <v>45561</v>
      </c>
      <c r="C902" s="1" t="n">
        <v>45583</v>
      </c>
      <c r="D902" t="inlineStr">
        <is>
          <t>SKÅNE LÄN</t>
        </is>
      </c>
      <c r="E902" t="inlineStr">
        <is>
          <t>KRISTIANSTAD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45583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45583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45583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42790-2024</t>
        </is>
      </c>
      <c r="B906" s="1" t="n">
        <v>45566</v>
      </c>
      <c r="C906" s="1" t="n">
        <v>45583</v>
      </c>
      <c r="D906" t="inlineStr">
        <is>
          <t>SKÅNE LÄN</t>
        </is>
      </c>
      <c r="E906" t="inlineStr">
        <is>
          <t>KRISTIANSTAD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45583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42797-2024</t>
        </is>
      </c>
      <c r="B908" s="1" t="n">
        <v>45566</v>
      </c>
      <c r="C908" s="1" t="n">
        <v>45583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45583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45583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43314-2024</t>
        </is>
      </c>
      <c r="B911" s="1" t="n">
        <v>45568</v>
      </c>
      <c r="C911" s="1" t="n">
        <v>45583</v>
      </c>
      <c r="D911" t="inlineStr">
        <is>
          <t>SKÅNE LÄN</t>
        </is>
      </c>
      <c r="E911" t="inlineStr">
        <is>
          <t>KRISTIANSTAD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45583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43312-2024</t>
        </is>
      </c>
      <c r="B913" s="1" t="n">
        <v>45568</v>
      </c>
      <c r="C913" s="1" t="n">
        <v>45583</v>
      </c>
      <c r="D913" t="inlineStr">
        <is>
          <t>SKÅNE LÄN</t>
        </is>
      </c>
      <c r="E913" t="inlineStr">
        <is>
          <t>KRISTIANSTAD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45583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45583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44363-2024</t>
        </is>
      </c>
      <c r="B916" s="1" t="n">
        <v>45573</v>
      </c>
      <c r="C916" s="1" t="n">
        <v>45583</v>
      </c>
      <c r="D916" t="inlineStr">
        <is>
          <t>SKÅNE LÄN</t>
        </is>
      </c>
      <c r="E916" t="inlineStr">
        <is>
          <t>KRISTIANSTAD</t>
        </is>
      </c>
      <c r="F916" t="inlineStr">
        <is>
          <t>Sveaskog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44378-2024</t>
        </is>
      </c>
      <c r="B917" s="1" t="n">
        <v>45573</v>
      </c>
      <c r="C917" s="1" t="n">
        <v>45583</v>
      </c>
      <c r="D917" t="inlineStr">
        <is>
          <t>SKÅNE LÄN</t>
        </is>
      </c>
      <c r="E917" t="inlineStr">
        <is>
          <t>KRISTIANSTAD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45583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45583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45583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45583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45494-2024</t>
        </is>
      </c>
      <c r="B922" s="1" t="n">
        <v>45577</v>
      </c>
      <c r="C922" s="1" t="n">
        <v>45583</v>
      </c>
      <c r="D922" t="inlineStr">
        <is>
          <t>SKÅNE LÄN</t>
        </is>
      </c>
      <c r="E922" t="inlineStr">
        <is>
          <t>KRISTIANSTAD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45496-2024</t>
        </is>
      </c>
      <c r="B923" s="1" t="n">
        <v>45577</v>
      </c>
      <c r="C923" s="1" t="n">
        <v>45583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45493-2024</t>
        </is>
      </c>
      <c r="B924" s="1" t="n">
        <v>45577</v>
      </c>
      <c r="C924" s="1" t="n">
        <v>45583</v>
      </c>
      <c r="D924" t="inlineStr">
        <is>
          <t>SKÅNE LÄN</t>
        </is>
      </c>
      <c r="E924" t="inlineStr">
        <is>
          <t>KRISTIANSTAD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45583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45583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46069-2024</t>
        </is>
      </c>
      <c r="B927" s="1" t="n">
        <v>45580</v>
      </c>
      <c r="C927" s="1" t="n">
        <v>45583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46068-2024</t>
        </is>
      </c>
      <c r="B928" s="1" t="n">
        <v>45580</v>
      </c>
      <c r="C928" s="1" t="n">
        <v>45583</v>
      </c>
      <c r="D928" t="inlineStr">
        <is>
          <t>SKÅNE LÄN</t>
        </is>
      </c>
      <c r="E928" t="inlineStr">
        <is>
          <t>KRISTIANSTAD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45908-2024</t>
        </is>
      </c>
      <c r="B929" s="1" t="n">
        <v>45580</v>
      </c>
      <c r="C929" s="1" t="n">
        <v>45583</v>
      </c>
      <c r="D929" t="inlineStr">
        <is>
          <t>SKÅNE LÄN</t>
        </is>
      </c>
      <c r="E929" t="inlineStr">
        <is>
          <t>KRISTIANSTAD</t>
        </is>
      </c>
      <c r="G929" t="n">
        <v>14.1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46070-2024</t>
        </is>
      </c>
      <c r="B930" s="1" t="n">
        <v>45580</v>
      </c>
      <c r="C930" s="1" t="n">
        <v>45583</v>
      </c>
      <c r="D930" t="inlineStr">
        <is>
          <t>SKÅNE LÄN</t>
        </is>
      </c>
      <c r="E930" t="inlineStr">
        <is>
          <t>KRISTIANSTAD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46123-2024</t>
        </is>
      </c>
      <c r="B931" s="1" t="n">
        <v>45581</v>
      </c>
      <c r="C931" s="1" t="n">
        <v>45583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45583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46194-2024</t>
        </is>
      </c>
      <c r="B933" s="1" t="n">
        <v>45581</v>
      </c>
      <c r="C933" s="1" t="n">
        <v>45583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46469-2024</t>
        </is>
      </c>
      <c r="B934" s="1" t="n">
        <v>45582</v>
      </c>
      <c r="C934" s="1" t="n">
        <v>45583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2024-10-18T13:14:18Z</dcterms:created>
  <dcterms:modified xmlns:dcterms="http://purl.org/dc/terms/" xmlns:xsi="http://www.w3.org/2001/XMLSchema-instance" xsi:type="dcterms:W3CDTF">2024-10-18T13:14:18Z</dcterms:modified>
</cp:coreProperties>
</file>