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46196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46196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46196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46196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46196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46196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46196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46196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54761-2025</t>
        </is>
      </c>
      <c r="B13" s="1" t="n">
        <v>45966</v>
      </c>
      <c r="C13" s="1" t="n">
        <v>46196</v>
      </c>
      <c r="D13" t="inlineStr">
        <is>
          <t>SKÅNE LÄN</t>
        </is>
      </c>
      <c r="E13" t="inlineStr">
        <is>
          <t>KRISTIANSTAD</t>
        </is>
      </c>
      <c r="G13" t="n">
        <v>8.5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Mindre bastardsvärmare
Björktrast
Bronssopp
Lamellsnäcka
Lömsk flugsvamp
Spillkråka
Vanlig padda</t>
        </is>
      </c>
      <c r="S13">
        <f>HYPERLINK("https://klasma.github.io/Logging_1290/artfynd/A 54761-2025 artfynd.xlsx", "A 54761-2025")</f>
        <v/>
      </c>
      <c r="T13">
        <f>HYPERLINK("https://klasma.github.io/Logging_1290/kartor/A 54761-2025 karta.png", "A 54761-2025")</f>
        <v/>
      </c>
      <c r="V13">
        <f>HYPERLINK("https://klasma.github.io/Logging_1290/klagomål/A 54761-2025 FSC-klagomål.docx", "A 54761-2025")</f>
        <v/>
      </c>
      <c r="W13">
        <f>HYPERLINK("https://klasma.github.io/Logging_1290/klagomålsmail/A 54761-2025 FSC-klagomål mail.docx", "A 54761-2025")</f>
        <v/>
      </c>
      <c r="X13">
        <f>HYPERLINK("https://klasma.github.io/Logging_1290/tillsyn/A 54761-2025 tillsynsbegäran.docx", "A 54761-2025")</f>
        <v/>
      </c>
      <c r="Y13">
        <f>HYPERLINK("https://klasma.github.io/Logging_1290/tillsynsmail/A 54761-2025 tillsynsbegäran mail.docx", "A 54761-2025")</f>
        <v/>
      </c>
      <c r="Z13">
        <f>HYPERLINK("https://klasma.github.io/Logging_1290/fåglar/A 54761-2025 prioriterade fågelarter.docx", "A 54761-2025")</f>
        <v/>
      </c>
    </row>
    <row r="14" ht="15" customHeight="1">
      <c r="A14" t="inlineStr">
        <is>
          <t>A 25082-2026</t>
        </is>
      </c>
      <c r="B14" s="1" t="n">
        <v>46174</v>
      </c>
      <c r="C14" s="1" t="n">
        <v>46196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3.8</v>
      </c>
      <c r="H14" t="n">
        <v>4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Grönsångare
Jättesvampmal
Skogsbräsma
Västlig hakmossa
Kungsfågel
Grönvit nattviol
Revlummer</t>
        </is>
      </c>
      <c r="S14">
        <f>HYPERLINK("https://klasma.github.io/Logging_1290/artfynd/A 25082-2026 artfynd.xlsx", "A 25082-2026")</f>
        <v/>
      </c>
      <c r="T14">
        <f>HYPERLINK("https://klasma.github.io/Logging_1290/kartor/A 25082-2026 karta.png", "A 25082-2026")</f>
        <v/>
      </c>
      <c r="V14">
        <f>HYPERLINK("https://klasma.github.io/Logging_1290/klagomål/A 25082-2026 FSC-klagomål.docx", "A 25082-2026")</f>
        <v/>
      </c>
      <c r="W14">
        <f>HYPERLINK("https://klasma.github.io/Logging_1290/klagomålsmail/A 25082-2026 FSC-klagomål mail.docx", "A 25082-2026")</f>
        <v/>
      </c>
      <c r="X14">
        <f>HYPERLINK("https://klasma.github.io/Logging_1290/tillsyn/A 25082-2026 tillsynsbegäran.docx", "A 25082-2026")</f>
        <v/>
      </c>
      <c r="Y14">
        <f>HYPERLINK("https://klasma.github.io/Logging_1290/tillsynsmail/A 25082-2026 tillsynsbegäran mail.docx", "A 25082-2026")</f>
        <v/>
      </c>
      <c r="Z14">
        <f>HYPERLINK("https://klasma.github.io/Logging_1290/fåglar/A 25082-2026 prioriterade fågelarter.docx", "A 25082-2026")</f>
        <v/>
      </c>
    </row>
    <row r="15" ht="15" customHeight="1">
      <c r="A15" t="inlineStr">
        <is>
          <t>A 62067-2022</t>
        </is>
      </c>
      <c r="B15" s="1" t="n">
        <v>44918</v>
      </c>
      <c r="C15" s="1" t="n">
        <v>46196</v>
      </c>
      <c r="D15" t="inlineStr">
        <is>
          <t>SKÅNE LÄN</t>
        </is>
      </c>
      <c r="E15" t="inlineStr">
        <is>
          <t>KRISTIANSTAD</t>
        </is>
      </c>
      <c r="G15" t="n">
        <v>3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Olivjordtunga
Rödbrun jordtunga
Blodvaxing
Papegojvaxing
Plattad jordtunga
Vitvaxing agg.
Ängsfingersvamp</t>
        </is>
      </c>
      <c r="S15">
        <f>HYPERLINK("https://klasma.github.io/Logging_1290/artfynd/A 62067-2022 artfynd.xlsx", "A 62067-2022")</f>
        <v/>
      </c>
      <c r="T15">
        <f>HYPERLINK("https://klasma.github.io/Logging_1290/kartor/A 62067-2022 karta.png", "A 62067-2022")</f>
        <v/>
      </c>
      <c r="V15">
        <f>HYPERLINK("https://klasma.github.io/Logging_1290/klagomål/A 62067-2022 FSC-klagomål.docx", "A 62067-2022")</f>
        <v/>
      </c>
      <c r="W15">
        <f>HYPERLINK("https://klasma.github.io/Logging_1290/klagomålsmail/A 62067-2022 FSC-klagomål mail.docx", "A 62067-2022")</f>
        <v/>
      </c>
      <c r="X15">
        <f>HYPERLINK("https://klasma.github.io/Logging_1290/tillsyn/A 62067-2022 tillsynsbegäran.docx", "A 62067-2022")</f>
        <v/>
      </c>
      <c r="Y15">
        <f>HYPERLINK("https://klasma.github.io/Logging_1290/tillsynsmail/A 62067-2022 tillsynsbegäran mail.docx", "A 62067-2022")</f>
        <v/>
      </c>
    </row>
    <row r="16" ht="15" customHeight="1">
      <c r="A16" t="inlineStr">
        <is>
          <t>A 5950-2024</t>
        </is>
      </c>
      <c r="B16" s="1" t="n">
        <v>45335</v>
      </c>
      <c r="C16" s="1" t="n">
        <v>46196</v>
      </c>
      <c r="D16" t="inlineStr">
        <is>
          <t>SKÅNE LÄN</t>
        </is>
      </c>
      <c r="E16" t="inlineStr">
        <is>
          <t>KRISTIANSTAD</t>
        </is>
      </c>
      <c r="G16" t="n">
        <v>0.7</v>
      </c>
      <c r="H16" t="n">
        <v>2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Entita
Gullpudra
Havstulpanlav
Lundvårlök
Rostfläck
Västlig hakmossa
Vanlig padda</t>
        </is>
      </c>
      <c r="S16">
        <f>HYPERLINK("https://klasma.github.io/Logging_1290/artfynd/A 5950-2024 artfynd.xlsx", "A 5950-2024")</f>
        <v/>
      </c>
      <c r="T16">
        <f>HYPERLINK("https://klasma.github.io/Logging_1290/kartor/A 5950-2024 karta.png", "A 5950-2024")</f>
        <v/>
      </c>
      <c r="V16">
        <f>HYPERLINK("https://klasma.github.io/Logging_1290/klagomål/A 5950-2024 FSC-klagomål.docx", "A 5950-2024")</f>
        <v/>
      </c>
      <c r="W16">
        <f>HYPERLINK("https://klasma.github.io/Logging_1290/klagomålsmail/A 5950-2024 FSC-klagomål mail.docx", "A 5950-2024")</f>
        <v/>
      </c>
      <c r="X16">
        <f>HYPERLINK("https://klasma.github.io/Logging_1290/tillsyn/A 5950-2024 tillsynsbegäran.docx", "A 5950-2024")</f>
        <v/>
      </c>
      <c r="Y16">
        <f>HYPERLINK("https://klasma.github.io/Logging_1290/tillsynsmail/A 5950-2024 tillsynsbegäran mail.docx", "A 5950-2024")</f>
        <v/>
      </c>
      <c r="Z16">
        <f>HYPERLINK("https://klasma.github.io/Logging_1290/fåglar/A 5950-2024 prioriterade fågelarter.docx", "A 5950-2024")</f>
        <v/>
      </c>
    </row>
    <row r="17" ht="15" customHeight="1">
      <c r="A17" t="inlineStr">
        <is>
          <t>A 20310-2026</t>
        </is>
      </c>
      <c r="B17" s="1" t="n">
        <v>46136</v>
      </c>
      <c r="C17" s="1" t="n">
        <v>46196</v>
      </c>
      <c r="D17" t="inlineStr">
        <is>
          <t>SKÅNE LÄN</t>
        </is>
      </c>
      <c r="E17" t="inlineStr">
        <is>
          <t>KRISTIANSTAD</t>
        </is>
      </c>
      <c r="G17" t="n">
        <v>2.9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Blåsippa
Gulplister
Gulsippa
Humleblomster
Vitsippa
Skogsödla</t>
        </is>
      </c>
      <c r="S17">
        <f>HYPERLINK("https://klasma.github.io/Logging_1290/artfynd/A 20310-2026 artfynd.xlsx", "A 20310-2026")</f>
        <v/>
      </c>
      <c r="T17">
        <f>HYPERLINK("https://klasma.github.io/Logging_1290/kartor/A 20310-2026 karta.png", "A 20310-2026")</f>
        <v/>
      </c>
      <c r="V17">
        <f>HYPERLINK("https://klasma.github.io/Logging_1290/klagomål/A 20310-2026 FSC-klagomål.docx", "A 20310-2026")</f>
        <v/>
      </c>
      <c r="W17">
        <f>HYPERLINK("https://klasma.github.io/Logging_1290/klagomålsmail/A 20310-2026 FSC-klagomål mail.docx", "A 20310-2026")</f>
        <v/>
      </c>
      <c r="X17">
        <f>HYPERLINK("https://klasma.github.io/Logging_1290/tillsyn/A 20310-2026 tillsynsbegäran.docx", "A 20310-2026")</f>
        <v/>
      </c>
      <c r="Y17">
        <f>HYPERLINK("https://klasma.github.io/Logging_1290/tillsynsmail/A 20310-2026 tillsynsbegäran mail.docx", "A 20310-2026")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46196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15492-2023</t>
        </is>
      </c>
      <c r="B19" s="1" t="n">
        <v>45020</v>
      </c>
      <c r="C19" s="1" t="n">
        <v>46196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Mindre bastardsvärmare
Entita
Mindre tåtelsmygare
Talltita
Spillkråka
Vanlig padda</t>
        </is>
      </c>
      <c r="S19">
        <f>HYPERLINK("https://klasma.github.io/Logging_1290/artfynd/A 15492-2023 artfynd.xlsx", "A 15492-2023")</f>
        <v/>
      </c>
      <c r="T19">
        <f>HYPERLINK("https://klasma.github.io/Logging_1290/kartor/A 15492-2023 karta.png", "A 15492-2023")</f>
        <v/>
      </c>
      <c r="V19">
        <f>HYPERLINK("https://klasma.github.io/Logging_1290/klagomål/A 15492-2023 FSC-klagomål.docx", "A 15492-2023")</f>
        <v/>
      </c>
      <c r="W19">
        <f>HYPERLINK("https://klasma.github.io/Logging_1290/klagomålsmail/A 15492-2023 FSC-klagomål mail.docx", "A 15492-2023")</f>
        <v/>
      </c>
      <c r="X19">
        <f>HYPERLINK("https://klasma.github.io/Logging_1290/tillsyn/A 15492-2023 tillsynsbegäran.docx", "A 15492-2023")</f>
        <v/>
      </c>
      <c r="Y19">
        <f>HYPERLINK("https://klasma.github.io/Logging_1290/tillsynsmail/A 15492-2023 tillsynsbegäran mail.docx", "A 15492-2023")</f>
        <v/>
      </c>
      <c r="Z19">
        <f>HYPERLINK("https://klasma.github.io/Logging_1290/fåglar/A 15492-2023 prioriterade fågelarter.docx", "A 15492-2023")</f>
        <v/>
      </c>
    </row>
    <row r="20" ht="15" customHeight="1">
      <c r="A20" t="inlineStr">
        <is>
          <t>A 62349-2023</t>
        </is>
      </c>
      <c r="B20" s="1" t="n">
        <v>45267</v>
      </c>
      <c r="C20" s="1" t="n">
        <v>46196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5.3</v>
      </c>
      <c r="H20" t="n">
        <v>4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Mindre bastardsvärmare
Entita
Mindre tåtelsmygare
Nattskärra
Spillkråka
Vanlig padda</t>
        </is>
      </c>
      <c r="S20">
        <f>HYPERLINK("https://klasma.github.io/Logging_1290/artfynd/A 62349-2023 artfynd.xlsx", "A 62349-2023")</f>
        <v/>
      </c>
      <c r="T20">
        <f>HYPERLINK("https://klasma.github.io/Logging_1290/kartor/A 62349-2023 karta.png", "A 62349-2023")</f>
        <v/>
      </c>
      <c r="V20">
        <f>HYPERLINK("https://klasma.github.io/Logging_1290/klagomål/A 62349-2023 FSC-klagomål.docx", "A 62349-2023")</f>
        <v/>
      </c>
      <c r="W20">
        <f>HYPERLINK("https://klasma.github.io/Logging_1290/klagomålsmail/A 62349-2023 FSC-klagomål mail.docx", "A 62349-2023")</f>
        <v/>
      </c>
      <c r="X20">
        <f>HYPERLINK("https://klasma.github.io/Logging_1290/tillsyn/A 62349-2023 tillsynsbegäran.docx", "A 62349-2023")</f>
        <v/>
      </c>
      <c r="Y20">
        <f>HYPERLINK("https://klasma.github.io/Logging_1290/tillsynsmail/A 62349-2023 tillsynsbegäran mail.docx", "A 62349-2023")</f>
        <v/>
      </c>
      <c r="Z20">
        <f>HYPERLINK("https://klasma.github.io/Logging_1290/fåglar/A 62349-2023 prioriterade fågelarter.docx", "A 62349-2023")</f>
        <v/>
      </c>
    </row>
    <row r="21" ht="15" customHeight="1">
      <c r="A21" t="inlineStr">
        <is>
          <t>A 31847-2023</t>
        </is>
      </c>
      <c r="B21" s="1" t="n">
        <v>45106</v>
      </c>
      <c r="C21" s="1" t="n">
        <v>46196</v>
      </c>
      <c r="D21" t="inlineStr">
        <is>
          <t>SKÅNE LÄN</t>
        </is>
      </c>
      <c r="E21" t="inlineStr">
        <is>
          <t>KRISTIANSTAD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Skogsalm
Skogsbräsma
Skogsbingel
Skriftlav
Storrams
Skogsduva</t>
        </is>
      </c>
      <c r="S21">
        <f>HYPERLINK("https://klasma.github.io/Logging_1290/artfynd/A 31847-2023 artfynd.xlsx", "A 31847-2023")</f>
        <v/>
      </c>
      <c r="T21">
        <f>HYPERLINK("https://klasma.github.io/Logging_1290/kartor/A 31847-2023 karta.png", "A 31847-2023")</f>
        <v/>
      </c>
      <c r="V21">
        <f>HYPERLINK("https://klasma.github.io/Logging_1290/klagomål/A 31847-2023 FSC-klagomål.docx", "A 31847-2023")</f>
        <v/>
      </c>
      <c r="W21">
        <f>HYPERLINK("https://klasma.github.io/Logging_1290/klagomålsmail/A 31847-2023 FSC-klagomål mail.docx", "A 31847-2023")</f>
        <v/>
      </c>
      <c r="X21">
        <f>HYPERLINK("https://klasma.github.io/Logging_1290/tillsyn/A 31847-2023 tillsynsbegäran.docx", "A 31847-2023")</f>
        <v/>
      </c>
      <c r="Y21">
        <f>HYPERLINK("https://klasma.github.io/Logging_1290/tillsynsmail/A 31847-2023 tillsynsbegäran mail.docx", "A 31847-2023")</f>
        <v/>
      </c>
    </row>
    <row r="22" ht="15" customHeight="1">
      <c r="A22" t="inlineStr">
        <is>
          <t>A 19312-2026</t>
        </is>
      </c>
      <c r="B22" s="1" t="n">
        <v>46133</v>
      </c>
      <c r="C22" s="1" t="n">
        <v>46196</v>
      </c>
      <c r="D22" t="inlineStr">
        <is>
          <t>SKÅNE LÄN</t>
        </is>
      </c>
      <c r="E22" t="inlineStr">
        <is>
          <t>KRISTIANSTAD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Rostfläck
Glansfläck
Skriftlav
Vitsippa
Havsörn</t>
        </is>
      </c>
      <c r="S22">
        <f>HYPERLINK("https://klasma.github.io/Logging_1290/artfynd/A 19312-2026 artfynd.xlsx", "A 19312-2026")</f>
        <v/>
      </c>
      <c r="T22">
        <f>HYPERLINK("https://klasma.github.io/Logging_1290/kartor/A 19312-2026 karta.png", "A 19312-2026")</f>
        <v/>
      </c>
      <c r="V22">
        <f>HYPERLINK("https://klasma.github.io/Logging_1290/klagomål/A 19312-2026 FSC-klagomål.docx", "A 19312-2026")</f>
        <v/>
      </c>
      <c r="W22">
        <f>HYPERLINK("https://klasma.github.io/Logging_1290/klagomålsmail/A 19312-2026 FSC-klagomål mail.docx", "A 19312-2026")</f>
        <v/>
      </c>
      <c r="X22">
        <f>HYPERLINK("https://klasma.github.io/Logging_1290/tillsyn/A 19312-2026 tillsynsbegäran.docx", "A 19312-2026")</f>
        <v/>
      </c>
      <c r="Y22">
        <f>HYPERLINK("https://klasma.github.io/Logging_1290/tillsynsmail/A 19312-2026 tillsynsbegäran mail.docx", "A 19312-2026")</f>
        <v/>
      </c>
      <c r="Z22">
        <f>HYPERLINK("https://klasma.github.io/Logging_1290/fåglar/A 19312-2026 prioriterade fågelarter.docx", "A 19312-2026")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46196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46196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Kandelabersvamp
Blåmossa
Gulnål
Jättesvampmal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46196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46196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49831-2025</t>
        </is>
      </c>
      <c r="B27" s="1" t="n">
        <v>45940</v>
      </c>
      <c r="C27" s="1" t="n">
        <v>46196</v>
      </c>
      <c r="D27" t="inlineStr">
        <is>
          <t>SKÅNE LÄN</t>
        </is>
      </c>
      <c r="E27" t="inlineStr">
        <is>
          <t>KRISTIANSTAD</t>
        </is>
      </c>
      <c r="G27" t="n">
        <v>21.5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Entita
Spillkråka
Gröngöling
Kungsfågel</t>
        </is>
      </c>
      <c r="S27">
        <f>HYPERLINK("https://klasma.github.io/Logging_1290/artfynd/A 49831-2025 artfynd.xlsx", "A 49831-2025")</f>
        <v/>
      </c>
      <c r="T27">
        <f>HYPERLINK("https://klasma.github.io/Logging_1290/kartor/A 49831-2025 karta.png", "A 49831-2025")</f>
        <v/>
      </c>
      <c r="V27">
        <f>HYPERLINK("https://klasma.github.io/Logging_1290/klagomål/A 49831-2025 FSC-klagomål.docx", "A 49831-2025")</f>
        <v/>
      </c>
      <c r="W27">
        <f>HYPERLINK("https://klasma.github.io/Logging_1290/klagomålsmail/A 49831-2025 FSC-klagomål mail.docx", "A 49831-2025")</f>
        <v/>
      </c>
      <c r="X27">
        <f>HYPERLINK("https://klasma.github.io/Logging_1290/tillsyn/A 49831-2025 tillsynsbegäran.docx", "A 49831-2025")</f>
        <v/>
      </c>
      <c r="Y27">
        <f>HYPERLINK("https://klasma.github.io/Logging_1290/tillsynsmail/A 49831-2025 tillsynsbegäran mail.docx", "A 49831-2025")</f>
        <v/>
      </c>
      <c r="Z27">
        <f>HYPERLINK("https://klasma.github.io/Logging_1290/fåglar/A 49831-2025 prioriterade fågelarter.docx", "A 49831-2025")</f>
        <v/>
      </c>
    </row>
    <row r="28" ht="15" customHeight="1">
      <c r="A28" t="inlineStr">
        <is>
          <t>A 62987-2023</t>
        </is>
      </c>
      <c r="B28" s="1" t="n">
        <v>45272</v>
      </c>
      <c r="C28" s="1" t="n">
        <v>46196</v>
      </c>
      <c r="D28" t="inlineStr">
        <is>
          <t>SKÅNE LÄN</t>
        </is>
      </c>
      <c r="E28" t="inlineStr">
        <is>
          <t>KRISTIANSTAD</t>
        </is>
      </c>
      <c r="G28" t="n">
        <v>13.5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Västlig hakmossa
Åkergroda
Mindre vattensalamander
Skogsödla</t>
        </is>
      </c>
      <c r="S28">
        <f>HYPERLINK("https://klasma.github.io/Logging_1290/artfynd/A 62987-2023 artfynd.xlsx", "A 62987-2023")</f>
        <v/>
      </c>
      <c r="T28">
        <f>HYPERLINK("https://klasma.github.io/Logging_1290/kartor/A 62987-2023 karta.png", "A 62987-2023")</f>
        <v/>
      </c>
      <c r="V28">
        <f>HYPERLINK("https://klasma.github.io/Logging_1290/klagomål/A 62987-2023 FSC-klagomål.docx", "A 62987-2023")</f>
        <v/>
      </c>
      <c r="W28">
        <f>HYPERLINK("https://klasma.github.io/Logging_1290/klagomålsmail/A 62987-2023 FSC-klagomål mail.docx", "A 62987-2023")</f>
        <v/>
      </c>
      <c r="X28">
        <f>HYPERLINK("https://klasma.github.io/Logging_1290/tillsyn/A 62987-2023 tillsynsbegäran.docx", "A 62987-2023")</f>
        <v/>
      </c>
      <c r="Y28">
        <f>HYPERLINK("https://klasma.github.io/Logging_1290/tillsynsmail/A 62987-2023 tillsynsbegäran mail.docx", "A 62987-2023")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46196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Stenticka
Stor tratticka
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1744-2024</t>
        </is>
      </c>
      <c r="B30" s="1" t="n">
        <v>45307</v>
      </c>
      <c r="C30" s="1" t="n">
        <v>46196</v>
      </c>
      <c r="D30" t="inlineStr">
        <is>
          <t>SKÅNE LÄN</t>
        </is>
      </c>
      <c r="E30" t="inlineStr">
        <is>
          <t>KRISTIANSTAD</t>
        </is>
      </c>
      <c r="G30" t="n">
        <v>3.9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Ekskinn
Guldlockmossa
Jättesvampmal</t>
        </is>
      </c>
      <c r="S30">
        <f>HYPERLINK("https://klasma.github.io/Logging_1290/artfynd/A 1744-2024 artfynd.xlsx", "A 1744-2024")</f>
        <v/>
      </c>
      <c r="T30">
        <f>HYPERLINK("https://klasma.github.io/Logging_1290/kartor/A 1744-2024 karta.png", "A 1744-2024")</f>
        <v/>
      </c>
      <c r="V30">
        <f>HYPERLINK("https://klasma.github.io/Logging_1290/klagomål/A 1744-2024 FSC-klagomål.docx", "A 1744-2024")</f>
        <v/>
      </c>
      <c r="W30">
        <f>HYPERLINK("https://klasma.github.io/Logging_1290/klagomålsmail/A 1744-2024 FSC-klagomål mail.docx", "A 1744-2024")</f>
        <v/>
      </c>
      <c r="X30">
        <f>HYPERLINK("https://klasma.github.io/Logging_1290/tillsyn/A 1744-2024 tillsynsbegäran.docx", "A 1744-2024")</f>
        <v/>
      </c>
      <c r="Y30">
        <f>HYPERLINK("https://klasma.github.io/Logging_1290/tillsynsmail/A 1744-2024 tillsynsbegäran mail.docx", "A 1744-2024")</f>
        <v/>
      </c>
    </row>
    <row r="31" ht="15" customHeight="1">
      <c r="A31" t="inlineStr">
        <is>
          <t>A 52980-2025</t>
        </is>
      </c>
      <c r="B31" s="1" t="n">
        <v>45957</v>
      </c>
      <c r="C31" s="1" t="n">
        <v>46196</v>
      </c>
      <c r="D31" t="inlineStr">
        <is>
          <t>SKÅNE LÄN</t>
        </is>
      </c>
      <c r="E31" t="inlineStr">
        <is>
          <t>KRISTIANSTAD</t>
        </is>
      </c>
      <c r="G31" t="n">
        <v>3.6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Entita
Kråka
Kungsfågel</t>
        </is>
      </c>
      <c r="S31">
        <f>HYPERLINK("https://klasma.github.io/Logging_1290/artfynd/A 52980-2025 artfynd.xlsx", "A 52980-2025")</f>
        <v/>
      </c>
      <c r="T31">
        <f>HYPERLINK("https://klasma.github.io/Logging_1290/kartor/A 52980-2025 karta.png", "A 52980-2025")</f>
        <v/>
      </c>
      <c r="V31">
        <f>HYPERLINK("https://klasma.github.io/Logging_1290/klagomål/A 52980-2025 FSC-klagomål.docx", "A 52980-2025")</f>
        <v/>
      </c>
      <c r="W31">
        <f>HYPERLINK("https://klasma.github.io/Logging_1290/klagomålsmail/A 52980-2025 FSC-klagomål mail.docx", "A 52980-2025")</f>
        <v/>
      </c>
      <c r="X31">
        <f>HYPERLINK("https://klasma.github.io/Logging_1290/tillsyn/A 52980-2025 tillsynsbegäran.docx", "A 52980-2025")</f>
        <v/>
      </c>
      <c r="Y31">
        <f>HYPERLINK("https://klasma.github.io/Logging_1290/tillsynsmail/A 52980-2025 tillsynsbegäran mail.docx", "A 52980-2025")</f>
        <v/>
      </c>
      <c r="Z31">
        <f>HYPERLINK("https://klasma.github.io/Logging_1290/fåglar/A 52980-2025 prioriterade fågelarter.docx", "A 52980-2025")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46196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Västlig hakmossa
Röd glada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  <c r="Z32">
        <f>HYPERLINK("https://klasma.github.io/Logging_1290/fåglar/A 33364-2023 prioriterade fågelarter.docx", "A 33364-2023")</f>
        <v/>
      </c>
    </row>
    <row r="33" ht="15" customHeight="1">
      <c r="A33" t="inlineStr">
        <is>
          <t>A 47331-2025</t>
        </is>
      </c>
      <c r="B33" s="1" t="n">
        <v>45930</v>
      </c>
      <c r="C33" s="1" t="n">
        <v>46196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Entita
Mindre hackspett
Gröngöling</t>
        </is>
      </c>
      <c r="S33">
        <f>HYPERLINK("https://klasma.github.io/Logging_1290/artfynd/A 47331-2025 artfynd.xlsx", "A 47331-2025")</f>
        <v/>
      </c>
      <c r="T33">
        <f>HYPERLINK("https://klasma.github.io/Logging_1290/kartor/A 47331-2025 karta.png", "A 47331-2025")</f>
        <v/>
      </c>
      <c r="V33">
        <f>HYPERLINK("https://klasma.github.io/Logging_1290/klagomål/A 47331-2025 FSC-klagomål.docx", "A 47331-2025")</f>
        <v/>
      </c>
      <c r="W33">
        <f>HYPERLINK("https://klasma.github.io/Logging_1290/klagomålsmail/A 47331-2025 FSC-klagomål mail.docx", "A 47331-2025")</f>
        <v/>
      </c>
      <c r="X33">
        <f>HYPERLINK("https://klasma.github.io/Logging_1290/tillsyn/A 47331-2025 tillsynsbegäran.docx", "A 47331-2025")</f>
        <v/>
      </c>
      <c r="Y33">
        <f>HYPERLINK("https://klasma.github.io/Logging_1290/tillsynsmail/A 47331-2025 tillsynsbegäran mail.docx", "A 47331-2025")</f>
        <v/>
      </c>
      <c r="Z33">
        <f>HYPERLINK("https://klasma.github.io/Logging_1290/fåglar/A 47331-2025 prioriterade fågelarter.docx", "A 47331-2025")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46196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Sydlig gyllenspindling
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19569-2026</t>
        </is>
      </c>
      <c r="B35" s="1" t="n">
        <v>46132</v>
      </c>
      <c r="C35" s="1" t="n">
        <v>46196</v>
      </c>
      <c r="D35" t="inlineStr">
        <is>
          <t>SKÅNE LÄN</t>
        </is>
      </c>
      <c r="E35" t="inlineStr">
        <is>
          <t>KRISTIANSTAD</t>
        </is>
      </c>
      <c r="F35" t="inlineStr">
        <is>
          <t>Kommuner</t>
        </is>
      </c>
      <c r="G35" t="n">
        <v>5</v>
      </c>
      <c r="H35" t="n">
        <v>2</v>
      </c>
      <c r="I35" t="n">
        <v>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Ejder
Luktvädd
Skogsknipprot</t>
        </is>
      </c>
      <c r="S35">
        <f>HYPERLINK("https://klasma.github.io/Logging_1290/artfynd/A 19569-2026 artfynd.xlsx", "A 19569-2026")</f>
        <v/>
      </c>
      <c r="T35">
        <f>HYPERLINK("https://klasma.github.io/Logging_1290/kartor/A 19569-2026 karta.png", "A 19569-2026")</f>
        <v/>
      </c>
      <c r="V35">
        <f>HYPERLINK("https://klasma.github.io/Logging_1290/klagomål/A 19569-2026 FSC-klagomål.docx", "A 19569-2026")</f>
        <v/>
      </c>
      <c r="W35">
        <f>HYPERLINK("https://klasma.github.io/Logging_1290/klagomålsmail/A 19569-2026 FSC-klagomål mail.docx", "A 19569-2026")</f>
        <v/>
      </c>
      <c r="X35">
        <f>HYPERLINK("https://klasma.github.io/Logging_1290/tillsyn/A 19569-2026 tillsynsbegäran.docx", "A 19569-2026")</f>
        <v/>
      </c>
      <c r="Y35">
        <f>HYPERLINK("https://klasma.github.io/Logging_1290/tillsynsmail/A 19569-2026 tillsynsbegäran mail.docx", "A 19569-2026")</f>
        <v/>
      </c>
    </row>
    <row r="36" ht="15" customHeight="1">
      <c r="A36" t="inlineStr">
        <is>
          <t>A 52039-2021</t>
        </is>
      </c>
      <c r="B36" s="1" t="n">
        <v>44463</v>
      </c>
      <c r="C36" s="1" t="n">
        <v>46196</v>
      </c>
      <c r="D36" t="inlineStr">
        <is>
          <t>SKÅNE LÄN</t>
        </is>
      </c>
      <c r="E36" t="inlineStr">
        <is>
          <t>KRISTIANSTAD</t>
        </is>
      </c>
      <c r="G36" t="n">
        <v>3.1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Entita
Järnsparv
Gullviva</t>
        </is>
      </c>
      <c r="S36">
        <f>HYPERLINK("https://klasma.github.io/Logging_1290/artfynd/A 52039-2021 artfynd.xlsx", "A 52039-2021")</f>
        <v/>
      </c>
      <c r="T36">
        <f>HYPERLINK("https://klasma.github.io/Logging_1290/kartor/A 52039-2021 karta.png", "A 52039-2021")</f>
        <v/>
      </c>
      <c r="V36">
        <f>HYPERLINK("https://klasma.github.io/Logging_1290/klagomål/A 52039-2021 FSC-klagomål.docx", "A 52039-2021")</f>
        <v/>
      </c>
      <c r="W36">
        <f>HYPERLINK("https://klasma.github.io/Logging_1290/klagomålsmail/A 52039-2021 FSC-klagomål mail.docx", "A 52039-2021")</f>
        <v/>
      </c>
      <c r="X36">
        <f>HYPERLINK("https://klasma.github.io/Logging_1290/tillsyn/A 52039-2021 tillsynsbegäran.docx", "A 52039-2021")</f>
        <v/>
      </c>
      <c r="Y36">
        <f>HYPERLINK("https://klasma.github.io/Logging_1290/tillsynsmail/A 52039-2021 tillsynsbegäran mail.docx", "A 52039-2021")</f>
        <v/>
      </c>
      <c r="Z36">
        <f>HYPERLINK("https://klasma.github.io/Logging_1290/fåglar/A 52039-2021 prioriterade fågelarter.docx", "A 52039-2021")</f>
        <v/>
      </c>
    </row>
    <row r="37" ht="15" customHeight="1">
      <c r="A37" t="inlineStr">
        <is>
          <t>A 52020-2021</t>
        </is>
      </c>
      <c r="B37" s="1" t="n">
        <v>44463</v>
      </c>
      <c r="C37" s="1" t="n">
        <v>46196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Grönfink
Järnsparv
Kungsfågel</t>
        </is>
      </c>
      <c r="S37">
        <f>HYPERLINK("https://klasma.github.io/Logging_1290/artfynd/A 52020-2021 artfynd.xlsx", "A 52020-2021")</f>
        <v/>
      </c>
      <c r="T37">
        <f>HYPERLINK("https://klasma.github.io/Logging_1290/kartor/A 52020-2021 karta.png", "A 52020-2021")</f>
        <v/>
      </c>
      <c r="V37">
        <f>HYPERLINK("https://klasma.github.io/Logging_1290/klagomål/A 52020-2021 FSC-klagomål.docx", "A 52020-2021")</f>
        <v/>
      </c>
      <c r="W37">
        <f>HYPERLINK("https://klasma.github.io/Logging_1290/klagomålsmail/A 52020-2021 FSC-klagomål mail.docx", "A 52020-2021")</f>
        <v/>
      </c>
      <c r="X37">
        <f>HYPERLINK("https://klasma.github.io/Logging_1290/tillsyn/A 52020-2021 tillsynsbegäran.docx", "A 52020-2021")</f>
        <v/>
      </c>
      <c r="Y37">
        <f>HYPERLINK("https://klasma.github.io/Logging_1290/tillsynsmail/A 52020-2021 tillsynsbegäran mail.docx", "A 52020-2021")</f>
        <v/>
      </c>
      <c r="Z37">
        <f>HYPERLINK("https://klasma.github.io/Logging_1290/fåglar/A 52020-2021 prioriterade fågelarter.docx", "A 52020-2021")</f>
        <v/>
      </c>
    </row>
    <row r="38" ht="15" customHeight="1">
      <c r="A38" t="inlineStr">
        <is>
          <t>A 12576-2023</t>
        </is>
      </c>
      <c r="B38" s="1" t="n">
        <v>45000</v>
      </c>
      <c r="C38" s="1" t="n">
        <v>46196</v>
      </c>
      <c r="D38" t="inlineStr">
        <is>
          <t>SKÅNE LÄN</t>
        </is>
      </c>
      <c r="E38" t="inlineStr">
        <is>
          <t>KRISTIANSTAD</t>
        </is>
      </c>
      <c r="G38" t="n">
        <v>5.8</v>
      </c>
      <c r="H38" t="n">
        <v>0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Bukspolsnäcka
Tandsnäcka
Lamellsnäcka</t>
        </is>
      </c>
      <c r="S38">
        <f>HYPERLINK("https://klasma.github.io/Logging_1290/artfynd/A 12576-2023 artfynd.xlsx", "A 12576-2023")</f>
        <v/>
      </c>
      <c r="T38">
        <f>HYPERLINK("https://klasma.github.io/Logging_1290/kartor/A 12576-2023 karta.png", "A 12576-2023")</f>
        <v/>
      </c>
      <c r="V38">
        <f>HYPERLINK("https://klasma.github.io/Logging_1290/klagomål/A 12576-2023 FSC-klagomål.docx", "A 12576-2023")</f>
        <v/>
      </c>
      <c r="W38">
        <f>HYPERLINK("https://klasma.github.io/Logging_1290/klagomålsmail/A 12576-2023 FSC-klagomål mail.docx", "A 12576-2023")</f>
        <v/>
      </c>
      <c r="X38">
        <f>HYPERLINK("https://klasma.github.io/Logging_1290/tillsyn/A 12576-2023 tillsynsbegäran.docx", "A 12576-2023")</f>
        <v/>
      </c>
      <c r="Y38">
        <f>HYPERLINK("https://klasma.github.io/Logging_1290/tillsynsmail/A 12576-2023 tillsynsbegäran mail.docx", "A 12576-2023")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46196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46196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755-2025</t>
        </is>
      </c>
      <c r="B41" s="1" t="n">
        <v>45665</v>
      </c>
      <c r="C41" s="1" t="n">
        <v>46196</v>
      </c>
      <c r="D41" t="inlineStr">
        <is>
          <t>SKÅNE LÄN</t>
        </is>
      </c>
      <c r="E41" t="inlineStr">
        <is>
          <t>KRISTIANSTAD</t>
        </is>
      </c>
      <c r="G41" t="n">
        <v>1.9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Rosa lundlav
Stiftklotterlav</t>
        </is>
      </c>
      <c r="S41">
        <f>HYPERLINK("https://klasma.github.io/Logging_1290/artfynd/A 755-2025 artfynd.xlsx", "A 755-2025")</f>
        <v/>
      </c>
      <c r="T41">
        <f>HYPERLINK("https://klasma.github.io/Logging_1290/kartor/A 755-2025 karta.png", "A 755-2025")</f>
        <v/>
      </c>
      <c r="V41">
        <f>HYPERLINK("https://klasma.github.io/Logging_1290/klagomål/A 755-2025 FSC-klagomål.docx", "A 755-2025")</f>
        <v/>
      </c>
      <c r="W41">
        <f>HYPERLINK("https://klasma.github.io/Logging_1290/klagomålsmail/A 755-2025 FSC-klagomål mail.docx", "A 755-2025")</f>
        <v/>
      </c>
      <c r="X41">
        <f>HYPERLINK("https://klasma.github.io/Logging_1290/tillsyn/A 755-2025 tillsynsbegäran.docx", "A 755-2025")</f>
        <v/>
      </c>
      <c r="Y41">
        <f>HYPERLINK("https://klasma.github.io/Logging_1290/tillsynsmail/A 755-2025 tillsynsbegäran mail.docx", "A 755-2025")</f>
        <v/>
      </c>
    </row>
    <row r="42" ht="15" customHeight="1">
      <c r="A42" t="inlineStr">
        <is>
          <t>A 9290-2025</t>
        </is>
      </c>
      <c r="B42" s="1" t="n">
        <v>45714</v>
      </c>
      <c r="C42" s="1" t="n">
        <v>46196</v>
      </c>
      <c r="D42" t="inlineStr">
        <is>
          <t>SKÅNE LÄN</t>
        </is>
      </c>
      <c r="E42" t="inlineStr">
        <is>
          <t>KRISTIANSTAD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 skärelav
Myskmadra</t>
        </is>
      </c>
      <c r="S42">
        <f>HYPERLINK("https://klasma.github.io/Logging_1290/artfynd/A 9290-2025 artfynd.xlsx", "A 9290-2025")</f>
        <v/>
      </c>
      <c r="T42">
        <f>HYPERLINK("https://klasma.github.io/Logging_1290/kartor/A 9290-2025 karta.png", "A 9290-2025")</f>
        <v/>
      </c>
      <c r="V42">
        <f>HYPERLINK("https://klasma.github.io/Logging_1290/klagomål/A 9290-2025 FSC-klagomål.docx", "A 9290-2025")</f>
        <v/>
      </c>
      <c r="W42">
        <f>HYPERLINK("https://klasma.github.io/Logging_1290/klagomålsmail/A 9290-2025 FSC-klagomål mail.docx", "A 9290-2025")</f>
        <v/>
      </c>
      <c r="X42">
        <f>HYPERLINK("https://klasma.github.io/Logging_1290/tillsyn/A 9290-2025 tillsynsbegäran.docx", "A 9290-2025")</f>
        <v/>
      </c>
      <c r="Y42">
        <f>HYPERLINK("https://klasma.github.io/Logging_1290/tillsynsmail/A 9290-2025 tillsynsbegäran mail.docx", "A 9290-2025")</f>
        <v/>
      </c>
    </row>
    <row r="43" ht="15" customHeight="1">
      <c r="A43" t="inlineStr">
        <is>
          <t>A 40296-2025</t>
        </is>
      </c>
      <c r="B43" s="1" t="n">
        <v>45895</v>
      </c>
      <c r="C43" s="1" t="n">
        <v>46196</v>
      </c>
      <c r="D43" t="inlineStr">
        <is>
          <t>SKÅNE LÄN</t>
        </is>
      </c>
      <c r="E43" t="inlineStr">
        <is>
          <t>KRISTIANSTAD</t>
        </is>
      </c>
      <c r="G43" t="n">
        <v>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Småvänderot
Trana</t>
        </is>
      </c>
      <c r="S43">
        <f>HYPERLINK("https://klasma.github.io/Logging_1290/artfynd/A 40296-2025 artfynd.xlsx", "A 40296-2025")</f>
        <v/>
      </c>
      <c r="T43">
        <f>HYPERLINK("https://klasma.github.io/Logging_1290/kartor/A 40296-2025 karta.png", "A 40296-2025")</f>
        <v/>
      </c>
      <c r="V43">
        <f>HYPERLINK("https://klasma.github.io/Logging_1290/klagomål/A 40296-2025 FSC-klagomål.docx", "A 40296-2025")</f>
        <v/>
      </c>
      <c r="W43">
        <f>HYPERLINK("https://klasma.github.io/Logging_1290/klagomålsmail/A 40296-2025 FSC-klagomål mail.docx", "A 40296-2025")</f>
        <v/>
      </c>
      <c r="X43">
        <f>HYPERLINK("https://klasma.github.io/Logging_1290/tillsyn/A 40296-2025 tillsynsbegäran.docx", "A 40296-2025")</f>
        <v/>
      </c>
      <c r="Y43">
        <f>HYPERLINK("https://klasma.github.io/Logging_1290/tillsynsmail/A 40296-2025 tillsynsbegäran mail.docx", "A 40296-2025")</f>
        <v/>
      </c>
      <c r="Z43">
        <f>HYPERLINK("https://klasma.github.io/Logging_1290/fåglar/A 40296-2025 prioriterade fågelarter.docx", "A 40296-2025")</f>
        <v/>
      </c>
    </row>
    <row r="44" ht="15" customHeight="1">
      <c r="A44" t="inlineStr">
        <is>
          <t>A 24803-2025</t>
        </is>
      </c>
      <c r="B44" s="1" t="n">
        <v>45799</v>
      </c>
      <c r="C44" s="1" t="n">
        <v>46196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9.699999999999999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Kungsfågel
Röd glada</t>
        </is>
      </c>
      <c r="S44">
        <f>HYPERLINK("https://klasma.github.io/Logging_1290/artfynd/A 24803-2025 artfynd.xlsx", "A 24803-2025")</f>
        <v/>
      </c>
      <c r="T44">
        <f>HYPERLINK("https://klasma.github.io/Logging_1290/kartor/A 24803-2025 karta.png", "A 24803-2025")</f>
        <v/>
      </c>
      <c r="V44">
        <f>HYPERLINK("https://klasma.github.io/Logging_1290/klagomål/A 24803-2025 FSC-klagomål.docx", "A 24803-2025")</f>
        <v/>
      </c>
      <c r="W44">
        <f>HYPERLINK("https://klasma.github.io/Logging_1290/klagomålsmail/A 24803-2025 FSC-klagomål mail.docx", "A 24803-2025")</f>
        <v/>
      </c>
      <c r="X44">
        <f>HYPERLINK("https://klasma.github.io/Logging_1290/tillsyn/A 24803-2025 tillsynsbegäran.docx", "A 24803-2025")</f>
        <v/>
      </c>
      <c r="Y44">
        <f>HYPERLINK("https://klasma.github.io/Logging_1290/tillsynsmail/A 24803-2025 tillsynsbegäran mail.docx", "A 24803-2025")</f>
        <v/>
      </c>
      <c r="Z44">
        <f>HYPERLINK("https://klasma.github.io/Logging_1290/fåglar/A 24803-2025 prioriterade fågelarter.docx", "A 24803-2025")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46196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Bokoxe
Utter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58634-2025</t>
        </is>
      </c>
      <c r="B46" s="1" t="n">
        <v>45986</v>
      </c>
      <c r="C46" s="1" t="n">
        <v>46196</v>
      </c>
      <c r="D46" t="inlineStr">
        <is>
          <t>SKÅNE LÄN</t>
        </is>
      </c>
      <c r="E46" t="inlineStr">
        <is>
          <t>KRISTIANSTAD</t>
        </is>
      </c>
      <c r="G46" t="n">
        <v>6.5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Sanddådra
Grådådra</t>
        </is>
      </c>
      <c r="S46">
        <f>HYPERLINK("https://klasma.github.io/Logging_1290/artfynd/A 58634-2025 artfynd.xlsx", "A 58634-2025")</f>
        <v/>
      </c>
      <c r="T46">
        <f>HYPERLINK("https://klasma.github.io/Logging_1290/kartor/A 58634-2025 karta.png", "A 58634-2025")</f>
        <v/>
      </c>
      <c r="V46">
        <f>HYPERLINK("https://klasma.github.io/Logging_1290/klagomål/A 58634-2025 FSC-klagomål.docx", "A 58634-2025")</f>
        <v/>
      </c>
      <c r="W46">
        <f>HYPERLINK("https://klasma.github.io/Logging_1290/klagomålsmail/A 58634-2025 FSC-klagomål mail.docx", "A 58634-2025")</f>
        <v/>
      </c>
      <c r="X46">
        <f>HYPERLINK("https://klasma.github.io/Logging_1290/tillsyn/A 58634-2025 tillsynsbegäran.docx", "A 58634-2025")</f>
        <v/>
      </c>
      <c r="Y46">
        <f>HYPERLINK("https://klasma.github.io/Logging_1290/tillsynsmail/A 58634-2025 tillsynsbegäran mail.docx", "A 58634-2025")</f>
        <v/>
      </c>
    </row>
    <row r="47" ht="15" customHeight="1">
      <c r="A47" t="inlineStr">
        <is>
          <t>A 47029-2025</t>
        </is>
      </c>
      <c r="B47" s="1" t="n">
        <v>45929</v>
      </c>
      <c r="C47" s="1" t="n">
        <v>46196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Jungfrulin
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63500-2025</t>
        </is>
      </c>
      <c r="B48" s="1" t="n">
        <v>46013</v>
      </c>
      <c r="C48" s="1" t="n">
        <v>46196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Entita
Talltita</t>
        </is>
      </c>
      <c r="S48">
        <f>HYPERLINK("https://klasma.github.io/Logging_1290/artfynd/A 63500-2025 artfynd.xlsx", "A 63500-2025")</f>
        <v/>
      </c>
      <c r="T48">
        <f>HYPERLINK("https://klasma.github.io/Logging_1290/kartor/A 63500-2025 karta.png", "A 63500-2025")</f>
        <v/>
      </c>
      <c r="V48">
        <f>HYPERLINK("https://klasma.github.io/Logging_1290/klagomål/A 63500-2025 FSC-klagomål.docx", "A 63500-2025")</f>
        <v/>
      </c>
      <c r="W48">
        <f>HYPERLINK("https://klasma.github.io/Logging_1290/klagomålsmail/A 63500-2025 FSC-klagomål mail.docx", "A 63500-2025")</f>
        <v/>
      </c>
      <c r="X48">
        <f>HYPERLINK("https://klasma.github.io/Logging_1290/tillsyn/A 63500-2025 tillsynsbegäran.docx", "A 63500-2025")</f>
        <v/>
      </c>
      <c r="Y48">
        <f>HYPERLINK("https://klasma.github.io/Logging_1290/tillsynsmail/A 63500-2025 tillsynsbegäran mail.docx", "A 63500-2025")</f>
        <v/>
      </c>
      <c r="Z48">
        <f>HYPERLINK("https://klasma.github.io/Logging_1290/fåglar/A 63500-2025 prioriterade fågelarter.docx", "A 63500-2025")</f>
        <v/>
      </c>
    </row>
    <row r="49" ht="15" customHeight="1">
      <c r="A49" t="inlineStr">
        <is>
          <t>A 12744-2026</t>
        </is>
      </c>
      <c r="B49" s="1" t="n">
        <v>46091</v>
      </c>
      <c r="C49" s="1" t="n">
        <v>46196</v>
      </c>
      <c r="D49" t="inlineStr">
        <is>
          <t>SKÅNE LÄN</t>
        </is>
      </c>
      <c r="E49" t="inlineStr">
        <is>
          <t>KRISTIANSTAD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Glansfläck
Olivklotterlav</t>
        </is>
      </c>
      <c r="S49">
        <f>HYPERLINK("https://klasma.github.io/Logging_1290/artfynd/A 12744-2026 artfynd.xlsx", "A 12744-2026")</f>
        <v/>
      </c>
      <c r="T49">
        <f>HYPERLINK("https://klasma.github.io/Logging_1290/kartor/A 12744-2026 karta.png", "A 12744-2026")</f>
        <v/>
      </c>
      <c r="V49">
        <f>HYPERLINK("https://klasma.github.io/Logging_1290/klagomål/A 12744-2026 FSC-klagomål.docx", "A 12744-2026")</f>
        <v/>
      </c>
      <c r="W49">
        <f>HYPERLINK("https://klasma.github.io/Logging_1290/klagomålsmail/A 12744-2026 FSC-klagomål mail.docx", "A 12744-2026")</f>
        <v/>
      </c>
      <c r="X49">
        <f>HYPERLINK("https://klasma.github.io/Logging_1290/tillsyn/A 12744-2026 tillsynsbegäran.docx", "A 12744-2026")</f>
        <v/>
      </c>
      <c r="Y49">
        <f>HYPERLINK("https://klasma.github.io/Logging_1290/tillsynsmail/A 12744-2026 tillsynsbegäran mail.docx", "A 12744-2026")</f>
        <v/>
      </c>
    </row>
    <row r="50" ht="15" customHeight="1">
      <c r="A50" t="inlineStr">
        <is>
          <t>A 56969-2023</t>
        </is>
      </c>
      <c r="B50" s="1" t="n">
        <v>45244</v>
      </c>
      <c r="C50" s="1" t="n">
        <v>46196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Lundbräsma
Myskmadra</t>
        </is>
      </c>
      <c r="S50">
        <f>HYPERLINK("https://klasma.github.io/Logging_1290/artfynd/A 56969-2023 artfynd.xlsx", "A 56969-2023")</f>
        <v/>
      </c>
      <c r="T50">
        <f>HYPERLINK("https://klasma.github.io/Logging_1290/kartor/A 56969-2023 karta.png", "A 56969-2023")</f>
        <v/>
      </c>
      <c r="V50">
        <f>HYPERLINK("https://klasma.github.io/Logging_1290/klagomål/A 56969-2023 FSC-klagomål.docx", "A 56969-2023")</f>
        <v/>
      </c>
      <c r="W50">
        <f>HYPERLINK("https://klasma.github.io/Logging_1290/klagomålsmail/A 56969-2023 FSC-klagomål mail.docx", "A 56969-2023")</f>
        <v/>
      </c>
      <c r="X50">
        <f>HYPERLINK("https://klasma.github.io/Logging_1290/tillsyn/A 56969-2023 tillsynsbegäran.docx", "A 56969-2023")</f>
        <v/>
      </c>
      <c r="Y50">
        <f>HYPERLINK("https://klasma.github.io/Logging_1290/tillsynsmail/A 56969-2023 tillsynsbegäran mail.docx", "A 56969-2023")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46196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Dvärgjohannesört
Stor häxört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25762-2024</t>
        </is>
      </c>
      <c r="B52" s="1" t="n">
        <v>45465</v>
      </c>
      <c r="C52" s="1" t="n">
        <v>46196</v>
      </c>
      <c r="D52" t="inlineStr">
        <is>
          <t>SKÅNE LÄN</t>
        </is>
      </c>
      <c r="E52" t="inlineStr">
        <is>
          <t>KRISTIANSTAD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Gullviva</t>
        </is>
      </c>
      <c r="S52">
        <f>HYPERLINK("https://klasma.github.io/Logging_1290/artfynd/A 25762-2024 artfynd.xlsx", "A 25762-2024")</f>
        <v/>
      </c>
      <c r="T52">
        <f>HYPERLINK("https://klasma.github.io/Logging_1290/kartor/A 25762-2024 karta.png", "A 25762-2024")</f>
        <v/>
      </c>
      <c r="V52">
        <f>HYPERLINK("https://klasma.github.io/Logging_1290/klagomål/A 25762-2024 FSC-klagomål.docx", "A 25762-2024")</f>
        <v/>
      </c>
      <c r="W52">
        <f>HYPERLINK("https://klasma.github.io/Logging_1290/klagomålsmail/A 25762-2024 FSC-klagomål mail.docx", "A 25762-2024")</f>
        <v/>
      </c>
      <c r="X52">
        <f>HYPERLINK("https://klasma.github.io/Logging_1290/tillsyn/A 25762-2024 tillsynsbegäran.docx", "A 25762-2024")</f>
        <v/>
      </c>
      <c r="Y52">
        <f>HYPERLINK("https://klasma.github.io/Logging_1290/tillsynsmail/A 25762-2024 tillsynsbegäran mail.docx", "A 25762-2024")</f>
        <v/>
      </c>
    </row>
    <row r="53" ht="15" customHeight="1">
      <c r="A53" t="inlineStr">
        <is>
          <t>A 2888-2024</t>
        </is>
      </c>
      <c r="B53" s="1" t="n">
        <v>45315</v>
      </c>
      <c r="C53" s="1" t="n">
        <v>46196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Kransrams
Stor häxört</t>
        </is>
      </c>
      <c r="S53">
        <f>HYPERLINK("https://klasma.github.io/Logging_1290/artfynd/A 2888-2024 artfynd.xlsx", "A 2888-2024")</f>
        <v/>
      </c>
      <c r="T53">
        <f>HYPERLINK("https://klasma.github.io/Logging_1290/kartor/A 2888-2024 karta.png", "A 2888-2024")</f>
        <v/>
      </c>
      <c r="V53">
        <f>HYPERLINK("https://klasma.github.io/Logging_1290/klagomål/A 2888-2024 FSC-klagomål.docx", "A 2888-2024")</f>
        <v/>
      </c>
      <c r="W53">
        <f>HYPERLINK("https://klasma.github.io/Logging_1290/klagomålsmail/A 2888-2024 FSC-klagomål mail.docx", "A 2888-2024")</f>
        <v/>
      </c>
      <c r="X53">
        <f>HYPERLINK("https://klasma.github.io/Logging_1290/tillsyn/A 2888-2024 tillsynsbegäran.docx", "A 2888-2024")</f>
        <v/>
      </c>
      <c r="Y53">
        <f>HYPERLINK("https://klasma.github.io/Logging_1290/tillsynsmail/A 2888-2024 tillsynsbegäran mail.docx", "A 2888-2024")</f>
        <v/>
      </c>
    </row>
    <row r="54" ht="15" customHeight="1">
      <c r="A54" t="inlineStr">
        <is>
          <t>A 1418-2024</t>
        </is>
      </c>
      <c r="B54" s="1" t="n">
        <v>45303</v>
      </c>
      <c r="C54" s="1" t="n">
        <v>46196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Gropticka
Stenticka</t>
        </is>
      </c>
      <c r="S54">
        <f>HYPERLINK("https://klasma.github.io/Logging_1290/artfynd/A 1418-2024 artfynd.xlsx", "A 1418-2024")</f>
        <v/>
      </c>
      <c r="T54">
        <f>HYPERLINK("https://klasma.github.io/Logging_1290/kartor/A 1418-2024 karta.png", "A 1418-2024")</f>
        <v/>
      </c>
      <c r="V54">
        <f>HYPERLINK("https://klasma.github.io/Logging_1290/klagomål/A 1418-2024 FSC-klagomål.docx", "A 1418-2024")</f>
        <v/>
      </c>
      <c r="W54">
        <f>HYPERLINK("https://klasma.github.io/Logging_1290/klagomålsmail/A 1418-2024 FSC-klagomål mail.docx", "A 1418-2024")</f>
        <v/>
      </c>
      <c r="X54">
        <f>HYPERLINK("https://klasma.github.io/Logging_1290/tillsyn/A 1418-2024 tillsynsbegäran.docx", "A 1418-2024")</f>
        <v/>
      </c>
      <c r="Y54">
        <f>HYPERLINK("https://klasma.github.io/Logging_1290/tillsynsmail/A 1418-2024 tillsynsbegäran mail.docx", "A 1418-2024")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46196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Igelkottsröksvamp
Åkergroda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45911-2024</t>
        </is>
      </c>
      <c r="B56" s="1" t="n">
        <v>45580</v>
      </c>
      <c r="C56" s="1" t="n">
        <v>46196</v>
      </c>
      <c r="D56" t="inlineStr">
        <is>
          <t>SKÅNE LÄN</t>
        </is>
      </c>
      <c r="E56" t="inlineStr">
        <is>
          <t>KRISTIANSTAD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Lömsk flugsvamp
Svavelriska</t>
        </is>
      </c>
      <c r="S56">
        <f>HYPERLINK("https://klasma.github.io/Logging_1290/artfynd/A 45911-2024 artfynd.xlsx", "A 45911-2024")</f>
        <v/>
      </c>
      <c r="T56">
        <f>HYPERLINK("https://klasma.github.io/Logging_1290/kartor/A 45911-2024 karta.png", "A 45911-2024")</f>
        <v/>
      </c>
      <c r="V56">
        <f>HYPERLINK("https://klasma.github.io/Logging_1290/klagomål/A 45911-2024 FSC-klagomål.docx", "A 45911-2024")</f>
        <v/>
      </c>
      <c r="W56">
        <f>HYPERLINK("https://klasma.github.io/Logging_1290/klagomålsmail/A 45911-2024 FSC-klagomål mail.docx", "A 45911-2024")</f>
        <v/>
      </c>
      <c r="X56">
        <f>HYPERLINK("https://klasma.github.io/Logging_1290/tillsyn/A 45911-2024 tillsynsbegäran.docx", "A 45911-2024")</f>
        <v/>
      </c>
      <c r="Y56">
        <f>HYPERLINK("https://klasma.github.io/Logging_1290/tillsynsmail/A 45911-2024 tillsynsbegäran mail.docx", "A 45911-2024")</f>
        <v/>
      </c>
    </row>
    <row r="57" ht="15" customHeight="1">
      <c r="A57" t="inlineStr">
        <is>
          <t>A 9898-2025</t>
        </is>
      </c>
      <c r="B57" s="1" t="n">
        <v>45716</v>
      </c>
      <c r="C57" s="1" t="n">
        <v>46196</v>
      </c>
      <c r="D57" t="inlineStr">
        <is>
          <t>SKÅNE LÄN</t>
        </is>
      </c>
      <c r="E57" t="inlineStr">
        <is>
          <t>KRISTIANSTAD</t>
        </is>
      </c>
      <c r="G57" t="n">
        <v>1.5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Fransig jordstjärna
Kantjordstjärna</t>
        </is>
      </c>
      <c r="S57">
        <f>HYPERLINK("https://klasma.github.io/Logging_1290/artfynd/A 9898-2025 artfynd.xlsx", "A 9898-2025")</f>
        <v/>
      </c>
      <c r="T57">
        <f>HYPERLINK("https://klasma.github.io/Logging_1290/kartor/A 9898-2025 karta.png", "A 9898-2025")</f>
        <v/>
      </c>
      <c r="V57">
        <f>HYPERLINK("https://klasma.github.io/Logging_1290/klagomål/A 9898-2025 FSC-klagomål.docx", "A 9898-2025")</f>
        <v/>
      </c>
      <c r="W57">
        <f>HYPERLINK("https://klasma.github.io/Logging_1290/klagomålsmail/A 9898-2025 FSC-klagomål mail.docx", "A 9898-2025")</f>
        <v/>
      </c>
      <c r="X57">
        <f>HYPERLINK("https://klasma.github.io/Logging_1290/tillsyn/A 9898-2025 tillsynsbegäran.docx", "A 9898-2025")</f>
        <v/>
      </c>
      <c r="Y57">
        <f>HYPERLINK("https://klasma.github.io/Logging_1290/tillsynsmail/A 9898-2025 tillsynsbegäran mail.docx", "A 9898-2025")</f>
        <v/>
      </c>
    </row>
    <row r="58" ht="15" customHeight="1">
      <c r="A58" t="inlineStr">
        <is>
          <t>A 15229-2023</t>
        </is>
      </c>
      <c r="B58" s="1" t="n">
        <v>45016</v>
      </c>
      <c r="C58" s="1" t="n">
        <v>46196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Drillsnäppa
Buskskvätta</t>
        </is>
      </c>
      <c r="S58">
        <f>HYPERLINK("https://klasma.github.io/Logging_1290/artfynd/A 15229-2023 artfynd.xlsx", "A 15229-2023")</f>
        <v/>
      </c>
      <c r="T58">
        <f>HYPERLINK("https://klasma.github.io/Logging_1290/kartor/A 15229-2023 karta.png", "A 15229-2023")</f>
        <v/>
      </c>
      <c r="V58">
        <f>HYPERLINK("https://klasma.github.io/Logging_1290/klagomål/A 15229-2023 FSC-klagomål.docx", "A 15229-2023")</f>
        <v/>
      </c>
      <c r="W58">
        <f>HYPERLINK("https://klasma.github.io/Logging_1290/klagomålsmail/A 15229-2023 FSC-klagomål mail.docx", "A 15229-2023")</f>
        <v/>
      </c>
      <c r="X58">
        <f>HYPERLINK("https://klasma.github.io/Logging_1290/tillsyn/A 15229-2023 tillsynsbegäran.docx", "A 15229-2023")</f>
        <v/>
      </c>
      <c r="Y58">
        <f>HYPERLINK("https://klasma.github.io/Logging_1290/tillsynsmail/A 15229-2023 tillsynsbegäran mail.docx", "A 15229-2023")</f>
        <v/>
      </c>
      <c r="Z58">
        <f>HYPERLINK("https://klasma.github.io/Logging_1290/fåglar/A 15229-2023 prioriterade fågelarter.docx", "A 15229-2023")</f>
        <v/>
      </c>
    </row>
    <row r="59" ht="15" customHeight="1">
      <c r="A59" t="inlineStr">
        <is>
          <t>A 55737-2021</t>
        </is>
      </c>
      <c r="B59" s="1" t="n">
        <v>44476</v>
      </c>
      <c r="C59" s="1" t="n">
        <v>46196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7.4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Mindre tåtelsmygare
Kopparödla</t>
        </is>
      </c>
      <c r="S59">
        <f>HYPERLINK("https://klasma.github.io/Logging_1290/artfynd/A 55737-2021 artfynd.xlsx", "A 55737-2021")</f>
        <v/>
      </c>
      <c r="T59">
        <f>HYPERLINK("https://klasma.github.io/Logging_1290/kartor/A 55737-2021 karta.png", "A 55737-2021")</f>
        <v/>
      </c>
      <c r="V59">
        <f>HYPERLINK("https://klasma.github.io/Logging_1290/klagomål/A 55737-2021 FSC-klagomål.docx", "A 55737-2021")</f>
        <v/>
      </c>
      <c r="W59">
        <f>HYPERLINK("https://klasma.github.io/Logging_1290/klagomålsmail/A 55737-2021 FSC-klagomål mail.docx", "A 55737-2021")</f>
        <v/>
      </c>
      <c r="X59">
        <f>HYPERLINK("https://klasma.github.io/Logging_1290/tillsyn/A 55737-2021 tillsynsbegäran.docx", "A 55737-2021")</f>
        <v/>
      </c>
      <c r="Y59">
        <f>HYPERLINK("https://klasma.github.io/Logging_1290/tillsynsmail/A 55737-2021 tillsynsbegäran mail.docx", "A 55737-2021")</f>
        <v/>
      </c>
    </row>
    <row r="60" ht="15" customHeight="1">
      <c r="A60" t="inlineStr">
        <is>
          <t>A 55499-2024</t>
        </is>
      </c>
      <c r="B60" s="1" t="n">
        <v>45622</v>
      </c>
      <c r="C60" s="1" t="n">
        <v>46196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2.1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Hedpärlemorfjäril
Grönvit nattviol</t>
        </is>
      </c>
      <c r="S60">
        <f>HYPERLINK("https://klasma.github.io/Logging_1290/artfynd/A 55499-2024 artfynd.xlsx", "A 55499-2024")</f>
        <v/>
      </c>
      <c r="T60">
        <f>HYPERLINK("https://klasma.github.io/Logging_1290/kartor/A 55499-2024 karta.png", "A 55499-2024")</f>
        <v/>
      </c>
      <c r="V60">
        <f>HYPERLINK("https://klasma.github.io/Logging_1290/klagomål/A 55499-2024 FSC-klagomål.docx", "A 55499-2024")</f>
        <v/>
      </c>
      <c r="W60">
        <f>HYPERLINK("https://klasma.github.io/Logging_1290/klagomålsmail/A 55499-2024 FSC-klagomål mail.docx", "A 55499-2024")</f>
        <v/>
      </c>
      <c r="X60">
        <f>HYPERLINK("https://klasma.github.io/Logging_1290/tillsyn/A 55499-2024 tillsynsbegäran.docx", "A 55499-2024")</f>
        <v/>
      </c>
      <c r="Y60">
        <f>HYPERLINK("https://klasma.github.io/Logging_1290/tillsynsmail/A 55499-2024 tillsynsbegäran mail.docx", "A 55499-2024")</f>
        <v/>
      </c>
    </row>
    <row r="61" ht="15" customHeight="1">
      <c r="A61" t="inlineStr">
        <is>
          <t>A 60333-2022</t>
        </is>
      </c>
      <c r="B61" s="1" t="n">
        <v>44910</v>
      </c>
      <c r="C61" s="1" t="n">
        <v>46196</v>
      </c>
      <c r="D61" t="inlineStr">
        <is>
          <t>SKÅNE LÄN</t>
        </is>
      </c>
      <c r="E61" t="inlineStr">
        <is>
          <t>KRISTIANSTAD</t>
        </is>
      </c>
      <c r="G61" t="n">
        <v>4.1</v>
      </c>
      <c r="H61" t="n">
        <v>1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Sandödla
Åkersyska</t>
        </is>
      </c>
      <c r="S61">
        <f>HYPERLINK("https://klasma.github.io/Logging_1290/artfynd/A 60333-2022 artfynd.xlsx", "A 60333-2022")</f>
        <v/>
      </c>
      <c r="T61">
        <f>HYPERLINK("https://klasma.github.io/Logging_1290/kartor/A 60333-2022 karta.png", "A 60333-2022")</f>
        <v/>
      </c>
      <c r="V61">
        <f>HYPERLINK("https://klasma.github.io/Logging_1290/klagomål/A 60333-2022 FSC-klagomål.docx", "A 60333-2022")</f>
        <v/>
      </c>
      <c r="W61">
        <f>HYPERLINK("https://klasma.github.io/Logging_1290/klagomålsmail/A 60333-2022 FSC-klagomål mail.docx", "A 60333-2022")</f>
        <v/>
      </c>
      <c r="X61">
        <f>HYPERLINK("https://klasma.github.io/Logging_1290/tillsyn/A 60333-2022 tillsynsbegäran.docx", "A 60333-2022")</f>
        <v/>
      </c>
      <c r="Y61">
        <f>HYPERLINK("https://klasma.github.io/Logging_1290/tillsynsmail/A 60333-2022 tillsynsbegäran mail.docx", "A 60333-2022")</f>
        <v/>
      </c>
    </row>
    <row r="62" ht="15" customHeight="1">
      <c r="A62" t="inlineStr">
        <is>
          <t>A 30842-2022</t>
        </is>
      </c>
      <c r="B62" s="1" t="n">
        <v>44767</v>
      </c>
      <c r="C62" s="1" t="n">
        <v>46196</v>
      </c>
      <c r="D62" t="inlineStr">
        <is>
          <t>SKÅNE LÄN</t>
        </is>
      </c>
      <c r="E62" t="inlineStr">
        <is>
          <t>KRISTIANSTAD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Småvänderot
Större vattensalamander</t>
        </is>
      </c>
      <c r="S62">
        <f>HYPERLINK("https://klasma.github.io/Logging_1290/artfynd/A 30842-2022 artfynd.xlsx", "A 30842-2022")</f>
        <v/>
      </c>
      <c r="T62">
        <f>HYPERLINK("https://klasma.github.io/Logging_1290/kartor/A 30842-2022 karta.png", "A 30842-2022")</f>
        <v/>
      </c>
      <c r="V62">
        <f>HYPERLINK("https://klasma.github.io/Logging_1290/klagomål/A 30842-2022 FSC-klagomål.docx", "A 30842-2022")</f>
        <v/>
      </c>
      <c r="W62">
        <f>HYPERLINK("https://klasma.github.io/Logging_1290/klagomålsmail/A 30842-2022 FSC-klagomål mail.docx", "A 30842-2022")</f>
        <v/>
      </c>
      <c r="X62">
        <f>HYPERLINK("https://klasma.github.io/Logging_1290/tillsyn/A 30842-2022 tillsynsbegäran.docx", "A 30842-2022")</f>
        <v/>
      </c>
      <c r="Y62">
        <f>HYPERLINK("https://klasma.github.io/Logging_1290/tillsynsmail/A 30842-2022 tillsynsbegäran mail.docx", "A 30842-2022")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46196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38938-2022</t>
        </is>
      </c>
      <c r="B64" s="1" t="n">
        <v>44816</v>
      </c>
      <c r="C64" s="1" t="n">
        <v>46196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38938-2022 artfynd.xlsx", "A 38938-2022")</f>
        <v/>
      </c>
      <c r="T64">
        <f>HYPERLINK("https://klasma.github.io/Logging_1290/kartor/A 38938-2022 karta.png", "A 38938-2022")</f>
        <v/>
      </c>
      <c r="V64">
        <f>HYPERLINK("https://klasma.github.io/Logging_1290/klagomål/A 38938-2022 FSC-klagomål.docx", "A 38938-2022")</f>
        <v/>
      </c>
      <c r="W64">
        <f>HYPERLINK("https://klasma.github.io/Logging_1290/klagomålsmail/A 38938-2022 FSC-klagomål mail.docx", "A 38938-2022")</f>
        <v/>
      </c>
      <c r="X64">
        <f>HYPERLINK("https://klasma.github.io/Logging_1290/tillsyn/A 38938-2022 tillsynsbegäran.docx", "A 38938-2022")</f>
        <v/>
      </c>
      <c r="Y64">
        <f>HYPERLINK("https://klasma.github.io/Logging_1290/tillsynsmail/A 38938-2022 tillsynsbegäran mail.docx", "A 38938-2022")</f>
        <v/>
      </c>
    </row>
    <row r="65" ht="15" customHeight="1">
      <c r="A65" t="inlineStr">
        <is>
          <t>A 27955-2022</t>
        </is>
      </c>
      <c r="B65" s="1" t="n">
        <v>44743</v>
      </c>
      <c r="C65" s="1" t="n">
        <v>46196</v>
      </c>
      <c r="D65" t="inlineStr">
        <is>
          <t>SKÅNE LÄN</t>
        </is>
      </c>
      <c r="E65" t="inlineStr">
        <is>
          <t>KRISTIANSTAD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HYPERLINK("https://klasma.github.io/Logging_1290/artfynd/A 27955-2022 artfynd.xlsx", "A 27955-2022")</f>
        <v/>
      </c>
      <c r="T65">
        <f>HYPERLINK("https://klasma.github.io/Logging_1290/kartor/A 27955-2022 karta.png", "A 27955-2022")</f>
        <v/>
      </c>
      <c r="V65">
        <f>HYPERLINK("https://klasma.github.io/Logging_1290/klagomål/A 27955-2022 FSC-klagomål.docx", "A 27955-2022")</f>
        <v/>
      </c>
      <c r="W65">
        <f>HYPERLINK("https://klasma.github.io/Logging_1290/klagomålsmail/A 27955-2022 FSC-klagomål mail.docx", "A 27955-2022")</f>
        <v/>
      </c>
      <c r="X65">
        <f>HYPERLINK("https://klasma.github.io/Logging_1290/tillsyn/A 27955-2022 tillsynsbegäran.docx", "A 27955-2022")</f>
        <v/>
      </c>
      <c r="Y65">
        <f>HYPERLINK("https://klasma.github.io/Logging_1290/tillsynsmail/A 27955-2022 tillsynsbegäran mail.docx", "A 27955-2022")</f>
        <v/>
      </c>
      <c r="Z65">
        <f>HYPERLINK("https://klasma.github.io/Logging_1290/fåglar/A 27955-2022 prioriterade fågelarter.docx", "A 27955-2022")</f>
        <v/>
      </c>
    </row>
    <row r="66" ht="15" customHeight="1">
      <c r="A66" t="inlineStr">
        <is>
          <t>A 25456-2023</t>
        </is>
      </c>
      <c r="B66" s="1" t="n">
        <v>45089</v>
      </c>
      <c r="C66" s="1" t="n">
        <v>46196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Krattsnabbvinge</t>
        </is>
      </c>
      <c r="S66">
        <f>HYPERLINK("https://klasma.github.io/Logging_1290/artfynd/A 25456-2023 artfynd.xlsx", "A 25456-2023")</f>
        <v/>
      </c>
      <c r="T66">
        <f>HYPERLINK("https://klasma.github.io/Logging_1290/kartor/A 25456-2023 karta.png", "A 25456-2023")</f>
        <v/>
      </c>
      <c r="V66">
        <f>HYPERLINK("https://klasma.github.io/Logging_1290/klagomål/A 25456-2023 FSC-klagomål.docx", "A 25456-2023")</f>
        <v/>
      </c>
      <c r="W66">
        <f>HYPERLINK("https://klasma.github.io/Logging_1290/klagomålsmail/A 25456-2023 FSC-klagomål mail.docx", "A 25456-2023")</f>
        <v/>
      </c>
      <c r="X66">
        <f>HYPERLINK("https://klasma.github.io/Logging_1290/tillsyn/A 25456-2023 tillsynsbegäran.docx", "A 25456-2023")</f>
        <v/>
      </c>
      <c r="Y66">
        <f>HYPERLINK("https://klasma.github.io/Logging_1290/tillsynsmail/A 25456-2023 tillsynsbegäran mail.docx", "A 25456-2023")</f>
        <v/>
      </c>
    </row>
    <row r="67" ht="15" customHeight="1">
      <c r="A67" t="inlineStr">
        <is>
          <t>A 22272-2024</t>
        </is>
      </c>
      <c r="B67" s="1" t="n">
        <v>45446</v>
      </c>
      <c r="C67" s="1" t="n">
        <v>46196</v>
      </c>
      <c r="D67" t="inlineStr">
        <is>
          <t>SKÅNE LÄN</t>
        </is>
      </c>
      <c r="E67" t="inlineStr">
        <is>
          <t>KRISTIANSTAD</t>
        </is>
      </c>
      <c r="G67" t="n">
        <v>5.7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Dubbelnycklar</t>
        </is>
      </c>
      <c r="S67">
        <f>HYPERLINK("https://klasma.github.io/Logging_1290/artfynd/A 22272-2024 artfynd.xlsx", "A 22272-2024")</f>
        <v/>
      </c>
      <c r="T67">
        <f>HYPERLINK("https://klasma.github.io/Logging_1290/kartor/A 22272-2024 karta.png", "A 22272-2024")</f>
        <v/>
      </c>
      <c r="V67">
        <f>HYPERLINK("https://klasma.github.io/Logging_1290/klagomål/A 22272-2024 FSC-klagomål.docx", "A 22272-2024")</f>
        <v/>
      </c>
      <c r="W67">
        <f>HYPERLINK("https://klasma.github.io/Logging_1290/klagomålsmail/A 22272-2024 FSC-klagomål mail.docx", "A 22272-2024")</f>
        <v/>
      </c>
      <c r="X67">
        <f>HYPERLINK("https://klasma.github.io/Logging_1290/tillsyn/A 22272-2024 tillsynsbegäran.docx", "A 22272-2024")</f>
        <v/>
      </c>
      <c r="Y67">
        <f>HYPERLINK("https://klasma.github.io/Logging_1290/tillsynsmail/A 22272-2024 tillsynsbegäran mail.docx", "A 22272-2024")</f>
        <v/>
      </c>
    </row>
    <row r="68" ht="15" customHeight="1">
      <c r="A68" t="inlineStr">
        <is>
          <t>A 53189-2025</t>
        </is>
      </c>
      <c r="B68" s="1" t="n">
        <v>45958</v>
      </c>
      <c r="C68" s="1" t="n">
        <v>46196</v>
      </c>
      <c r="D68" t="inlineStr">
        <is>
          <t>SKÅNE LÄN</t>
        </is>
      </c>
      <c r="E68" t="inlineStr">
        <is>
          <t>KRISTIANSTAD</t>
        </is>
      </c>
      <c r="G68" t="n">
        <v>1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HYPERLINK("https://klasma.github.io/Logging_1290/artfynd/A 53189-2025 artfynd.xlsx", "A 53189-2025")</f>
        <v/>
      </c>
      <c r="T68">
        <f>HYPERLINK("https://klasma.github.io/Logging_1290/kartor/A 53189-2025 karta.png", "A 53189-2025")</f>
        <v/>
      </c>
      <c r="V68">
        <f>HYPERLINK("https://klasma.github.io/Logging_1290/klagomål/A 53189-2025 FSC-klagomål.docx", "A 53189-2025")</f>
        <v/>
      </c>
      <c r="W68">
        <f>HYPERLINK("https://klasma.github.io/Logging_1290/klagomålsmail/A 53189-2025 FSC-klagomål mail.docx", "A 53189-2025")</f>
        <v/>
      </c>
      <c r="X68">
        <f>HYPERLINK("https://klasma.github.io/Logging_1290/tillsyn/A 53189-2025 tillsynsbegäran.docx", "A 53189-2025")</f>
        <v/>
      </c>
      <c r="Y68">
        <f>HYPERLINK("https://klasma.github.io/Logging_1290/tillsynsmail/A 53189-2025 tillsynsbegäran mail.docx", "A 53189-2025")</f>
        <v/>
      </c>
    </row>
    <row r="69" ht="15" customHeight="1">
      <c r="A69" t="inlineStr">
        <is>
          <t>A 53182-2025</t>
        </is>
      </c>
      <c r="B69" s="1" t="n">
        <v>45958</v>
      </c>
      <c r="C69" s="1" t="n">
        <v>46196</v>
      </c>
      <c r="D69" t="inlineStr">
        <is>
          <t>SKÅNE LÄN</t>
        </is>
      </c>
      <c r="E69" t="inlineStr">
        <is>
          <t>KRISTIANSTAD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HYPERLINK("https://klasma.github.io/Logging_1290/artfynd/A 53182-2025 artfynd.xlsx", "A 53182-2025")</f>
        <v/>
      </c>
      <c r="T69">
        <f>HYPERLINK("https://klasma.github.io/Logging_1290/kartor/A 53182-2025 karta.png", "A 53182-2025")</f>
        <v/>
      </c>
      <c r="V69">
        <f>HYPERLINK("https://klasma.github.io/Logging_1290/klagomål/A 53182-2025 FSC-klagomål.docx", "A 53182-2025")</f>
        <v/>
      </c>
      <c r="W69">
        <f>HYPERLINK("https://klasma.github.io/Logging_1290/klagomålsmail/A 53182-2025 FSC-klagomål mail.docx", "A 53182-2025")</f>
        <v/>
      </c>
      <c r="X69">
        <f>HYPERLINK("https://klasma.github.io/Logging_1290/tillsyn/A 53182-2025 tillsynsbegäran.docx", "A 53182-2025")</f>
        <v/>
      </c>
      <c r="Y69">
        <f>HYPERLINK("https://klasma.github.io/Logging_1290/tillsynsmail/A 53182-2025 tillsynsbegäran mail.docx", "A 53182-2025")</f>
        <v/>
      </c>
      <c r="Z69">
        <f>HYPERLINK("https://klasma.github.io/Logging_1290/fåglar/A 53182-2025 prioriterade fågelarter.docx", "A 53182-2025")</f>
        <v/>
      </c>
    </row>
    <row r="70" ht="15" customHeight="1">
      <c r="A70" t="inlineStr">
        <is>
          <t>A 54039-2025</t>
        </is>
      </c>
      <c r="B70" s="1" t="n">
        <v>45963</v>
      </c>
      <c r="C70" s="1" t="n">
        <v>46196</v>
      </c>
      <c r="D70" t="inlineStr">
        <is>
          <t>SKÅNE LÄN</t>
        </is>
      </c>
      <c r="E70" t="inlineStr">
        <is>
          <t>KRISTIANSTAD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Klibbveronika</t>
        </is>
      </c>
      <c r="S70">
        <f>HYPERLINK("https://klasma.github.io/Logging_1290/artfynd/A 54039-2025 artfynd.xlsx", "A 54039-2025")</f>
        <v/>
      </c>
      <c r="T70">
        <f>HYPERLINK("https://klasma.github.io/Logging_1290/kartor/A 54039-2025 karta.png", "A 54039-2025")</f>
        <v/>
      </c>
      <c r="V70">
        <f>HYPERLINK("https://klasma.github.io/Logging_1290/klagomål/A 54039-2025 FSC-klagomål.docx", "A 54039-2025")</f>
        <v/>
      </c>
      <c r="W70">
        <f>HYPERLINK("https://klasma.github.io/Logging_1290/klagomålsmail/A 54039-2025 FSC-klagomål mail.docx", "A 54039-2025")</f>
        <v/>
      </c>
      <c r="X70">
        <f>HYPERLINK("https://klasma.github.io/Logging_1290/tillsyn/A 54039-2025 tillsynsbegäran.docx", "A 54039-2025")</f>
        <v/>
      </c>
      <c r="Y70">
        <f>HYPERLINK("https://klasma.github.io/Logging_1290/tillsynsmail/A 54039-2025 tillsynsbegäran mail.docx", "A 54039-2025")</f>
        <v/>
      </c>
    </row>
    <row r="71" ht="15" customHeight="1">
      <c r="A71" t="inlineStr">
        <is>
          <t>A 27956-2022</t>
        </is>
      </c>
      <c r="B71" s="1" t="n">
        <v>44743</v>
      </c>
      <c r="C71" s="1" t="n">
        <v>46196</v>
      </c>
      <c r="D71" t="inlineStr">
        <is>
          <t>SKÅNE LÄN</t>
        </is>
      </c>
      <c r="E71" t="inlineStr">
        <is>
          <t>KRISTIANSTAD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Kärrviol</t>
        </is>
      </c>
      <c r="S71">
        <f>HYPERLINK("https://klasma.github.io/Logging_1290/artfynd/A 27956-2022 artfynd.xlsx", "A 27956-2022")</f>
        <v/>
      </c>
      <c r="T71">
        <f>HYPERLINK("https://klasma.github.io/Logging_1290/kartor/A 27956-2022 karta.png", "A 27956-2022")</f>
        <v/>
      </c>
      <c r="V71">
        <f>HYPERLINK("https://klasma.github.io/Logging_1290/klagomål/A 27956-2022 FSC-klagomål.docx", "A 27956-2022")</f>
        <v/>
      </c>
      <c r="W71">
        <f>HYPERLINK("https://klasma.github.io/Logging_1290/klagomålsmail/A 27956-2022 FSC-klagomål mail.docx", "A 27956-2022")</f>
        <v/>
      </c>
      <c r="X71">
        <f>HYPERLINK("https://klasma.github.io/Logging_1290/tillsyn/A 27956-2022 tillsynsbegäran.docx", "A 27956-2022")</f>
        <v/>
      </c>
      <c r="Y71">
        <f>HYPERLINK("https://klasma.github.io/Logging_1290/tillsynsmail/A 27956-2022 tillsynsbegäran mail.docx", "A 27956-2022")</f>
        <v/>
      </c>
    </row>
    <row r="72" ht="15" customHeight="1">
      <c r="A72" t="inlineStr">
        <is>
          <t>A 45495-2024</t>
        </is>
      </c>
      <c r="B72" s="1" t="n">
        <v>45577</v>
      </c>
      <c r="C72" s="1" t="n">
        <v>46196</v>
      </c>
      <c r="D72" t="inlineStr">
        <is>
          <t>SKÅNE LÄN</t>
        </is>
      </c>
      <c r="E72" t="inlineStr">
        <is>
          <t>KRISTIANSTAD</t>
        </is>
      </c>
      <c r="G72" t="n">
        <v>9.1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Koralltaggsvamp</t>
        </is>
      </c>
      <c r="S72">
        <f>HYPERLINK("https://klasma.github.io/Logging_1290/artfynd/A 45495-2024 artfynd.xlsx", "A 45495-2024")</f>
        <v/>
      </c>
      <c r="T72">
        <f>HYPERLINK("https://klasma.github.io/Logging_1290/kartor/A 45495-2024 karta.png", "A 45495-2024")</f>
        <v/>
      </c>
      <c r="V72">
        <f>HYPERLINK("https://klasma.github.io/Logging_1290/klagomål/A 45495-2024 FSC-klagomål.docx", "A 45495-2024")</f>
        <v/>
      </c>
      <c r="W72">
        <f>HYPERLINK("https://klasma.github.io/Logging_1290/klagomålsmail/A 45495-2024 FSC-klagomål mail.docx", "A 45495-2024")</f>
        <v/>
      </c>
      <c r="X72">
        <f>HYPERLINK("https://klasma.github.io/Logging_1290/tillsyn/A 45495-2024 tillsynsbegäran.docx", "A 45495-2024")</f>
        <v/>
      </c>
      <c r="Y72">
        <f>HYPERLINK("https://klasma.github.io/Logging_1290/tillsynsmail/A 45495-2024 tillsynsbegäran mail.docx", "A 45495-2024")</f>
        <v/>
      </c>
    </row>
    <row r="73" ht="15" customHeight="1">
      <c r="A73" t="inlineStr">
        <is>
          <t>A 37155-2025</t>
        </is>
      </c>
      <c r="B73" s="1" t="n">
        <v>45875</v>
      </c>
      <c r="C73" s="1" t="n">
        <v>46196</v>
      </c>
      <c r="D73" t="inlineStr">
        <is>
          <t>SKÅNE LÄN</t>
        </is>
      </c>
      <c r="E73" t="inlineStr">
        <is>
          <t>KRISTIANSTAD</t>
        </is>
      </c>
      <c r="G73" t="n">
        <v>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Hedblomster</t>
        </is>
      </c>
      <c r="S73">
        <f>HYPERLINK("https://klasma.github.io/Logging_1290/artfynd/A 37155-2025 artfynd.xlsx", "A 37155-2025")</f>
        <v/>
      </c>
      <c r="T73">
        <f>HYPERLINK("https://klasma.github.io/Logging_1290/kartor/A 37155-2025 karta.png", "A 37155-2025")</f>
        <v/>
      </c>
      <c r="V73">
        <f>HYPERLINK("https://klasma.github.io/Logging_1290/klagomål/A 37155-2025 FSC-klagomål.docx", "A 37155-2025")</f>
        <v/>
      </c>
      <c r="W73">
        <f>HYPERLINK("https://klasma.github.io/Logging_1290/klagomålsmail/A 37155-2025 FSC-klagomål mail.docx", "A 37155-2025")</f>
        <v/>
      </c>
      <c r="X73">
        <f>HYPERLINK("https://klasma.github.io/Logging_1290/tillsyn/A 37155-2025 tillsynsbegäran.docx", "A 37155-2025")</f>
        <v/>
      </c>
      <c r="Y73">
        <f>HYPERLINK("https://klasma.github.io/Logging_1290/tillsynsmail/A 37155-2025 tillsynsbegäran mail.docx", "A 37155-2025")</f>
        <v/>
      </c>
    </row>
    <row r="74" ht="15" customHeight="1">
      <c r="A74" t="inlineStr">
        <is>
          <t>A 58474-2025</t>
        </is>
      </c>
      <c r="B74" s="1" t="n">
        <v>45985</v>
      </c>
      <c r="C74" s="1" t="n">
        <v>46196</v>
      </c>
      <c r="D74" t="inlineStr">
        <is>
          <t>SKÅNE LÄN</t>
        </is>
      </c>
      <c r="E74" t="inlineStr">
        <is>
          <t>KRISTIANSTAD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Storspov</t>
        </is>
      </c>
      <c r="S74">
        <f>HYPERLINK("https://klasma.github.io/Logging_1290/artfynd/A 58474-2025 artfynd.xlsx", "A 58474-2025")</f>
        <v/>
      </c>
      <c r="T74">
        <f>HYPERLINK("https://klasma.github.io/Logging_1290/kartor/A 58474-2025 karta.png", "A 58474-2025")</f>
        <v/>
      </c>
      <c r="V74">
        <f>HYPERLINK("https://klasma.github.io/Logging_1290/klagomål/A 58474-2025 FSC-klagomål.docx", "A 58474-2025")</f>
        <v/>
      </c>
      <c r="W74">
        <f>HYPERLINK("https://klasma.github.io/Logging_1290/klagomålsmail/A 58474-2025 FSC-klagomål mail.docx", "A 58474-2025")</f>
        <v/>
      </c>
      <c r="X74">
        <f>HYPERLINK("https://klasma.github.io/Logging_1290/tillsyn/A 58474-2025 tillsynsbegäran.docx", "A 58474-2025")</f>
        <v/>
      </c>
      <c r="Y74">
        <f>HYPERLINK("https://klasma.github.io/Logging_1290/tillsynsmail/A 58474-2025 tillsynsbegäran mail.docx", "A 58474-2025")</f>
        <v/>
      </c>
    </row>
    <row r="75" ht="15" customHeight="1">
      <c r="A75" t="inlineStr">
        <is>
          <t>A 28425-2024</t>
        </is>
      </c>
      <c r="B75" s="1" t="n">
        <v>45477</v>
      </c>
      <c r="C75" s="1" t="n">
        <v>46196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Missne</t>
        </is>
      </c>
      <c r="S75">
        <f>HYPERLINK("https://klasma.github.io/Logging_1290/artfynd/A 28425-2024 artfynd.xlsx", "A 28425-2024")</f>
        <v/>
      </c>
      <c r="T75">
        <f>HYPERLINK("https://klasma.github.io/Logging_1290/kartor/A 28425-2024 karta.png", "A 28425-2024")</f>
        <v/>
      </c>
      <c r="V75">
        <f>HYPERLINK("https://klasma.github.io/Logging_1290/klagomål/A 28425-2024 FSC-klagomål.docx", "A 28425-2024")</f>
        <v/>
      </c>
      <c r="W75">
        <f>HYPERLINK("https://klasma.github.io/Logging_1290/klagomålsmail/A 28425-2024 FSC-klagomål mail.docx", "A 28425-2024")</f>
        <v/>
      </c>
      <c r="X75">
        <f>HYPERLINK("https://klasma.github.io/Logging_1290/tillsyn/A 28425-2024 tillsynsbegäran.docx", "A 28425-2024")</f>
        <v/>
      </c>
      <c r="Y75">
        <f>HYPERLINK("https://klasma.github.io/Logging_1290/tillsynsmail/A 28425-2024 tillsynsbegäran mail.docx", "A 28425-2024")</f>
        <v/>
      </c>
    </row>
    <row r="76" ht="15" customHeight="1">
      <c r="A76" t="inlineStr">
        <is>
          <t>A 60006-2025</t>
        </is>
      </c>
      <c r="B76" s="1" t="n">
        <v>45993</v>
      </c>
      <c r="C76" s="1" t="n">
        <v>46196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4.8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HYPERLINK("https://klasma.github.io/Logging_1290/artfynd/A 60006-2025 artfynd.xlsx", "A 60006-2025")</f>
        <v/>
      </c>
      <c r="T76">
        <f>HYPERLINK("https://klasma.github.io/Logging_1290/kartor/A 60006-2025 karta.png", "A 60006-2025")</f>
        <v/>
      </c>
      <c r="V76">
        <f>HYPERLINK("https://klasma.github.io/Logging_1290/klagomål/A 60006-2025 FSC-klagomål.docx", "A 60006-2025")</f>
        <v/>
      </c>
      <c r="W76">
        <f>HYPERLINK("https://klasma.github.io/Logging_1290/klagomålsmail/A 60006-2025 FSC-klagomål mail.docx", "A 60006-2025")</f>
        <v/>
      </c>
      <c r="X76">
        <f>HYPERLINK("https://klasma.github.io/Logging_1290/tillsyn/A 60006-2025 tillsynsbegäran.docx", "A 60006-2025")</f>
        <v/>
      </c>
      <c r="Y76">
        <f>HYPERLINK("https://klasma.github.io/Logging_1290/tillsynsmail/A 60006-2025 tillsynsbegäran mail.docx", "A 60006-2025")</f>
        <v/>
      </c>
    </row>
    <row r="77" ht="15" customHeight="1">
      <c r="A77" t="inlineStr">
        <is>
          <t>A 9018-2024</t>
        </is>
      </c>
      <c r="B77" s="1" t="n">
        <v>45357</v>
      </c>
      <c r="C77" s="1" t="n">
        <v>46196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Hedblomster</t>
        </is>
      </c>
      <c r="S77">
        <f>HYPERLINK("https://klasma.github.io/Logging_1290/artfynd/A 9018-2024 artfynd.xlsx", "A 9018-2024")</f>
        <v/>
      </c>
      <c r="T77">
        <f>HYPERLINK("https://klasma.github.io/Logging_1290/kartor/A 9018-2024 karta.png", "A 9018-2024")</f>
        <v/>
      </c>
      <c r="V77">
        <f>HYPERLINK("https://klasma.github.io/Logging_1290/klagomål/A 9018-2024 FSC-klagomål.docx", "A 9018-2024")</f>
        <v/>
      </c>
      <c r="W77">
        <f>HYPERLINK("https://klasma.github.io/Logging_1290/klagomålsmail/A 9018-2024 FSC-klagomål mail.docx", "A 9018-2024")</f>
        <v/>
      </c>
      <c r="X77">
        <f>HYPERLINK("https://klasma.github.io/Logging_1290/tillsyn/A 9018-2024 tillsynsbegäran.docx", "A 9018-2024")</f>
        <v/>
      </c>
      <c r="Y77">
        <f>HYPERLINK("https://klasma.github.io/Logging_1290/tillsynsmail/A 9018-2024 tillsynsbegäran mail.docx", "A 9018-2024")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46196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HYPERLINK("https://klasma.github.io/Logging_1290/artfynd/A 27234-2025 artfynd.xlsx", "A 27234-2025")</f>
        <v/>
      </c>
      <c r="T78">
        <f>HYPERLINK("https://klasma.github.io/Logging_1290/kartor/A 27234-2025 karta.png", "A 27234-2025")</f>
        <v/>
      </c>
      <c r="V78">
        <f>HYPERLINK("https://klasma.github.io/Logging_1290/klagomål/A 27234-2025 FSC-klagomål.docx", "A 27234-2025")</f>
        <v/>
      </c>
      <c r="W78">
        <f>HYPERLINK("https://klasma.github.io/Logging_1290/klagomålsmail/A 27234-2025 FSC-klagomål mail.docx", "A 27234-2025")</f>
        <v/>
      </c>
      <c r="X78">
        <f>HYPERLINK("https://klasma.github.io/Logging_1290/tillsyn/A 27234-2025 tillsynsbegäran.docx", "A 27234-2025")</f>
        <v/>
      </c>
      <c r="Y78">
        <f>HYPERLINK("https://klasma.github.io/Logging_1290/tillsynsmail/A 27234-2025 tillsynsbegäran mail.docx", "A 27234-2025")</f>
        <v/>
      </c>
    </row>
    <row r="79" ht="15" customHeight="1">
      <c r="A79" t="inlineStr">
        <is>
          <t>A 46931-2025</t>
        </is>
      </c>
      <c r="B79" s="1" t="n">
        <v>45929</v>
      </c>
      <c r="C79" s="1" t="n">
        <v>46196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HYPERLINK("https://klasma.github.io/Logging_1290/artfynd/A 46931-2025 artfynd.xlsx", "A 46931-2025")</f>
        <v/>
      </c>
      <c r="T79">
        <f>HYPERLINK("https://klasma.github.io/Logging_1290/kartor/A 46931-2025 karta.png", "A 46931-2025")</f>
        <v/>
      </c>
      <c r="V79">
        <f>HYPERLINK("https://klasma.github.io/Logging_1290/klagomål/A 46931-2025 FSC-klagomål.docx", "A 46931-2025")</f>
        <v/>
      </c>
      <c r="W79">
        <f>HYPERLINK("https://klasma.github.io/Logging_1290/klagomålsmail/A 46931-2025 FSC-klagomål mail.docx", "A 46931-2025")</f>
        <v/>
      </c>
      <c r="X79">
        <f>HYPERLINK("https://klasma.github.io/Logging_1290/tillsyn/A 46931-2025 tillsynsbegäran.docx", "A 46931-2025")</f>
        <v/>
      </c>
      <c r="Y79">
        <f>HYPERLINK("https://klasma.github.io/Logging_1290/tillsynsmail/A 46931-2025 tillsynsbegäran mail.docx", "A 46931-2025")</f>
        <v/>
      </c>
    </row>
    <row r="80" ht="15" customHeight="1">
      <c r="A80" t="inlineStr">
        <is>
          <t>A 13977-2025</t>
        </is>
      </c>
      <c r="B80" s="1" t="n">
        <v>45738</v>
      </c>
      <c r="C80" s="1" t="n">
        <v>46196</v>
      </c>
      <c r="D80" t="inlineStr">
        <is>
          <t>SKÅNE LÄN</t>
        </is>
      </c>
      <c r="E80" t="inlineStr">
        <is>
          <t>KRISTIANSTAD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HYPERLINK("https://klasma.github.io/Logging_1290/artfynd/A 13977-2025 artfynd.xlsx", "A 13977-2025")</f>
        <v/>
      </c>
      <c r="T80">
        <f>HYPERLINK("https://klasma.github.io/Logging_1290/kartor/A 13977-2025 karta.png", "A 13977-2025")</f>
        <v/>
      </c>
      <c r="V80">
        <f>HYPERLINK("https://klasma.github.io/Logging_1290/klagomål/A 13977-2025 FSC-klagomål.docx", "A 13977-2025")</f>
        <v/>
      </c>
      <c r="W80">
        <f>HYPERLINK("https://klasma.github.io/Logging_1290/klagomålsmail/A 13977-2025 FSC-klagomål mail.docx", "A 13977-2025")</f>
        <v/>
      </c>
      <c r="X80">
        <f>HYPERLINK("https://klasma.github.io/Logging_1290/tillsyn/A 13977-2025 tillsynsbegäran.docx", "A 13977-2025")</f>
        <v/>
      </c>
      <c r="Y80">
        <f>HYPERLINK("https://klasma.github.io/Logging_1290/tillsynsmail/A 13977-2025 tillsynsbegäran mail.docx", "A 13977-2025")</f>
        <v/>
      </c>
    </row>
    <row r="81" ht="15" customHeight="1">
      <c r="A81" t="inlineStr">
        <is>
          <t>A 47308-2025</t>
        </is>
      </c>
      <c r="B81" s="1" t="n">
        <v>45930</v>
      </c>
      <c r="C81" s="1" t="n">
        <v>46196</v>
      </c>
      <c r="D81" t="inlineStr">
        <is>
          <t>SKÅNE LÄN</t>
        </is>
      </c>
      <c r="E81" t="inlineStr">
        <is>
          <t>KRISTIANSTAD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Dvärgjohannesört</t>
        </is>
      </c>
      <c r="S81">
        <f>HYPERLINK("https://klasma.github.io/Logging_1290/artfynd/A 47308-2025 artfynd.xlsx", "A 47308-2025")</f>
        <v/>
      </c>
      <c r="T81">
        <f>HYPERLINK("https://klasma.github.io/Logging_1290/kartor/A 47308-2025 karta.png", "A 47308-2025")</f>
        <v/>
      </c>
      <c r="V81">
        <f>HYPERLINK("https://klasma.github.io/Logging_1290/klagomål/A 47308-2025 FSC-klagomål.docx", "A 47308-2025")</f>
        <v/>
      </c>
      <c r="W81">
        <f>HYPERLINK("https://klasma.github.io/Logging_1290/klagomålsmail/A 47308-2025 FSC-klagomål mail.docx", "A 47308-2025")</f>
        <v/>
      </c>
      <c r="X81">
        <f>HYPERLINK("https://klasma.github.io/Logging_1290/tillsyn/A 47308-2025 tillsynsbegäran.docx", "A 47308-2025")</f>
        <v/>
      </c>
      <c r="Y81">
        <f>HYPERLINK("https://klasma.github.io/Logging_1290/tillsynsmail/A 47308-2025 tillsynsbegäran mail.docx", "A 47308-2025")</f>
        <v/>
      </c>
    </row>
    <row r="82" ht="15" customHeight="1">
      <c r="A82" t="inlineStr">
        <is>
          <t>A 47317-2025</t>
        </is>
      </c>
      <c r="B82" s="1" t="n">
        <v>45930</v>
      </c>
      <c r="C82" s="1" t="n">
        <v>46196</v>
      </c>
      <c r="D82" t="inlineStr">
        <is>
          <t>SKÅNE LÄN</t>
        </is>
      </c>
      <c r="E82" t="inlineStr">
        <is>
          <t>KRISTIANSTAD</t>
        </is>
      </c>
      <c r="G82" t="n">
        <v>10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Lungrot</t>
        </is>
      </c>
      <c r="S82">
        <f>HYPERLINK("https://klasma.github.io/Logging_1290/artfynd/A 47317-2025 artfynd.xlsx", "A 47317-2025")</f>
        <v/>
      </c>
      <c r="T82">
        <f>HYPERLINK("https://klasma.github.io/Logging_1290/kartor/A 47317-2025 karta.png", "A 47317-2025")</f>
        <v/>
      </c>
      <c r="V82">
        <f>HYPERLINK("https://klasma.github.io/Logging_1290/klagomål/A 47317-2025 FSC-klagomål.docx", "A 47317-2025")</f>
        <v/>
      </c>
      <c r="W82">
        <f>HYPERLINK("https://klasma.github.io/Logging_1290/klagomålsmail/A 47317-2025 FSC-klagomål mail.docx", "A 47317-2025")</f>
        <v/>
      </c>
      <c r="X82">
        <f>HYPERLINK("https://klasma.github.io/Logging_1290/tillsyn/A 47317-2025 tillsynsbegäran.docx", "A 47317-2025")</f>
        <v/>
      </c>
      <c r="Y82">
        <f>HYPERLINK("https://klasma.github.io/Logging_1290/tillsynsmail/A 47317-2025 tillsynsbegäran mail.docx", "A 47317-2025")</f>
        <v/>
      </c>
    </row>
    <row r="83" ht="15" customHeight="1">
      <c r="A83" t="inlineStr">
        <is>
          <t>A 49428-2025</t>
        </is>
      </c>
      <c r="B83" s="1" t="n">
        <v>45938</v>
      </c>
      <c r="C83" s="1" t="n">
        <v>46196</v>
      </c>
      <c r="D83" t="inlineStr">
        <is>
          <t>SKÅNE LÄN</t>
        </is>
      </c>
      <c r="E83" t="inlineStr">
        <is>
          <t>KRISTIANSTAD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HYPERLINK("https://klasma.github.io/Logging_1290/artfynd/A 49428-2025 artfynd.xlsx", "A 49428-2025")</f>
        <v/>
      </c>
      <c r="T83">
        <f>HYPERLINK("https://klasma.github.io/Logging_1290/kartor/A 49428-2025 karta.png", "A 49428-2025")</f>
        <v/>
      </c>
      <c r="V83">
        <f>HYPERLINK("https://klasma.github.io/Logging_1290/klagomål/A 49428-2025 FSC-klagomål.docx", "A 49428-2025")</f>
        <v/>
      </c>
      <c r="W83">
        <f>HYPERLINK("https://klasma.github.io/Logging_1290/klagomålsmail/A 49428-2025 FSC-klagomål mail.docx", "A 49428-2025")</f>
        <v/>
      </c>
      <c r="X83">
        <f>HYPERLINK("https://klasma.github.io/Logging_1290/tillsyn/A 49428-2025 tillsynsbegäran.docx", "A 49428-2025")</f>
        <v/>
      </c>
      <c r="Y83">
        <f>HYPERLINK("https://klasma.github.io/Logging_1290/tillsynsmail/A 49428-2025 tillsynsbegäran mail.docx", "A 49428-2025")</f>
        <v/>
      </c>
    </row>
    <row r="84" ht="15" customHeight="1">
      <c r="A84" t="inlineStr">
        <is>
          <t>A 18539-2022</t>
        </is>
      </c>
      <c r="B84" s="1" t="n">
        <v>44686</v>
      </c>
      <c r="C84" s="1" t="n">
        <v>46196</v>
      </c>
      <c r="D84" t="inlineStr">
        <is>
          <t>SKÅNE LÄN</t>
        </is>
      </c>
      <c r="E84" t="inlineStr">
        <is>
          <t>KRISTIANSTAD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Skogslysing</t>
        </is>
      </c>
      <c r="S84">
        <f>HYPERLINK("https://klasma.github.io/Logging_1290/artfynd/A 18539-2022 artfynd.xlsx", "A 18539-2022")</f>
        <v/>
      </c>
      <c r="T84">
        <f>HYPERLINK("https://klasma.github.io/Logging_1290/kartor/A 18539-2022 karta.png", "A 18539-2022")</f>
        <v/>
      </c>
      <c r="V84">
        <f>HYPERLINK("https://klasma.github.io/Logging_1290/klagomål/A 18539-2022 FSC-klagomål.docx", "A 18539-2022")</f>
        <v/>
      </c>
      <c r="W84">
        <f>HYPERLINK("https://klasma.github.io/Logging_1290/klagomålsmail/A 18539-2022 FSC-klagomål mail.docx", "A 18539-2022")</f>
        <v/>
      </c>
      <c r="X84">
        <f>HYPERLINK("https://klasma.github.io/Logging_1290/tillsyn/A 18539-2022 tillsynsbegäran.docx", "A 18539-2022")</f>
        <v/>
      </c>
      <c r="Y84">
        <f>HYPERLINK("https://klasma.github.io/Logging_1290/tillsynsmail/A 18539-2022 tillsynsbegäran mail.docx", "A 18539-2022")</f>
        <v/>
      </c>
    </row>
    <row r="85" ht="15" customHeight="1">
      <c r="A85" t="inlineStr">
        <is>
          <t>A 1919-2026</t>
        </is>
      </c>
      <c r="B85" s="1" t="n">
        <v>46035</v>
      </c>
      <c r="C85" s="1" t="n">
        <v>46196</v>
      </c>
      <c r="D85" t="inlineStr">
        <is>
          <t>SKÅNE LÄN</t>
        </is>
      </c>
      <c r="E85" t="inlineStr">
        <is>
          <t>KRISTIANSTAD</t>
        </is>
      </c>
      <c r="G85" t="n">
        <v>8.300000000000001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HYPERLINK("https://klasma.github.io/Logging_1290/artfynd/A 1919-2026 artfynd.xlsx", "A 1919-2026")</f>
        <v/>
      </c>
      <c r="T85">
        <f>HYPERLINK("https://klasma.github.io/Logging_1290/kartor/A 1919-2026 karta.png", "A 1919-2026")</f>
        <v/>
      </c>
      <c r="V85">
        <f>HYPERLINK("https://klasma.github.io/Logging_1290/klagomål/A 1919-2026 FSC-klagomål.docx", "A 1919-2026")</f>
        <v/>
      </c>
      <c r="W85">
        <f>HYPERLINK("https://klasma.github.io/Logging_1290/klagomålsmail/A 1919-2026 FSC-klagomål mail.docx", "A 1919-2026")</f>
        <v/>
      </c>
      <c r="X85">
        <f>HYPERLINK("https://klasma.github.io/Logging_1290/tillsyn/A 1919-2026 tillsynsbegäran.docx", "A 1919-2026")</f>
        <v/>
      </c>
      <c r="Y85">
        <f>HYPERLINK("https://klasma.github.io/Logging_1290/tillsynsmail/A 1919-2026 tillsynsbegäran mail.docx", "A 1919-2026")</f>
        <v/>
      </c>
    </row>
    <row r="86" ht="15" customHeight="1">
      <c r="A86" t="inlineStr">
        <is>
          <t>A 32219-2025</t>
        </is>
      </c>
      <c r="B86" s="1" t="n">
        <v>45835</v>
      </c>
      <c r="C86" s="1" t="n">
        <v>46196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Ägretthäger</t>
        </is>
      </c>
      <c r="S86">
        <f>HYPERLINK("https://klasma.github.io/Logging_1290/artfynd/A 32219-2025 artfynd.xlsx", "A 32219-2025")</f>
        <v/>
      </c>
      <c r="T86">
        <f>HYPERLINK("https://klasma.github.io/Logging_1290/kartor/A 32219-2025 karta.png", "A 32219-2025")</f>
        <v/>
      </c>
      <c r="V86">
        <f>HYPERLINK("https://klasma.github.io/Logging_1290/klagomål/A 32219-2025 FSC-klagomål.docx", "A 32219-2025")</f>
        <v/>
      </c>
      <c r="W86">
        <f>HYPERLINK("https://klasma.github.io/Logging_1290/klagomålsmail/A 32219-2025 FSC-klagomål mail.docx", "A 32219-2025")</f>
        <v/>
      </c>
      <c r="X86">
        <f>HYPERLINK("https://klasma.github.io/Logging_1290/tillsyn/A 32219-2025 tillsynsbegäran.docx", "A 32219-2025")</f>
        <v/>
      </c>
      <c r="Y86">
        <f>HYPERLINK("https://klasma.github.io/Logging_1290/tillsynsmail/A 32219-2025 tillsynsbegäran mail.docx", "A 32219-2025")</f>
        <v/>
      </c>
      <c r="Z86">
        <f>HYPERLINK("https://klasma.github.io/Logging_1290/fåglar/A 32219-2025 prioriterade fågelarter.docx", "A 32219-2025")</f>
        <v/>
      </c>
    </row>
    <row r="87" ht="15" customHeight="1">
      <c r="A87" t="inlineStr">
        <is>
          <t>A 33883-2025</t>
        </is>
      </c>
      <c r="B87" s="1" t="n">
        <v>45842</v>
      </c>
      <c r="C87" s="1" t="n">
        <v>46196</v>
      </c>
      <c r="D87" t="inlineStr">
        <is>
          <t>SKÅNE LÄN</t>
        </is>
      </c>
      <c r="E87" t="inlineStr">
        <is>
          <t>KRISTIANSTAD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häxört</t>
        </is>
      </c>
      <c r="S87">
        <f>HYPERLINK("https://klasma.github.io/Logging_1290/artfynd/A 33883-2025 artfynd.xlsx", "A 33883-2025")</f>
        <v/>
      </c>
      <c r="T87">
        <f>HYPERLINK("https://klasma.github.io/Logging_1290/kartor/A 33883-2025 karta.png", "A 33883-2025")</f>
        <v/>
      </c>
      <c r="V87">
        <f>HYPERLINK("https://klasma.github.io/Logging_1290/klagomål/A 33883-2025 FSC-klagomål.docx", "A 33883-2025")</f>
        <v/>
      </c>
      <c r="W87">
        <f>HYPERLINK("https://klasma.github.io/Logging_1290/klagomålsmail/A 33883-2025 FSC-klagomål mail.docx", "A 33883-2025")</f>
        <v/>
      </c>
      <c r="X87">
        <f>HYPERLINK("https://klasma.github.io/Logging_1290/tillsyn/A 33883-2025 tillsynsbegäran.docx", "A 33883-2025")</f>
        <v/>
      </c>
      <c r="Y87">
        <f>HYPERLINK("https://klasma.github.io/Logging_1290/tillsynsmail/A 33883-2025 tillsynsbegäran mail.docx", "A 33883-2025")</f>
        <v/>
      </c>
    </row>
    <row r="88" ht="15" customHeight="1">
      <c r="A88" t="inlineStr">
        <is>
          <t>A 16783-2025</t>
        </is>
      </c>
      <c r="B88" s="1" t="n">
        <v>45754</v>
      </c>
      <c r="C88" s="1" t="n">
        <v>46196</v>
      </c>
      <c r="D88" t="inlineStr">
        <is>
          <t>SKÅNE LÄN</t>
        </is>
      </c>
      <c r="E88" t="inlineStr">
        <is>
          <t>KRISTIANSTAD</t>
        </is>
      </c>
      <c r="G88" t="n">
        <v>20.2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Öring</t>
        </is>
      </c>
      <c r="S88">
        <f>HYPERLINK("https://klasma.github.io/Logging_1290/artfynd/A 16783-2025 artfynd.xlsx", "A 16783-2025")</f>
        <v/>
      </c>
      <c r="T88">
        <f>HYPERLINK("https://klasma.github.io/Logging_1290/kartor/A 16783-2025 karta.png", "A 16783-2025")</f>
        <v/>
      </c>
      <c r="V88">
        <f>HYPERLINK("https://klasma.github.io/Logging_1290/klagomål/A 16783-2025 FSC-klagomål.docx", "A 16783-2025")</f>
        <v/>
      </c>
      <c r="W88">
        <f>HYPERLINK("https://klasma.github.io/Logging_1290/klagomålsmail/A 16783-2025 FSC-klagomål mail.docx", "A 16783-2025")</f>
        <v/>
      </c>
      <c r="X88">
        <f>HYPERLINK("https://klasma.github.io/Logging_1290/tillsyn/A 16783-2025 tillsynsbegäran.docx", "A 16783-2025")</f>
        <v/>
      </c>
      <c r="Y88">
        <f>HYPERLINK("https://klasma.github.io/Logging_1290/tillsynsmail/A 16783-2025 tillsynsbegäran mail.docx", "A 16783-2025")</f>
        <v/>
      </c>
    </row>
    <row r="89" ht="15" customHeight="1">
      <c r="A89" t="inlineStr">
        <is>
          <t>A 34096-2025</t>
        </is>
      </c>
      <c r="B89" s="1" t="n">
        <v>45845</v>
      </c>
      <c r="C89" s="1" t="n">
        <v>46196</v>
      </c>
      <c r="D89" t="inlineStr">
        <is>
          <t>SKÅNE LÄN</t>
        </is>
      </c>
      <c r="E89" t="inlineStr">
        <is>
          <t>KRISTIANSTAD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Dunmossa</t>
        </is>
      </c>
      <c r="S89">
        <f>HYPERLINK("https://klasma.github.io/Logging_1290/artfynd/A 34096-2025 artfynd.xlsx", "A 34096-2025")</f>
        <v/>
      </c>
      <c r="T89">
        <f>HYPERLINK("https://klasma.github.io/Logging_1290/kartor/A 34096-2025 karta.png", "A 34096-2025")</f>
        <v/>
      </c>
      <c r="V89">
        <f>HYPERLINK("https://klasma.github.io/Logging_1290/klagomål/A 34096-2025 FSC-klagomål.docx", "A 34096-2025")</f>
        <v/>
      </c>
      <c r="W89">
        <f>HYPERLINK("https://klasma.github.io/Logging_1290/klagomålsmail/A 34096-2025 FSC-klagomål mail.docx", "A 34096-2025")</f>
        <v/>
      </c>
      <c r="X89">
        <f>HYPERLINK("https://klasma.github.io/Logging_1290/tillsyn/A 34096-2025 tillsynsbegäran.docx", "A 34096-2025")</f>
        <v/>
      </c>
      <c r="Y89">
        <f>HYPERLINK("https://klasma.github.io/Logging_1290/tillsynsmail/A 34096-2025 tillsynsbegäran mail.docx", "A 34096-2025")</f>
        <v/>
      </c>
    </row>
    <row r="90" ht="15" customHeight="1">
      <c r="A90" t="inlineStr">
        <is>
          <t>A 61605-2023</t>
        </is>
      </c>
      <c r="B90" s="1" t="n">
        <v>45265</v>
      </c>
      <c r="C90" s="1" t="n">
        <v>46196</v>
      </c>
      <c r="D90" t="inlineStr">
        <is>
          <t>SKÅNE LÄN</t>
        </is>
      </c>
      <c r="E90" t="inlineStr">
        <is>
          <t>KRISTIANSTAD</t>
        </is>
      </c>
      <c r="G90" t="n">
        <v>6.3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Igelkott</t>
        </is>
      </c>
      <c r="S90">
        <f>HYPERLINK("https://klasma.github.io/Logging_1290/artfynd/A 61605-2023 artfynd.xlsx", "A 61605-2023")</f>
        <v/>
      </c>
      <c r="T90">
        <f>HYPERLINK("https://klasma.github.io/Logging_1290/kartor/A 61605-2023 karta.png", "A 61605-2023")</f>
        <v/>
      </c>
      <c r="V90">
        <f>HYPERLINK("https://klasma.github.io/Logging_1290/klagomål/A 61605-2023 FSC-klagomål.docx", "A 61605-2023")</f>
        <v/>
      </c>
      <c r="W90">
        <f>HYPERLINK("https://klasma.github.io/Logging_1290/klagomålsmail/A 61605-2023 FSC-klagomål mail.docx", "A 61605-2023")</f>
        <v/>
      </c>
      <c r="X90">
        <f>HYPERLINK("https://klasma.github.io/Logging_1290/tillsyn/A 61605-2023 tillsynsbegäran.docx", "A 61605-2023")</f>
        <v/>
      </c>
      <c r="Y90">
        <f>HYPERLINK("https://klasma.github.io/Logging_1290/tillsynsmail/A 61605-2023 tillsynsbegäran mail.docx", "A 61605-2023")</f>
        <v/>
      </c>
    </row>
    <row r="91" ht="15" customHeight="1">
      <c r="A91" t="inlineStr">
        <is>
          <t>A 32101-2024</t>
        </is>
      </c>
      <c r="B91" s="1" t="n">
        <v>45511</v>
      </c>
      <c r="C91" s="1" t="n">
        <v>46196</v>
      </c>
      <c r="D91" t="inlineStr">
        <is>
          <t>SKÅNE LÄN</t>
        </is>
      </c>
      <c r="E91" t="inlineStr">
        <is>
          <t>KRISTIANSTAD</t>
        </is>
      </c>
      <c r="G91" t="n">
        <v>6.6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HYPERLINK("https://klasma.github.io/Logging_1290/artfynd/A 32101-2024 artfynd.xlsx", "A 32101-2024")</f>
        <v/>
      </c>
      <c r="T91">
        <f>HYPERLINK("https://klasma.github.io/Logging_1290/kartor/A 32101-2024 karta.png", "A 32101-2024")</f>
        <v/>
      </c>
      <c r="V91">
        <f>HYPERLINK("https://klasma.github.io/Logging_1290/klagomål/A 32101-2024 FSC-klagomål.docx", "A 32101-2024")</f>
        <v/>
      </c>
      <c r="W91">
        <f>HYPERLINK("https://klasma.github.io/Logging_1290/klagomålsmail/A 32101-2024 FSC-klagomål mail.docx", "A 32101-2024")</f>
        <v/>
      </c>
      <c r="X91">
        <f>HYPERLINK("https://klasma.github.io/Logging_1290/tillsyn/A 32101-2024 tillsynsbegäran.docx", "A 32101-2024")</f>
        <v/>
      </c>
      <c r="Y91">
        <f>HYPERLINK("https://klasma.github.io/Logging_1290/tillsynsmail/A 32101-2024 tillsynsbegäran mail.docx", "A 32101-2024")</f>
        <v/>
      </c>
    </row>
    <row r="92" ht="15" customHeight="1">
      <c r="A92" t="inlineStr">
        <is>
          <t>A 30918-2022</t>
        </is>
      </c>
      <c r="B92" s="1" t="n">
        <v>44767</v>
      </c>
      <c r="C92" s="1" t="n">
        <v>46196</v>
      </c>
      <c r="D92" t="inlineStr">
        <is>
          <t>SKÅNE LÄN</t>
        </is>
      </c>
      <c r="E92" t="inlineStr">
        <is>
          <t>KRISTIANSTAD</t>
        </is>
      </c>
      <c r="G92" t="n">
        <v>3.4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HYPERLINK("https://klasma.github.io/Logging_1290/artfynd/A 30918-2022 artfynd.xlsx", "A 30918-2022")</f>
        <v/>
      </c>
      <c r="T92">
        <f>HYPERLINK("https://klasma.github.io/Logging_1290/kartor/A 30918-2022 karta.png", "A 30918-2022")</f>
        <v/>
      </c>
      <c r="V92">
        <f>HYPERLINK("https://klasma.github.io/Logging_1290/klagomål/A 30918-2022 FSC-klagomål.docx", "A 30918-2022")</f>
        <v/>
      </c>
      <c r="W92">
        <f>HYPERLINK("https://klasma.github.io/Logging_1290/klagomålsmail/A 30918-2022 FSC-klagomål mail.docx", "A 30918-2022")</f>
        <v/>
      </c>
      <c r="X92">
        <f>HYPERLINK("https://klasma.github.io/Logging_1290/tillsyn/A 30918-2022 tillsynsbegäran.docx", "A 30918-2022")</f>
        <v/>
      </c>
      <c r="Y92">
        <f>HYPERLINK("https://klasma.github.io/Logging_1290/tillsynsmail/A 30918-2022 tillsynsbegäran mail.docx", "A 30918-2022")</f>
        <v/>
      </c>
    </row>
    <row r="93" ht="15" customHeight="1">
      <c r="A93" t="inlineStr">
        <is>
          <t>A 16079-2026</t>
        </is>
      </c>
      <c r="B93" s="1" t="n">
        <v>46108</v>
      </c>
      <c r="C93" s="1" t="n">
        <v>46196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HYPERLINK("https://klasma.github.io/Logging_1290/artfynd/A 16079-2026 artfynd.xlsx", "A 16079-2026")</f>
        <v/>
      </c>
      <c r="T93">
        <f>HYPERLINK("https://klasma.github.io/Logging_1290/kartor/A 16079-2026 karta.png", "A 16079-2026")</f>
        <v/>
      </c>
      <c r="V93">
        <f>HYPERLINK("https://klasma.github.io/Logging_1290/klagomål/A 16079-2026 FSC-klagomål.docx", "A 16079-2026")</f>
        <v/>
      </c>
      <c r="W93">
        <f>HYPERLINK("https://klasma.github.io/Logging_1290/klagomålsmail/A 16079-2026 FSC-klagomål mail.docx", "A 16079-2026")</f>
        <v/>
      </c>
      <c r="X93">
        <f>HYPERLINK("https://klasma.github.io/Logging_1290/tillsyn/A 16079-2026 tillsynsbegäran.docx", "A 16079-2026")</f>
        <v/>
      </c>
      <c r="Y93">
        <f>HYPERLINK("https://klasma.github.io/Logging_1290/tillsynsmail/A 16079-2026 tillsynsbegäran mail.docx", "A 16079-2026")</f>
        <v/>
      </c>
    </row>
    <row r="94" ht="15" customHeight="1">
      <c r="A94" t="inlineStr">
        <is>
          <t>A 52053-2025</t>
        </is>
      </c>
      <c r="B94" s="1" t="n">
        <v>45952</v>
      </c>
      <c r="C94" s="1" t="n">
        <v>46196</v>
      </c>
      <c r="D94" t="inlineStr">
        <is>
          <t>SKÅNE LÄN</t>
        </is>
      </c>
      <c r="E94" t="inlineStr">
        <is>
          <t>KRISTIANSTAD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HYPERLINK("https://klasma.github.io/Logging_1290/artfynd/A 52053-2025 artfynd.xlsx", "A 52053-2025")</f>
        <v/>
      </c>
      <c r="T94">
        <f>HYPERLINK("https://klasma.github.io/Logging_1290/kartor/A 52053-2025 karta.png", "A 52053-2025")</f>
        <v/>
      </c>
      <c r="V94">
        <f>HYPERLINK("https://klasma.github.io/Logging_1290/klagomål/A 52053-2025 FSC-klagomål.docx", "A 52053-2025")</f>
        <v/>
      </c>
      <c r="W94">
        <f>HYPERLINK("https://klasma.github.io/Logging_1290/klagomålsmail/A 52053-2025 FSC-klagomål mail.docx", "A 52053-2025")</f>
        <v/>
      </c>
      <c r="X94">
        <f>HYPERLINK("https://klasma.github.io/Logging_1290/tillsyn/A 52053-2025 tillsynsbegäran.docx", "A 52053-2025")</f>
        <v/>
      </c>
      <c r="Y94">
        <f>HYPERLINK("https://klasma.github.io/Logging_1290/tillsynsmail/A 52053-2025 tillsynsbegäran mail.docx", "A 52053-2025")</f>
        <v/>
      </c>
    </row>
    <row r="95" ht="15" customHeight="1">
      <c r="A95" t="inlineStr">
        <is>
          <t>A 19704-2026</t>
        </is>
      </c>
      <c r="B95" s="1" t="n">
        <v>46134</v>
      </c>
      <c r="C95" s="1" t="n">
        <v>46196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6.3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Desmeknopp</t>
        </is>
      </c>
      <c r="S95">
        <f>HYPERLINK("https://klasma.github.io/Logging_1290/artfynd/A 19704-2026 artfynd.xlsx", "A 19704-2026")</f>
        <v/>
      </c>
      <c r="T95">
        <f>HYPERLINK("https://klasma.github.io/Logging_1290/kartor/A 19704-2026 karta.png", "A 19704-2026")</f>
        <v/>
      </c>
      <c r="V95">
        <f>HYPERLINK("https://klasma.github.io/Logging_1290/klagomål/A 19704-2026 FSC-klagomål.docx", "A 19704-2026")</f>
        <v/>
      </c>
      <c r="W95">
        <f>HYPERLINK("https://klasma.github.io/Logging_1290/klagomålsmail/A 19704-2026 FSC-klagomål mail.docx", "A 19704-2026")</f>
        <v/>
      </c>
      <c r="X95">
        <f>HYPERLINK("https://klasma.github.io/Logging_1290/tillsyn/A 19704-2026 tillsynsbegäran.docx", "A 19704-2026")</f>
        <v/>
      </c>
      <c r="Y95">
        <f>HYPERLINK("https://klasma.github.io/Logging_1290/tillsynsmail/A 19704-2026 tillsynsbegäran mail.docx", "A 19704-2026")</f>
        <v/>
      </c>
    </row>
    <row r="96" ht="15" customHeight="1">
      <c r="A96" t="inlineStr">
        <is>
          <t>A 27462-2026</t>
        </is>
      </c>
      <c r="B96" s="1" t="n">
        <v>46189</v>
      </c>
      <c r="C96" s="1" t="n">
        <v>46196</v>
      </c>
      <c r="D96" t="inlineStr">
        <is>
          <t>SKÅNE LÄN</t>
        </is>
      </c>
      <c r="E96" t="inlineStr">
        <is>
          <t>KRISTIANSTAD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Skuggsprötmossa</t>
        </is>
      </c>
      <c r="S96">
        <f>HYPERLINK("https://klasma.github.io/Logging_1290/artfynd/A 27462-2026 artfynd.xlsx", "A 27462-2026")</f>
        <v/>
      </c>
      <c r="T96">
        <f>HYPERLINK("https://klasma.github.io/Logging_1290/kartor/A 27462-2026 karta.png", "A 27462-2026")</f>
        <v/>
      </c>
      <c r="V96">
        <f>HYPERLINK("https://klasma.github.io/Logging_1290/klagomål/A 27462-2026 FSC-klagomål.docx", "A 27462-2026")</f>
        <v/>
      </c>
      <c r="W96">
        <f>HYPERLINK("https://klasma.github.io/Logging_1290/klagomålsmail/A 27462-2026 FSC-klagomål mail.docx", "A 27462-2026")</f>
        <v/>
      </c>
      <c r="X96">
        <f>HYPERLINK("https://klasma.github.io/Logging_1290/tillsyn/A 27462-2026 tillsynsbegäran.docx", "A 27462-2026")</f>
        <v/>
      </c>
      <c r="Y96">
        <f>HYPERLINK("https://klasma.github.io/Logging_1290/tillsynsmail/A 27462-2026 tillsynsbegäran mail.docx", "A 27462-2026")</f>
        <v/>
      </c>
    </row>
    <row r="97" ht="15" customHeight="1">
      <c r="A97" t="inlineStr">
        <is>
          <t>A 27606-2026</t>
        </is>
      </c>
      <c r="B97" s="1" t="n">
        <v>46188</v>
      </c>
      <c r="C97" s="1" t="n">
        <v>46196</v>
      </c>
      <c r="D97" t="inlineStr">
        <is>
          <t>SKÅNE LÄN</t>
        </is>
      </c>
      <c r="E97" t="inlineStr">
        <is>
          <t>KRISTIANSTAD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HYPERLINK("https://klasma.github.io/Logging_1290/artfynd/A 27606-2026 artfynd.xlsx", "A 27606-2026")</f>
        <v/>
      </c>
      <c r="T97">
        <f>HYPERLINK("https://klasma.github.io/Logging_1290/kartor/A 27606-2026 karta.png", "A 27606-2026")</f>
        <v/>
      </c>
      <c r="V97">
        <f>HYPERLINK("https://klasma.github.io/Logging_1290/klagomål/A 27606-2026 FSC-klagomål.docx", "A 27606-2026")</f>
        <v/>
      </c>
      <c r="W97">
        <f>HYPERLINK("https://klasma.github.io/Logging_1290/klagomålsmail/A 27606-2026 FSC-klagomål mail.docx", "A 27606-2026")</f>
        <v/>
      </c>
      <c r="X97">
        <f>HYPERLINK("https://klasma.github.io/Logging_1290/tillsyn/A 27606-2026 tillsynsbegäran.docx", "A 27606-2026")</f>
        <v/>
      </c>
      <c r="Y97">
        <f>HYPERLINK("https://klasma.github.io/Logging_1290/tillsynsmail/A 27606-2026 tillsynsbegäran mail.docx", "A 27606-2026")</f>
        <v/>
      </c>
    </row>
    <row r="98" ht="15" customHeight="1">
      <c r="A98" t="inlineStr">
        <is>
          <t>A 21835-2026</t>
        </is>
      </c>
      <c r="B98" s="1" t="n">
        <v>46150</v>
      </c>
      <c r="C98" s="1" t="n">
        <v>46196</v>
      </c>
      <c r="D98" t="inlineStr">
        <is>
          <t>SKÅNE LÄN</t>
        </is>
      </c>
      <c r="E98" t="inlineStr">
        <is>
          <t>KRISTIANSTAD</t>
        </is>
      </c>
      <c r="G98" t="n">
        <v>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Skogsbräsma</t>
        </is>
      </c>
      <c r="S98">
        <f>HYPERLINK("https://klasma.github.io/Logging_1290/artfynd/A 21835-2026 artfynd.xlsx", "A 21835-2026")</f>
        <v/>
      </c>
      <c r="T98">
        <f>HYPERLINK("https://klasma.github.io/Logging_1290/kartor/A 21835-2026 karta.png", "A 21835-2026")</f>
        <v/>
      </c>
      <c r="V98">
        <f>HYPERLINK("https://klasma.github.io/Logging_1290/klagomål/A 21835-2026 FSC-klagomål.docx", "A 21835-2026")</f>
        <v/>
      </c>
      <c r="W98">
        <f>HYPERLINK("https://klasma.github.io/Logging_1290/klagomålsmail/A 21835-2026 FSC-klagomål mail.docx", "A 21835-2026")</f>
        <v/>
      </c>
      <c r="X98">
        <f>HYPERLINK("https://klasma.github.io/Logging_1290/tillsyn/A 21835-2026 tillsynsbegäran.docx", "A 21835-2026")</f>
        <v/>
      </c>
      <c r="Y98">
        <f>HYPERLINK("https://klasma.github.io/Logging_1290/tillsynsmail/A 21835-2026 tillsynsbegäran mail.docx", "A 21835-2026")</f>
        <v/>
      </c>
    </row>
    <row r="99" ht="15" customHeight="1">
      <c r="A99" t="inlineStr">
        <is>
          <t>A 28342-2024</t>
        </is>
      </c>
      <c r="B99" s="1" t="n">
        <v>45477</v>
      </c>
      <c r="C99" s="1" t="n">
        <v>46196</v>
      </c>
      <c r="D99" t="inlineStr">
        <is>
          <t>SKÅNE LÄN</t>
        </is>
      </c>
      <c r="E99" t="inlineStr">
        <is>
          <t>KRISTIANSTAD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Knölspindel</t>
        </is>
      </c>
      <c r="S99">
        <f>HYPERLINK("https://klasma.github.io/Logging_1290/artfynd/A 28342-2024 artfynd.xlsx", "A 28342-2024")</f>
        <v/>
      </c>
      <c r="T99">
        <f>HYPERLINK("https://klasma.github.io/Logging_1290/kartor/A 28342-2024 karta.png", "A 28342-2024")</f>
        <v/>
      </c>
      <c r="V99">
        <f>HYPERLINK("https://klasma.github.io/Logging_1290/klagomål/A 28342-2024 FSC-klagomål.docx", "A 28342-2024")</f>
        <v/>
      </c>
      <c r="W99">
        <f>HYPERLINK("https://klasma.github.io/Logging_1290/klagomålsmail/A 28342-2024 FSC-klagomål mail.docx", "A 28342-2024")</f>
        <v/>
      </c>
      <c r="X99">
        <f>HYPERLINK("https://klasma.github.io/Logging_1290/tillsyn/A 28342-2024 tillsynsbegäran.docx", "A 28342-2024")</f>
        <v/>
      </c>
      <c r="Y99">
        <f>HYPERLINK("https://klasma.github.io/Logging_1290/tillsynsmail/A 28342-2024 tillsynsbegäran mail.docx", "A 28342-2024")</f>
        <v/>
      </c>
    </row>
    <row r="100" ht="15" customHeight="1">
      <c r="A100" t="inlineStr">
        <is>
          <t>A 17023-2025</t>
        </is>
      </c>
      <c r="B100" s="1" t="n">
        <v>45755</v>
      </c>
      <c r="C100" s="1" t="n">
        <v>46196</v>
      </c>
      <c r="D100" t="inlineStr">
        <is>
          <t>SKÅNE LÄN</t>
        </is>
      </c>
      <c r="E100" t="inlineStr">
        <is>
          <t>KRISTIANSTAD</t>
        </is>
      </c>
      <c r="G100" t="n">
        <v>5.7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Ekskinn</t>
        </is>
      </c>
      <c r="S100">
        <f>HYPERLINK("https://klasma.github.io/Logging_1290/artfynd/A 17023-2025 artfynd.xlsx", "A 17023-2025")</f>
        <v/>
      </c>
      <c r="T100">
        <f>HYPERLINK("https://klasma.github.io/Logging_1290/kartor/A 17023-2025 karta.png", "A 17023-2025")</f>
        <v/>
      </c>
      <c r="V100">
        <f>HYPERLINK("https://klasma.github.io/Logging_1290/klagomål/A 17023-2025 FSC-klagomål.docx", "A 17023-2025")</f>
        <v/>
      </c>
      <c r="W100">
        <f>HYPERLINK("https://klasma.github.io/Logging_1290/klagomålsmail/A 17023-2025 FSC-klagomål mail.docx", "A 17023-2025")</f>
        <v/>
      </c>
      <c r="X100">
        <f>HYPERLINK("https://klasma.github.io/Logging_1290/tillsyn/A 17023-2025 tillsynsbegäran.docx", "A 17023-2025")</f>
        <v/>
      </c>
      <c r="Y100">
        <f>HYPERLINK("https://klasma.github.io/Logging_1290/tillsynsmail/A 17023-2025 tillsynsbegäran mail.docx", "A 17023-2025")</f>
        <v/>
      </c>
    </row>
    <row r="101" ht="15" customHeight="1">
      <c r="A101" t="inlineStr">
        <is>
          <t>A 44582-2022</t>
        </is>
      </c>
      <c r="B101" s="1" t="n">
        <v>44840</v>
      </c>
      <c r="C101" s="1" t="n">
        <v>46196</v>
      </c>
      <c r="D101" t="inlineStr">
        <is>
          <t>SKÅNE LÄN</t>
        </is>
      </c>
      <c r="E101" t="inlineStr">
        <is>
          <t>KRISTIANSTAD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Orangepudrad klotterlav</t>
        </is>
      </c>
      <c r="S101">
        <f>HYPERLINK("https://klasma.github.io/Logging_1290/artfynd/A 44582-2022 artfynd.xlsx", "A 44582-2022")</f>
        <v/>
      </c>
      <c r="T101">
        <f>HYPERLINK("https://klasma.github.io/Logging_1290/kartor/A 44582-2022 karta.png", "A 44582-2022")</f>
        <v/>
      </c>
      <c r="V101">
        <f>HYPERLINK("https://klasma.github.io/Logging_1290/klagomål/A 44582-2022 FSC-klagomål.docx", "A 44582-2022")</f>
        <v/>
      </c>
      <c r="W101">
        <f>HYPERLINK("https://klasma.github.io/Logging_1290/klagomålsmail/A 44582-2022 FSC-klagomål mail.docx", "A 44582-2022")</f>
        <v/>
      </c>
      <c r="X101">
        <f>HYPERLINK("https://klasma.github.io/Logging_1290/tillsyn/A 44582-2022 tillsynsbegäran.docx", "A 44582-2022")</f>
        <v/>
      </c>
      <c r="Y101">
        <f>HYPERLINK("https://klasma.github.io/Logging_1290/tillsynsmail/A 44582-2022 tillsynsbegäran mail.docx", "A 44582-2022")</f>
        <v/>
      </c>
    </row>
    <row r="102" ht="15" customHeight="1">
      <c r="A102" t="inlineStr">
        <is>
          <t>A 52014-2024</t>
        </is>
      </c>
      <c r="B102" s="1" t="n">
        <v>45607</v>
      </c>
      <c r="C102" s="1" t="n">
        <v>46196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Luddfingerört</t>
        </is>
      </c>
      <c r="S102">
        <f>HYPERLINK("https://klasma.github.io/Logging_1290/artfynd/A 52014-2024 artfynd.xlsx", "A 52014-2024")</f>
        <v/>
      </c>
      <c r="T102">
        <f>HYPERLINK("https://klasma.github.io/Logging_1290/kartor/A 52014-2024 karta.png", "A 52014-2024")</f>
        <v/>
      </c>
      <c r="V102">
        <f>HYPERLINK("https://klasma.github.io/Logging_1290/klagomål/A 52014-2024 FSC-klagomål.docx", "A 52014-2024")</f>
        <v/>
      </c>
      <c r="W102">
        <f>HYPERLINK("https://klasma.github.io/Logging_1290/klagomålsmail/A 52014-2024 FSC-klagomål mail.docx", "A 52014-2024")</f>
        <v/>
      </c>
      <c r="X102">
        <f>HYPERLINK("https://klasma.github.io/Logging_1290/tillsyn/A 52014-2024 tillsynsbegäran.docx", "A 52014-2024")</f>
        <v/>
      </c>
      <c r="Y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15706-2025</t>
        </is>
      </c>
      <c r="B103" s="1" t="n">
        <v>45748</v>
      </c>
      <c r="C103" s="1" t="n">
        <v>46196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HYPERLINK("https://klasma.github.io/Logging_1290/artfynd/A 15706-2025 artfynd.xlsx", "A 15706-2025")</f>
        <v/>
      </c>
      <c r="T103">
        <f>HYPERLINK("https://klasma.github.io/Logging_1290/kartor/A 15706-2025 karta.png", "A 15706-2025")</f>
        <v/>
      </c>
      <c r="V103">
        <f>HYPERLINK("https://klasma.github.io/Logging_1290/klagomål/A 15706-2025 FSC-klagomål.docx", "A 15706-2025")</f>
        <v/>
      </c>
      <c r="W103">
        <f>HYPERLINK("https://klasma.github.io/Logging_1290/klagomålsmail/A 15706-2025 FSC-klagomål mail.docx", "A 15706-2025")</f>
        <v/>
      </c>
      <c r="X103">
        <f>HYPERLINK("https://klasma.github.io/Logging_1290/tillsyn/A 15706-2025 tillsynsbegäran.docx", "A 15706-2025")</f>
        <v/>
      </c>
      <c r="Y103">
        <f>HYPERLINK("https://klasma.github.io/Logging_1290/tillsynsmail/A 15706-2025 tillsynsbegäran mail.docx", "A 15706-2025")</f>
        <v/>
      </c>
    </row>
    <row r="104" ht="15" customHeight="1">
      <c r="A104" t="inlineStr">
        <is>
          <t>A 4615-2024</t>
        </is>
      </c>
      <c r="B104" s="1" t="n">
        <v>45328</v>
      </c>
      <c r="C104" s="1" t="n">
        <v>46196</v>
      </c>
      <c r="D104" t="inlineStr">
        <is>
          <t>SKÅNE LÄN</t>
        </is>
      </c>
      <c r="E104" t="inlineStr">
        <is>
          <t>KRISTIANSTAD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Skogslysing</t>
        </is>
      </c>
      <c r="S104">
        <f>HYPERLINK("https://klasma.github.io/Logging_1290/artfynd/A 4615-2024 artfynd.xlsx", "A 4615-2024")</f>
        <v/>
      </c>
      <c r="T104">
        <f>HYPERLINK("https://klasma.github.io/Logging_1290/kartor/A 4615-2024 karta.png", "A 4615-2024")</f>
        <v/>
      </c>
      <c r="V104">
        <f>HYPERLINK("https://klasma.github.io/Logging_1290/klagomål/A 4615-2024 FSC-klagomål.docx", "A 4615-2024")</f>
        <v/>
      </c>
      <c r="W104">
        <f>HYPERLINK("https://klasma.github.io/Logging_1290/klagomålsmail/A 4615-2024 FSC-klagomål mail.docx", "A 4615-2024")</f>
        <v/>
      </c>
      <c r="X104">
        <f>HYPERLINK("https://klasma.github.io/Logging_1290/tillsyn/A 4615-2024 tillsynsbegäran.docx", "A 4615-2024")</f>
        <v/>
      </c>
      <c r="Y104">
        <f>HYPERLINK("https://klasma.github.io/Logging_1290/tillsynsmail/A 4615-2024 tillsynsbegäran mail.docx", "A 4615-2024")</f>
        <v/>
      </c>
    </row>
    <row r="105" ht="15" customHeight="1">
      <c r="A105" t="inlineStr">
        <is>
          <t>A 30925-2022</t>
        </is>
      </c>
      <c r="B105" s="1" t="n">
        <v>44767</v>
      </c>
      <c r="C105" s="1" t="n">
        <v>46196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Sjötåtel</t>
        </is>
      </c>
      <c r="S105">
        <f>HYPERLINK("https://klasma.github.io/Logging_1290/artfynd/A 30925-2022 artfynd.xlsx", "A 30925-2022")</f>
        <v/>
      </c>
      <c r="T105">
        <f>HYPERLINK("https://klasma.github.io/Logging_1290/kartor/A 30925-2022 karta.png", "A 30925-2022")</f>
        <v/>
      </c>
      <c r="V105">
        <f>HYPERLINK("https://klasma.github.io/Logging_1290/klagomål/A 30925-2022 FSC-klagomål.docx", "A 30925-2022")</f>
        <v/>
      </c>
      <c r="W105">
        <f>HYPERLINK("https://klasma.github.io/Logging_1290/klagomålsmail/A 30925-2022 FSC-klagomål mail.docx", "A 30925-2022")</f>
        <v/>
      </c>
      <c r="X105">
        <f>HYPERLINK("https://klasma.github.io/Logging_1290/tillsyn/A 30925-2022 tillsynsbegäran.docx", "A 30925-2022")</f>
        <v/>
      </c>
      <c r="Y105">
        <f>HYPERLINK("https://klasma.github.io/Logging_1290/tillsynsmail/A 30925-2022 tillsynsbegäran mail.docx", "A 30925-2022")</f>
        <v/>
      </c>
    </row>
    <row r="106" ht="15" customHeight="1">
      <c r="A106" t="inlineStr">
        <is>
          <t>A 26965-2023</t>
        </is>
      </c>
      <c r="B106" s="1" t="n">
        <v>45093</v>
      </c>
      <c r="C106" s="1" t="n">
        <v>46196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Sjötåtel</t>
        </is>
      </c>
      <c r="S106">
        <f>HYPERLINK("https://klasma.github.io/Logging_1290/artfynd/A 26965-2023 artfynd.xlsx", "A 26965-2023")</f>
        <v/>
      </c>
      <c r="T106">
        <f>HYPERLINK("https://klasma.github.io/Logging_1290/kartor/A 26965-2023 karta.png", "A 26965-2023")</f>
        <v/>
      </c>
      <c r="V106">
        <f>HYPERLINK("https://klasma.github.io/Logging_1290/klagomål/A 26965-2023 FSC-klagomål.docx", "A 26965-2023")</f>
        <v/>
      </c>
      <c r="W106">
        <f>HYPERLINK("https://klasma.github.io/Logging_1290/klagomålsmail/A 26965-2023 FSC-klagomål mail.docx", "A 26965-2023")</f>
        <v/>
      </c>
      <c r="X106">
        <f>HYPERLINK("https://klasma.github.io/Logging_1290/tillsyn/A 26965-2023 tillsynsbegäran.docx", "A 26965-2023")</f>
        <v/>
      </c>
      <c r="Y106">
        <f>HYPERLINK("https://klasma.github.io/Logging_1290/tillsynsmail/A 26965-2023 tillsynsbegäran mail.docx", "A 26965-2023")</f>
        <v/>
      </c>
    </row>
    <row r="107" ht="15" customHeight="1">
      <c r="A107" t="inlineStr">
        <is>
          <t>A 34360-2023</t>
        </is>
      </c>
      <c r="B107" s="1" t="n">
        <v>45139</v>
      </c>
      <c r="C107" s="1" t="n">
        <v>46196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HYPERLINK("https://klasma.github.io/Logging_1290/artfynd/A 34360-2023 artfynd.xlsx", "A 34360-2023")</f>
        <v/>
      </c>
      <c r="T107">
        <f>HYPERLINK("https://klasma.github.io/Logging_1290/kartor/A 34360-2023 karta.png", "A 34360-2023")</f>
        <v/>
      </c>
      <c r="V107">
        <f>HYPERLINK("https://klasma.github.io/Logging_1290/klagomål/A 34360-2023 FSC-klagomål.docx", "A 34360-2023")</f>
        <v/>
      </c>
      <c r="W107">
        <f>HYPERLINK("https://klasma.github.io/Logging_1290/klagomålsmail/A 34360-2023 FSC-klagomål mail.docx", "A 34360-2023")</f>
        <v/>
      </c>
      <c r="X107">
        <f>HYPERLINK("https://klasma.github.io/Logging_1290/tillsyn/A 34360-2023 tillsynsbegäran.docx", "A 34360-2023")</f>
        <v/>
      </c>
      <c r="Y107">
        <f>HYPERLINK("https://klasma.github.io/Logging_1290/tillsynsmail/A 34360-2023 tillsynsbegäran mail.docx", "A 34360-2023")</f>
        <v/>
      </c>
    </row>
    <row r="108" ht="15" customHeight="1">
      <c r="A108" t="inlineStr">
        <is>
          <t>A 14232-2023</t>
        </is>
      </c>
      <c r="B108" s="1" t="n">
        <v>45009</v>
      </c>
      <c r="C108" s="1" t="n">
        <v>46196</v>
      </c>
      <c r="D108" t="inlineStr">
        <is>
          <t>SKÅNE LÄN</t>
        </is>
      </c>
      <c r="E108" t="inlineStr">
        <is>
          <t>KRISTIANSTAD</t>
        </is>
      </c>
      <c r="G108" t="n">
        <v>7.1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HYPERLINK("https://klasma.github.io/Logging_1290/artfynd/A 14232-2023 artfynd.xlsx", "A 14232-2023")</f>
        <v/>
      </c>
      <c r="T108">
        <f>HYPERLINK("https://klasma.github.io/Logging_1290/kartor/A 14232-2023 karta.png", "A 14232-2023")</f>
        <v/>
      </c>
      <c r="V108">
        <f>HYPERLINK("https://klasma.github.io/Logging_1290/klagomål/A 14232-2023 FSC-klagomål.docx", "A 14232-2023")</f>
        <v/>
      </c>
      <c r="W108">
        <f>HYPERLINK("https://klasma.github.io/Logging_1290/klagomålsmail/A 14232-2023 FSC-klagomål mail.docx", "A 14232-2023")</f>
        <v/>
      </c>
      <c r="X108">
        <f>HYPERLINK("https://klasma.github.io/Logging_1290/tillsyn/A 14232-2023 tillsynsbegäran.docx", "A 14232-2023")</f>
        <v/>
      </c>
      <c r="Y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8290-2024</t>
        </is>
      </c>
      <c r="B109" s="1" t="n">
        <v>45352</v>
      </c>
      <c r="C109" s="1" t="n">
        <v>46196</v>
      </c>
      <c r="D109" t="inlineStr">
        <is>
          <t>SKÅNE LÄN</t>
        </is>
      </c>
      <c r="E109" t="inlineStr">
        <is>
          <t>KRISTIANSTAD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Lömsk flugsvamp</t>
        </is>
      </c>
      <c r="S109">
        <f>HYPERLINK("https://klasma.github.io/Logging_1290/artfynd/A 8290-2024 artfynd.xlsx", "A 8290-2024")</f>
        <v/>
      </c>
      <c r="T109">
        <f>HYPERLINK("https://klasma.github.io/Logging_1290/kartor/A 8290-2024 karta.png", "A 8290-2024")</f>
        <v/>
      </c>
      <c r="V109">
        <f>HYPERLINK("https://klasma.github.io/Logging_1290/klagomål/A 8290-2024 FSC-klagomål.docx", "A 8290-2024")</f>
        <v/>
      </c>
      <c r="W109">
        <f>HYPERLINK("https://klasma.github.io/Logging_1290/klagomålsmail/A 8290-2024 FSC-klagomål mail.docx", "A 8290-2024")</f>
        <v/>
      </c>
      <c r="X109">
        <f>HYPERLINK("https://klasma.github.io/Logging_1290/tillsyn/A 8290-2024 tillsynsbegäran.docx", "A 8290-2024")</f>
        <v/>
      </c>
      <c r="Y109">
        <f>HYPERLINK("https://klasma.github.io/Logging_1290/tillsynsmail/A 8290-2024 tillsynsbegäran mail.docx", "A 8290-2024")</f>
        <v/>
      </c>
    </row>
    <row r="110" ht="15" customHeight="1">
      <c r="A110" t="inlineStr">
        <is>
          <t>A 33362-2023</t>
        </is>
      </c>
      <c r="B110" s="1" t="n">
        <v>45128</v>
      </c>
      <c r="C110" s="1" t="n">
        <v>46196</v>
      </c>
      <c r="D110" t="inlineStr">
        <is>
          <t>SKÅNE LÄN</t>
        </is>
      </c>
      <c r="E110" t="inlineStr">
        <is>
          <t>KRISTIANSTAD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HYPERLINK("https://klasma.github.io/Logging_1290/artfynd/A 33362-2023 artfynd.xlsx", "A 33362-2023")</f>
        <v/>
      </c>
      <c r="T110">
        <f>HYPERLINK("https://klasma.github.io/Logging_1290/kartor/A 33362-2023 karta.png", "A 33362-2023")</f>
        <v/>
      </c>
      <c r="V110">
        <f>HYPERLINK("https://klasma.github.io/Logging_1290/klagomål/A 33362-2023 FSC-klagomål.docx", "A 33362-2023")</f>
        <v/>
      </c>
      <c r="W110">
        <f>HYPERLINK("https://klasma.github.io/Logging_1290/klagomålsmail/A 33362-2023 FSC-klagomål mail.docx", "A 33362-2023")</f>
        <v/>
      </c>
      <c r="X110">
        <f>HYPERLINK("https://klasma.github.io/Logging_1290/tillsyn/A 33362-2023 tillsynsbegäran.docx", "A 33362-2023")</f>
        <v/>
      </c>
      <c r="Y110">
        <f>HYPERLINK("https://klasma.github.io/Logging_1290/tillsynsmail/A 33362-2023 tillsynsbegäran mail.docx", "A 33362-2023")</f>
        <v/>
      </c>
    </row>
    <row r="111" ht="15" customHeight="1">
      <c r="A111" t="inlineStr">
        <is>
          <t>A 40668-2024</t>
        </is>
      </c>
      <c r="B111" s="1" t="n">
        <v>45558</v>
      </c>
      <c r="C111" s="1" t="n">
        <v>46196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HYPERLINK("https://klasma.github.io/Logging_1290/artfynd/A 40668-2024 artfynd.xlsx", "A 40668-2024")</f>
        <v/>
      </c>
      <c r="T111">
        <f>HYPERLINK("https://klasma.github.io/Logging_1290/kartor/A 40668-2024 karta.png", "A 40668-2024")</f>
        <v/>
      </c>
      <c r="V111">
        <f>HYPERLINK("https://klasma.github.io/Logging_1290/klagomål/A 40668-2024 FSC-klagomål.docx", "A 40668-2024")</f>
        <v/>
      </c>
      <c r="W111">
        <f>HYPERLINK("https://klasma.github.io/Logging_1290/klagomålsmail/A 40668-2024 FSC-klagomål mail.docx", "A 40668-2024")</f>
        <v/>
      </c>
      <c r="X111">
        <f>HYPERLINK("https://klasma.github.io/Logging_1290/tillsyn/A 40668-2024 tillsynsbegäran.docx", "A 40668-2024")</f>
        <v/>
      </c>
      <c r="Y111">
        <f>HYPERLINK("https://klasma.github.io/Logging_1290/tillsynsmail/A 40668-2024 tillsynsbegäran mail.docx", "A 40668-2024")</f>
        <v/>
      </c>
      <c r="Z111">
        <f>HYPERLINK("https://klasma.github.io/Logging_1290/fåglar/A 40668-2024 prioriterade fågelarter.docx", "A 40668-2024")</f>
        <v/>
      </c>
    </row>
    <row r="112" ht="15" customHeight="1">
      <c r="A112" t="inlineStr">
        <is>
          <t>A 62367-2023</t>
        </is>
      </c>
      <c r="B112" s="1" t="n">
        <v>45267</v>
      </c>
      <c r="C112" s="1" t="n">
        <v>46196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Sjötåtel</t>
        </is>
      </c>
      <c r="S112">
        <f>HYPERLINK("https://klasma.github.io/Logging_1290/artfynd/A 62367-2023 artfynd.xlsx", "A 62367-2023")</f>
        <v/>
      </c>
      <c r="T112">
        <f>HYPERLINK("https://klasma.github.io/Logging_1290/kartor/A 62367-2023 karta.png", "A 62367-2023")</f>
        <v/>
      </c>
      <c r="V112">
        <f>HYPERLINK("https://klasma.github.io/Logging_1290/klagomål/A 62367-2023 FSC-klagomål.docx", "A 62367-2023")</f>
        <v/>
      </c>
      <c r="W112">
        <f>HYPERLINK("https://klasma.github.io/Logging_1290/klagomålsmail/A 62367-2023 FSC-klagomål mail.docx", "A 62367-2023")</f>
        <v/>
      </c>
      <c r="X112">
        <f>HYPERLINK("https://klasma.github.io/Logging_1290/tillsyn/A 62367-2023 tillsynsbegäran.docx", "A 62367-2023")</f>
        <v/>
      </c>
      <c r="Y112">
        <f>HYPERLINK("https://klasma.github.io/Logging_1290/tillsynsmail/A 62367-2023 tillsynsbegäran mail.docx", "A 62367-2023")</f>
        <v/>
      </c>
    </row>
    <row r="113" ht="15" customHeight="1">
      <c r="A113" t="inlineStr">
        <is>
          <t>A 7054-2024</t>
        </is>
      </c>
      <c r="B113" s="1" t="n">
        <v>45343</v>
      </c>
      <c r="C113" s="1" t="n">
        <v>46196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Törnskata</t>
        </is>
      </c>
      <c r="S113">
        <f>HYPERLINK("https://klasma.github.io/Logging_1290/artfynd/A 7054-2024 artfynd.xlsx", "A 7054-2024")</f>
        <v/>
      </c>
      <c r="T113">
        <f>HYPERLINK("https://klasma.github.io/Logging_1290/kartor/A 7054-2024 karta.png", "A 7054-2024")</f>
        <v/>
      </c>
      <c r="V113">
        <f>HYPERLINK("https://klasma.github.io/Logging_1290/klagomål/A 7054-2024 FSC-klagomål.docx", "A 7054-2024")</f>
        <v/>
      </c>
      <c r="W113">
        <f>HYPERLINK("https://klasma.github.io/Logging_1290/klagomålsmail/A 7054-2024 FSC-klagomål mail.docx", "A 7054-2024")</f>
        <v/>
      </c>
      <c r="X113">
        <f>HYPERLINK("https://klasma.github.io/Logging_1290/tillsyn/A 7054-2024 tillsynsbegäran.docx", "A 7054-2024")</f>
        <v/>
      </c>
      <c r="Y113">
        <f>HYPERLINK("https://klasma.github.io/Logging_1290/tillsynsmail/A 7054-2024 tillsynsbegäran mail.docx", "A 7054-2024")</f>
        <v/>
      </c>
      <c r="Z113">
        <f>HYPERLINK("https://klasma.github.io/Logging_1290/fåglar/A 7054-2024 prioriterade fågelarter.docx", "A 7054-2024")</f>
        <v/>
      </c>
    </row>
    <row r="114" ht="15" customHeight="1">
      <c r="A114" t="inlineStr">
        <is>
          <t>A 30857-2023</t>
        </is>
      </c>
      <c r="B114" s="1" t="n">
        <v>45112</v>
      </c>
      <c r="C114" s="1" t="n">
        <v>46196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Sommarfibbla</t>
        </is>
      </c>
      <c r="S114">
        <f>HYPERLINK("https://klasma.github.io/Logging_1290/artfynd/A 30857-2023 artfynd.xlsx", "A 30857-2023")</f>
        <v/>
      </c>
      <c r="T114">
        <f>HYPERLINK("https://klasma.github.io/Logging_1290/kartor/A 30857-2023 karta.png", "A 30857-2023")</f>
        <v/>
      </c>
      <c r="V114">
        <f>HYPERLINK("https://klasma.github.io/Logging_1290/klagomål/A 30857-2023 FSC-klagomål.docx", "A 30857-2023")</f>
        <v/>
      </c>
      <c r="W114">
        <f>HYPERLINK("https://klasma.github.io/Logging_1290/klagomålsmail/A 30857-2023 FSC-klagomål mail.docx", "A 30857-2023")</f>
        <v/>
      </c>
      <c r="X114">
        <f>HYPERLINK("https://klasma.github.io/Logging_1290/tillsyn/A 30857-2023 tillsynsbegäran.docx", "A 30857-2023")</f>
        <v/>
      </c>
      <c r="Y114">
        <f>HYPERLINK("https://klasma.github.io/Logging_1290/tillsynsmail/A 30857-2023 tillsynsbegäran mail.docx", "A 30857-2023")</f>
        <v/>
      </c>
    </row>
    <row r="115" ht="15" customHeight="1">
      <c r="A115" t="inlineStr">
        <is>
          <t>A 38440-2024</t>
        </is>
      </c>
      <c r="B115" s="1" t="n">
        <v>45546</v>
      </c>
      <c r="C115" s="1" t="n">
        <v>46196</v>
      </c>
      <c r="D115" t="inlineStr">
        <is>
          <t>SKÅNE LÄN</t>
        </is>
      </c>
      <c r="E115" t="inlineStr">
        <is>
          <t>KRISTIANSTAD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Igelkott</t>
        </is>
      </c>
      <c r="S115">
        <f>HYPERLINK("https://klasma.github.io/Logging_1290/artfynd/A 38440-2024 artfynd.xlsx", "A 38440-2024")</f>
        <v/>
      </c>
      <c r="T115">
        <f>HYPERLINK("https://klasma.github.io/Logging_1290/kartor/A 38440-2024 karta.png", "A 38440-2024")</f>
        <v/>
      </c>
      <c r="V115">
        <f>HYPERLINK("https://klasma.github.io/Logging_1290/klagomål/A 38440-2024 FSC-klagomål.docx", "A 38440-2024")</f>
        <v/>
      </c>
      <c r="W115">
        <f>HYPERLINK("https://klasma.github.io/Logging_1290/klagomålsmail/A 38440-2024 FSC-klagomål mail.docx", "A 38440-2024")</f>
        <v/>
      </c>
      <c r="X115">
        <f>HYPERLINK("https://klasma.github.io/Logging_1290/tillsyn/A 38440-2024 tillsynsbegäran.docx", "A 38440-2024")</f>
        <v/>
      </c>
      <c r="Y115">
        <f>HYPERLINK("https://klasma.github.io/Logging_1290/tillsynsmail/A 38440-2024 tillsynsbegäran mail.docx", "A 38440-2024")</f>
        <v/>
      </c>
    </row>
    <row r="116" ht="15" customHeight="1">
      <c r="A116" t="inlineStr">
        <is>
          <t>A 52012-2024</t>
        </is>
      </c>
      <c r="B116" s="1" t="n">
        <v>45607</v>
      </c>
      <c r="C116" s="1" t="n">
        <v>46196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Luddfingerört</t>
        </is>
      </c>
      <c r="S116">
        <f>HYPERLINK("https://klasma.github.io/Logging_1290/artfynd/A 52012-2024 artfynd.xlsx", "A 52012-2024")</f>
        <v/>
      </c>
      <c r="T116">
        <f>HYPERLINK("https://klasma.github.io/Logging_1290/kartor/A 52012-2024 karta.png", "A 52012-2024")</f>
        <v/>
      </c>
      <c r="V116">
        <f>HYPERLINK("https://klasma.github.io/Logging_1290/klagomål/A 52012-2024 FSC-klagomål.docx", "A 52012-2024")</f>
        <v/>
      </c>
      <c r="W116">
        <f>HYPERLINK("https://klasma.github.io/Logging_1290/klagomålsmail/A 52012-2024 FSC-klagomål mail.docx", "A 52012-2024")</f>
        <v/>
      </c>
      <c r="X116">
        <f>HYPERLINK("https://klasma.github.io/Logging_1290/tillsyn/A 52012-2024 tillsynsbegäran.docx", "A 52012-2024")</f>
        <v/>
      </c>
      <c r="Y116">
        <f>HYPERLINK("https://klasma.github.io/Logging_1290/tillsynsmail/A 52012-2024 tillsynsbegäran mail.docx", "A 52012-2024")</f>
        <v/>
      </c>
    </row>
    <row r="117" ht="15" customHeight="1">
      <c r="A117" t="inlineStr">
        <is>
          <t>A 1188-2024</t>
        </is>
      </c>
      <c r="B117" s="1" t="n">
        <v>45302</v>
      </c>
      <c r="C117" s="1" t="n">
        <v>46196</v>
      </c>
      <c r="D117" t="inlineStr">
        <is>
          <t>SKÅNE LÄN</t>
        </is>
      </c>
      <c r="E117" t="inlineStr">
        <is>
          <t>KRISTIANSTAD</t>
        </is>
      </c>
      <c r="G117" t="n">
        <v>6.1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HYPERLINK("https://klasma.github.io/Logging_1290/artfynd/A 1188-2024 artfynd.xlsx", "A 1188-2024")</f>
        <v/>
      </c>
      <c r="T117">
        <f>HYPERLINK("https://klasma.github.io/Logging_1290/kartor/A 1188-2024 karta.png", "A 1188-2024")</f>
        <v/>
      </c>
      <c r="V117">
        <f>HYPERLINK("https://klasma.github.io/Logging_1290/klagomål/A 1188-2024 FSC-klagomål.docx", "A 1188-2024")</f>
        <v/>
      </c>
      <c r="W117">
        <f>HYPERLINK("https://klasma.github.io/Logging_1290/klagomålsmail/A 1188-2024 FSC-klagomål mail.docx", "A 1188-2024")</f>
        <v/>
      </c>
      <c r="X117">
        <f>HYPERLINK("https://klasma.github.io/Logging_1290/tillsyn/A 1188-2024 tillsynsbegäran.docx", "A 1188-2024")</f>
        <v/>
      </c>
      <c r="Y117">
        <f>HYPERLINK("https://klasma.github.io/Logging_1290/tillsynsmail/A 1188-2024 tillsynsbegäran mail.docx", "A 1188-2024")</f>
        <v/>
      </c>
    </row>
    <row r="118" ht="15" customHeight="1">
      <c r="A118" t="inlineStr">
        <is>
          <t>A 8208-2023</t>
        </is>
      </c>
      <c r="B118" s="1" t="n">
        <v>44971</v>
      </c>
      <c r="C118" s="1" t="n">
        <v>46196</v>
      </c>
      <c r="D118" t="inlineStr">
        <is>
          <t>SKÅNE LÄN</t>
        </is>
      </c>
      <c r="E118" t="inlineStr">
        <is>
          <t>KRISTIANSTAD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HYPERLINK("https://klasma.github.io/Logging_1290/artfynd/A 8208-2023 artfynd.xlsx", "A 8208-2023")</f>
        <v/>
      </c>
      <c r="T118">
        <f>HYPERLINK("https://klasma.github.io/Logging_1290/kartor/A 8208-2023 karta.png", "A 8208-2023")</f>
        <v/>
      </c>
      <c r="V118">
        <f>HYPERLINK("https://klasma.github.io/Logging_1290/klagomål/A 8208-2023 FSC-klagomål.docx", "A 8208-2023")</f>
        <v/>
      </c>
      <c r="W118">
        <f>HYPERLINK("https://klasma.github.io/Logging_1290/klagomålsmail/A 8208-2023 FSC-klagomål mail.docx", "A 8208-2023")</f>
        <v/>
      </c>
      <c r="X118">
        <f>HYPERLINK("https://klasma.github.io/Logging_1290/tillsyn/A 8208-2023 tillsynsbegäran.docx", "A 8208-2023")</f>
        <v/>
      </c>
      <c r="Y118">
        <f>HYPERLINK("https://klasma.github.io/Logging_1290/tillsynsmail/A 8208-2023 tillsynsbegäran mail.docx", "A 8208-2023")</f>
        <v/>
      </c>
    </row>
    <row r="119" ht="15" customHeight="1">
      <c r="A119" t="inlineStr">
        <is>
          <t>A 26243-2024</t>
        </is>
      </c>
      <c r="B119" s="1" t="n">
        <v>45468</v>
      </c>
      <c r="C119" s="1" t="n">
        <v>46196</v>
      </c>
      <c r="D119" t="inlineStr">
        <is>
          <t>SKÅNE LÄN</t>
        </is>
      </c>
      <c r="E119" t="inlineStr">
        <is>
          <t>KRISTIANSTAD</t>
        </is>
      </c>
      <c r="G119" t="n">
        <v>7.8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HYPERLINK("https://klasma.github.io/Logging_1290/artfynd/A 26243-2024 artfynd.xlsx", "A 26243-2024")</f>
        <v/>
      </c>
      <c r="T119">
        <f>HYPERLINK("https://klasma.github.io/Logging_1290/kartor/A 26243-2024 karta.png", "A 26243-2024")</f>
        <v/>
      </c>
      <c r="V119">
        <f>HYPERLINK("https://klasma.github.io/Logging_1290/klagomål/A 26243-2024 FSC-klagomål.docx", "A 26243-2024")</f>
        <v/>
      </c>
      <c r="W119">
        <f>HYPERLINK("https://klasma.github.io/Logging_1290/klagomålsmail/A 26243-2024 FSC-klagomål mail.docx", "A 26243-2024")</f>
        <v/>
      </c>
      <c r="X119">
        <f>HYPERLINK("https://klasma.github.io/Logging_1290/tillsyn/A 26243-2024 tillsynsbegäran.docx", "A 26243-2024")</f>
        <v/>
      </c>
      <c r="Y119">
        <f>HYPERLINK("https://klasma.github.io/Logging_1290/tillsynsmail/A 26243-2024 tillsynsbegäran mail.docx", "A 26243-2024")</f>
        <v/>
      </c>
    </row>
    <row r="120" ht="15" customHeight="1">
      <c r="A120" t="inlineStr">
        <is>
          <t>A 28429-2024</t>
        </is>
      </c>
      <c r="B120" s="1" t="n">
        <v>45477</v>
      </c>
      <c r="C120" s="1" t="n">
        <v>46196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Knölspindel</t>
        </is>
      </c>
      <c r="S120">
        <f>HYPERLINK("https://klasma.github.io/Logging_1290/artfynd/A 28429-2024 artfynd.xlsx", "A 28429-2024")</f>
        <v/>
      </c>
      <c r="T120">
        <f>HYPERLINK("https://klasma.github.io/Logging_1290/kartor/A 28429-2024 karta.png", "A 28429-2024")</f>
        <v/>
      </c>
      <c r="V120">
        <f>HYPERLINK("https://klasma.github.io/Logging_1290/klagomål/A 28429-2024 FSC-klagomål.docx", "A 28429-2024")</f>
        <v/>
      </c>
      <c r="W120">
        <f>HYPERLINK("https://klasma.github.io/Logging_1290/klagomålsmail/A 28429-2024 FSC-klagomål mail.docx", "A 28429-2024")</f>
        <v/>
      </c>
      <c r="X120">
        <f>HYPERLINK("https://klasma.github.io/Logging_1290/tillsyn/A 28429-2024 tillsynsbegäran.docx", "A 28429-2024")</f>
        <v/>
      </c>
      <c r="Y120">
        <f>HYPERLINK("https://klasma.github.io/Logging_1290/tillsynsmail/A 28429-2024 tillsynsbegäran mail.docx", "A 28429-2024")</f>
        <v/>
      </c>
    </row>
    <row r="121" ht="15" customHeight="1">
      <c r="A121" t="inlineStr">
        <is>
          <t>A 40366-2021</t>
        </is>
      </c>
      <c r="B121" s="1" t="n">
        <v>44419</v>
      </c>
      <c r="C121" s="1" t="n">
        <v>46196</v>
      </c>
      <c r="D121" t="inlineStr">
        <is>
          <t>SKÅNE LÄN</t>
        </is>
      </c>
      <c r="E121" t="inlineStr">
        <is>
          <t>KRISTIANSTAD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Åkerväddsantennmal</t>
        </is>
      </c>
      <c r="S121">
        <f>HYPERLINK("https://klasma.github.io/Logging_1290/artfynd/A 40366-2021 artfynd.xlsx", "A 40366-2021")</f>
        <v/>
      </c>
      <c r="T121">
        <f>HYPERLINK("https://klasma.github.io/Logging_1290/kartor/A 40366-2021 karta.png", "A 40366-2021")</f>
        <v/>
      </c>
      <c r="V121">
        <f>HYPERLINK("https://klasma.github.io/Logging_1290/klagomål/A 40366-2021 FSC-klagomål.docx", "A 40366-2021")</f>
        <v/>
      </c>
      <c r="W121">
        <f>HYPERLINK("https://klasma.github.io/Logging_1290/klagomålsmail/A 40366-2021 FSC-klagomål mail.docx", "A 40366-2021")</f>
        <v/>
      </c>
      <c r="X121">
        <f>HYPERLINK("https://klasma.github.io/Logging_1290/tillsyn/A 40366-2021 tillsynsbegäran.docx", "A 40366-2021")</f>
        <v/>
      </c>
      <c r="Y121">
        <f>HYPERLINK("https://klasma.github.io/Logging_1290/tillsynsmail/A 40366-2021 tillsynsbegäran mail.docx", "A 40366-2021")</f>
        <v/>
      </c>
    </row>
    <row r="122" ht="15" customHeight="1">
      <c r="A122" t="inlineStr">
        <is>
          <t>A 58003-2023</t>
        </is>
      </c>
      <c r="B122" s="1" t="n">
        <v>45247</v>
      </c>
      <c r="C122" s="1" t="n">
        <v>46196</v>
      </c>
      <c r="D122" t="inlineStr">
        <is>
          <t>SKÅNE LÄN</t>
        </is>
      </c>
      <c r="E122" t="inlineStr">
        <is>
          <t>KRISTIANSTAD</t>
        </is>
      </c>
      <c r="G122" t="n">
        <v>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Ekskinn</t>
        </is>
      </c>
      <c r="S122">
        <f>HYPERLINK("https://klasma.github.io/Logging_1290/artfynd/A 58003-2023 artfynd.xlsx", "A 58003-2023")</f>
        <v/>
      </c>
      <c r="T122">
        <f>HYPERLINK("https://klasma.github.io/Logging_1290/kartor/A 58003-2023 karta.png", "A 58003-2023")</f>
        <v/>
      </c>
      <c r="V122">
        <f>HYPERLINK("https://klasma.github.io/Logging_1290/klagomål/A 58003-2023 FSC-klagomål.docx", "A 58003-2023")</f>
        <v/>
      </c>
      <c r="W122">
        <f>HYPERLINK("https://klasma.github.io/Logging_1290/klagomålsmail/A 58003-2023 FSC-klagomål mail.docx", "A 58003-2023")</f>
        <v/>
      </c>
      <c r="X122">
        <f>HYPERLINK("https://klasma.github.io/Logging_1290/tillsyn/A 58003-2023 tillsynsbegäran.docx", "A 58003-2023")</f>
        <v/>
      </c>
      <c r="Y122">
        <f>HYPERLINK("https://klasma.github.io/Logging_1290/tillsynsmail/A 58003-2023 tillsynsbegäran mail.docx", "A 58003-2023")</f>
        <v/>
      </c>
    </row>
    <row r="123" ht="15" customHeight="1">
      <c r="A123" t="inlineStr">
        <is>
          <t>A 41004-2022</t>
        </is>
      </c>
      <c r="B123" s="1" t="n">
        <v>44825</v>
      </c>
      <c r="C123" s="1" t="n">
        <v>46196</v>
      </c>
      <c r="D123" t="inlineStr">
        <is>
          <t>SKÅNE LÄN</t>
        </is>
      </c>
      <c r="E123" t="inlineStr">
        <is>
          <t>KRISTIANSTAD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Skogsbräsma</t>
        </is>
      </c>
      <c r="S123">
        <f>HYPERLINK("https://klasma.github.io/Logging_1290/artfynd/A 41004-2022 artfynd.xlsx", "A 41004-2022")</f>
        <v/>
      </c>
      <c r="T123">
        <f>HYPERLINK("https://klasma.github.io/Logging_1290/kartor/A 41004-2022 karta.png", "A 41004-2022")</f>
        <v/>
      </c>
      <c r="V123">
        <f>HYPERLINK("https://klasma.github.io/Logging_1290/klagomål/A 41004-2022 FSC-klagomål.docx", "A 41004-2022")</f>
        <v/>
      </c>
      <c r="W123">
        <f>HYPERLINK("https://klasma.github.io/Logging_1290/klagomålsmail/A 41004-2022 FSC-klagomål mail.docx", "A 41004-2022")</f>
        <v/>
      </c>
      <c r="X123">
        <f>HYPERLINK("https://klasma.github.io/Logging_1290/tillsyn/A 41004-2022 tillsynsbegäran.docx", "A 41004-2022")</f>
        <v/>
      </c>
      <c r="Y123">
        <f>HYPERLINK("https://klasma.github.io/Logging_1290/tillsynsmail/A 41004-2022 tillsynsbegäran mail.docx", "A 41004-2022")</f>
        <v/>
      </c>
    </row>
    <row r="124" ht="15" customHeight="1">
      <c r="A124" t="inlineStr">
        <is>
          <t>A 15105-2023</t>
        </is>
      </c>
      <c r="B124" s="1" t="n">
        <v>45015</v>
      </c>
      <c r="C124" s="1" t="n">
        <v>46196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3.2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Liten baronmossa</t>
        </is>
      </c>
      <c r="S124">
        <f>HYPERLINK("https://klasma.github.io/Logging_1290/artfynd/A 15105-2023 artfynd.xlsx", "A 15105-2023")</f>
        <v/>
      </c>
      <c r="T124">
        <f>HYPERLINK("https://klasma.github.io/Logging_1290/kartor/A 15105-2023 karta.png", "A 15105-2023")</f>
        <v/>
      </c>
      <c r="V124">
        <f>HYPERLINK("https://klasma.github.io/Logging_1290/klagomål/A 15105-2023 FSC-klagomål.docx", "A 15105-2023")</f>
        <v/>
      </c>
      <c r="W124">
        <f>HYPERLINK("https://klasma.github.io/Logging_1290/klagomålsmail/A 15105-2023 FSC-klagomål mail.docx", "A 15105-2023")</f>
        <v/>
      </c>
      <c r="X124">
        <f>HYPERLINK("https://klasma.github.io/Logging_1290/tillsyn/A 15105-2023 tillsynsbegäran.docx", "A 15105-2023")</f>
        <v/>
      </c>
      <c r="Y124">
        <f>HYPERLINK("https://klasma.github.io/Logging_1290/tillsynsmail/A 15105-2023 tillsynsbegäran mail.docx", "A 15105-2023")</f>
        <v/>
      </c>
    </row>
    <row r="125" ht="15" customHeight="1">
      <c r="A125" t="inlineStr">
        <is>
          <t>A 31616-2024</t>
        </is>
      </c>
      <c r="B125" s="1" t="n">
        <v>45506</v>
      </c>
      <c r="C125" s="1" t="n">
        <v>46196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Crunoecia irrorata</t>
        </is>
      </c>
      <c r="S125">
        <f>HYPERLINK("https://klasma.github.io/Logging_1290/artfynd/A 31616-2024 artfynd.xlsx", "A 31616-2024")</f>
        <v/>
      </c>
      <c r="T125">
        <f>HYPERLINK("https://klasma.github.io/Logging_1290/kartor/A 31616-2024 karta.png", "A 31616-2024")</f>
        <v/>
      </c>
      <c r="V125">
        <f>HYPERLINK("https://klasma.github.io/Logging_1290/klagomål/A 31616-2024 FSC-klagomål.docx", "A 31616-2024")</f>
        <v/>
      </c>
      <c r="W125">
        <f>HYPERLINK("https://klasma.github.io/Logging_1290/klagomålsmail/A 31616-2024 FSC-klagomål mail.docx", "A 31616-2024")</f>
        <v/>
      </c>
      <c r="X125">
        <f>HYPERLINK("https://klasma.github.io/Logging_1290/tillsyn/A 31616-2024 tillsynsbegäran.docx", "A 31616-2024")</f>
        <v/>
      </c>
      <c r="Y125">
        <f>HYPERLINK("https://klasma.github.io/Logging_1290/tillsynsmail/A 31616-2024 tillsynsbegäran mail.docx", "A 31616-2024")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46196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46196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43868-2022</t>
        </is>
      </c>
      <c r="B128" s="1" t="n">
        <v>44838</v>
      </c>
      <c r="C128" s="1" t="n">
        <v>46196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46196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43981-2021</t>
        </is>
      </c>
      <c r="B130" s="1" t="n">
        <v>44434</v>
      </c>
      <c r="C130" s="1" t="n">
        <v>46196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48054-2021</t>
        </is>
      </c>
      <c r="B131" s="1" t="n">
        <v>44449</v>
      </c>
      <c r="C131" s="1" t="n">
        <v>46196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46196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46196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46196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46196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21390-2022</t>
        </is>
      </c>
      <c r="B136" s="1" t="n">
        <v>44705</v>
      </c>
      <c r="C136" s="1" t="n">
        <v>46196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24415-2022</t>
        </is>
      </c>
      <c r="B137" s="1" t="n">
        <v>44725</v>
      </c>
      <c r="C137" s="1" t="n">
        <v>46196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74507-2021</t>
        </is>
      </c>
      <c r="B138" s="1" t="n">
        <v>44560</v>
      </c>
      <c r="C138" s="1" t="n">
        <v>46196</v>
      </c>
      <c r="D138" t="inlineStr">
        <is>
          <t>SKÅNE LÄN</t>
        </is>
      </c>
      <c r="E138" t="inlineStr">
        <is>
          <t>KRISTIANSTAD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74289-2021</t>
        </is>
      </c>
      <c r="B139" s="1" t="n">
        <v>44558</v>
      </c>
      <c r="C139" s="1" t="n">
        <v>46196</v>
      </c>
      <c r="D139" t="inlineStr">
        <is>
          <t>SKÅNE LÄN</t>
        </is>
      </c>
      <c r="E139" t="inlineStr">
        <is>
          <t>KRISTIANSTAD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30864-2022</t>
        </is>
      </c>
      <c r="B140" s="1" t="n">
        <v>44767</v>
      </c>
      <c r="C140" s="1" t="n">
        <v>46196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46196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48707-2021</t>
        </is>
      </c>
      <c r="B142" s="1" t="n">
        <v>44452</v>
      </c>
      <c r="C142" s="1" t="n">
        <v>46196</v>
      </c>
      <c r="D142" t="inlineStr">
        <is>
          <t>SKÅNE LÄN</t>
        </is>
      </c>
      <c r="E142" t="inlineStr">
        <is>
          <t>KRISTIANSTAD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44329-2021</t>
        </is>
      </c>
      <c r="B143" s="1" t="n">
        <v>44435</v>
      </c>
      <c r="C143" s="1" t="n">
        <v>46196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46196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44361-2021</t>
        </is>
      </c>
      <c r="B145" s="1" t="n">
        <v>44435</v>
      </c>
      <c r="C145" s="1" t="n">
        <v>46196</v>
      </c>
      <c r="D145" t="inlineStr">
        <is>
          <t>SKÅNE LÄN</t>
        </is>
      </c>
      <c r="E145" t="inlineStr">
        <is>
          <t>KRISTIANSTAD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46196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46196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46196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46196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46196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46196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46196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38693-2021</t>
        </is>
      </c>
      <c r="B153" s="1" t="n">
        <v>44410</v>
      </c>
      <c r="C153" s="1" t="n">
        <v>46196</v>
      </c>
      <c r="D153" t="inlineStr">
        <is>
          <t>SKÅNE LÄN</t>
        </is>
      </c>
      <c r="E153" t="inlineStr">
        <is>
          <t>KRISTIANSTAD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46196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46196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46196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27962-2022</t>
        </is>
      </c>
      <c r="B158" s="1" t="n">
        <v>44744</v>
      </c>
      <c r="C158" s="1" t="n">
        <v>46196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51318-2021</t>
        </is>
      </c>
      <c r="B159" s="1" t="n">
        <v>44461</v>
      </c>
      <c r="C159" s="1" t="n">
        <v>46196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59831-2021</t>
        </is>
      </c>
      <c r="B160" s="1" t="n">
        <v>44491</v>
      </c>
      <c r="C160" s="1" t="n">
        <v>46196</v>
      </c>
      <c r="D160" t="inlineStr">
        <is>
          <t>SKÅNE LÄN</t>
        </is>
      </c>
      <c r="E160" t="inlineStr">
        <is>
          <t>KRISTIANSTAD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5856-2022</t>
        </is>
      </c>
      <c r="B161" s="1" t="n">
        <v>44596</v>
      </c>
      <c r="C161" s="1" t="n">
        <v>46196</v>
      </c>
      <c r="D161" t="inlineStr">
        <is>
          <t>SKÅNE LÄN</t>
        </is>
      </c>
      <c r="E161" t="inlineStr">
        <is>
          <t>KRISTIANSTAD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39444-2021</t>
        </is>
      </c>
      <c r="B162" s="1" t="n">
        <v>44412</v>
      </c>
      <c r="C162" s="1" t="n">
        <v>46196</v>
      </c>
      <c r="D162" t="inlineStr">
        <is>
          <t>SKÅNE LÄN</t>
        </is>
      </c>
      <c r="E162" t="inlineStr">
        <is>
          <t>KRISTIANSTAD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39449-2021</t>
        </is>
      </c>
      <c r="B163" s="1" t="n">
        <v>44412</v>
      </c>
      <c r="C163" s="1" t="n">
        <v>46196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45043-2022</t>
        </is>
      </c>
      <c r="B164" s="1" t="n">
        <v>44841</v>
      </c>
      <c r="C164" s="1" t="n">
        <v>46196</v>
      </c>
      <c r="D164" t="inlineStr">
        <is>
          <t>SKÅNE LÄN</t>
        </is>
      </c>
      <c r="E164" t="inlineStr">
        <is>
          <t>KRISTIANSTAD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50520-2022</t>
        </is>
      </c>
      <c r="B165" s="1" t="n">
        <v>44866</v>
      </c>
      <c r="C165" s="1" t="n">
        <v>46196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49747-2022</t>
        </is>
      </c>
      <c r="B166" s="1" t="n">
        <v>44862</v>
      </c>
      <c r="C166" s="1" t="n">
        <v>46196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54057-2021</t>
        </is>
      </c>
      <c r="B167" s="1" t="n">
        <v>44470</v>
      </c>
      <c r="C167" s="1" t="n">
        <v>46196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46196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43655-2021</t>
        </is>
      </c>
      <c r="B169" s="1" t="n">
        <v>44433</v>
      </c>
      <c r="C169" s="1" t="n">
        <v>46196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35300-2021</t>
        </is>
      </c>
      <c r="B170" s="1" t="n">
        <v>44384</v>
      </c>
      <c r="C170" s="1" t="n">
        <v>46196</v>
      </c>
      <c r="D170" t="inlineStr">
        <is>
          <t>SKÅNE LÄN</t>
        </is>
      </c>
      <c r="E170" t="inlineStr">
        <is>
          <t>KRISTIANSTAD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</v>
      </c>
      <c r="C171" s="1" t="n">
        <v>46196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46196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48173-2021</t>
        </is>
      </c>
      <c r="B173" s="1" t="n">
        <v>44449</v>
      </c>
      <c r="C173" s="1" t="n">
        <v>46196</v>
      </c>
      <c r="D173" t="inlineStr">
        <is>
          <t>SKÅNE LÄN</t>
        </is>
      </c>
      <c r="E173" t="inlineStr">
        <is>
          <t>KRISTIANSTAD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43865-2022</t>
        </is>
      </c>
      <c r="B174" s="1" t="n">
        <v>44838</v>
      </c>
      <c r="C174" s="1" t="n">
        <v>46196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22548-2022</t>
        </is>
      </c>
      <c r="B175" s="1" t="n">
        <v>44713</v>
      </c>
      <c r="C175" s="1" t="n">
        <v>46196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67024-2021</t>
        </is>
      </c>
      <c r="B176" s="1" t="n">
        <v>44522</v>
      </c>
      <c r="C176" s="1" t="n">
        <v>46196</v>
      </c>
      <c r="D176" t="inlineStr">
        <is>
          <t>SKÅNE LÄN</t>
        </is>
      </c>
      <c r="E176" t="inlineStr">
        <is>
          <t>KRISTIANSTAD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28853-2022</t>
        </is>
      </c>
      <c r="B177" s="1" t="n">
        <v>44749</v>
      </c>
      <c r="C177" s="1" t="n">
        <v>46196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66449-2021</t>
        </is>
      </c>
      <c r="B178" s="1" t="n">
        <v>44518</v>
      </c>
      <c r="C178" s="1" t="n">
        <v>46196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3908-2022</t>
        </is>
      </c>
      <c r="B179" s="1" t="n">
        <v>44587</v>
      </c>
      <c r="C179" s="1" t="n">
        <v>46196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40328-2021</t>
        </is>
      </c>
      <c r="B180" s="1" t="n">
        <v>44419</v>
      </c>
      <c r="C180" s="1" t="n">
        <v>46196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18322-2022</t>
        </is>
      </c>
      <c r="B181" s="1" t="n">
        <v>44685</v>
      </c>
      <c r="C181" s="1" t="n">
        <v>46196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46196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13433-2022</t>
        </is>
      </c>
      <c r="B183" s="1" t="n">
        <v>44645</v>
      </c>
      <c r="C183" s="1" t="n">
        <v>46196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19910-2022</t>
        </is>
      </c>
      <c r="B184" s="1" t="n">
        <v>44697</v>
      </c>
      <c r="C184" s="1" t="n">
        <v>46196</v>
      </c>
      <c r="D184" t="inlineStr">
        <is>
          <t>SKÅNE LÄN</t>
        </is>
      </c>
      <c r="E184" t="inlineStr">
        <is>
          <t>KRISTIANSTAD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10970-2022</t>
        </is>
      </c>
      <c r="B185" s="1" t="n">
        <v>44628</v>
      </c>
      <c r="C185" s="1" t="n">
        <v>46196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42658-2021</t>
        </is>
      </c>
      <c r="B186" s="1" t="n">
        <v>44428</v>
      </c>
      <c r="C186" s="1" t="n">
        <v>46196</v>
      </c>
      <c r="D186" t="inlineStr">
        <is>
          <t>SKÅNE LÄN</t>
        </is>
      </c>
      <c r="E186" t="inlineStr">
        <is>
          <t>KRISTIANSTAD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16579-2022</t>
        </is>
      </c>
      <c r="B187" s="1" t="n">
        <v>44672</v>
      </c>
      <c r="C187" s="1" t="n">
        <v>46196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37558-2021</t>
        </is>
      </c>
      <c r="B188" s="1" t="n">
        <v>44399</v>
      </c>
      <c r="C188" s="1" t="n">
        <v>46196</v>
      </c>
      <c r="D188" t="inlineStr">
        <is>
          <t>SKÅNE LÄN</t>
        </is>
      </c>
      <c r="E188" t="inlineStr">
        <is>
          <t>KRISTIANSTAD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46196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6348-2024</t>
        </is>
      </c>
      <c r="B190" s="1" t="n">
        <v>45338</v>
      </c>
      <c r="C190" s="1" t="n">
        <v>46196</v>
      </c>
      <c r="D190" t="inlineStr">
        <is>
          <t>SKÅNE LÄN</t>
        </is>
      </c>
      <c r="E190" t="inlineStr">
        <is>
          <t>KRISTIANSTAD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6616-2022</t>
        </is>
      </c>
      <c r="B191" s="1" t="n">
        <v>44601</v>
      </c>
      <c r="C191" s="1" t="n">
        <v>46196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30858-2023</t>
        </is>
      </c>
      <c r="B192" s="1" t="n">
        <v>45112</v>
      </c>
      <c r="C192" s="1" t="n">
        <v>46196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27584-2024</t>
        </is>
      </c>
      <c r="B193" s="1" t="n">
        <v>45474</v>
      </c>
      <c r="C193" s="1" t="n">
        <v>46196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32705-2023</t>
        </is>
      </c>
      <c r="B194" s="1" t="n">
        <v>45121</v>
      </c>
      <c r="C194" s="1" t="n">
        <v>46196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33752-2024</t>
        </is>
      </c>
      <c r="B195" s="1" t="n">
        <v>45520</v>
      </c>
      <c r="C195" s="1" t="n">
        <v>46196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35026-2023</t>
        </is>
      </c>
      <c r="B196" s="1" t="n">
        <v>45144</v>
      </c>
      <c r="C196" s="1" t="n">
        <v>46196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13431-2022</t>
        </is>
      </c>
      <c r="B197" s="1" t="n">
        <v>44645</v>
      </c>
      <c r="C197" s="1" t="n">
        <v>46196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60380-2024</t>
        </is>
      </c>
      <c r="B198" s="1" t="n">
        <v>45643</v>
      </c>
      <c r="C198" s="1" t="n">
        <v>46196</v>
      </c>
      <c r="D198" t="inlineStr">
        <is>
          <t>SKÅNE LÄN</t>
        </is>
      </c>
      <c r="E198" t="inlineStr">
        <is>
          <t>KRISTIANSTAD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44538-2024</t>
        </is>
      </c>
      <c r="B199" s="1" t="n">
        <v>45574</v>
      </c>
      <c r="C199" s="1" t="n">
        <v>46196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1064-2025</t>
        </is>
      </c>
      <c r="B200" s="1" t="n">
        <v>45665</v>
      </c>
      <c r="C200" s="1" t="n">
        <v>46196</v>
      </c>
      <c r="D200" t="inlineStr">
        <is>
          <t>SKÅNE LÄN</t>
        </is>
      </c>
      <c r="E200" t="inlineStr">
        <is>
          <t>KRISTIANSTAD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44339-2023</t>
        </is>
      </c>
      <c r="B201" s="1" t="n">
        <v>45188</v>
      </c>
      <c r="C201" s="1" t="n">
        <v>46196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38470-2025</t>
        </is>
      </c>
      <c r="B202" s="1" t="n">
        <v>45884</v>
      </c>
      <c r="C202" s="1" t="n">
        <v>46196</v>
      </c>
      <c r="D202" t="inlineStr">
        <is>
          <t>SKÅNE LÄN</t>
        </is>
      </c>
      <c r="E202" t="inlineStr">
        <is>
          <t>KRISTIANSTAD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17270-2024</t>
        </is>
      </c>
      <c r="B203" s="1" t="n">
        <v>45414</v>
      </c>
      <c r="C203" s="1" t="n">
        <v>46196</v>
      </c>
      <c r="D203" t="inlineStr">
        <is>
          <t>SKÅNE LÄN</t>
        </is>
      </c>
      <c r="E203" t="inlineStr">
        <is>
          <t>KRISTIANSTAD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38779-2025</t>
        </is>
      </c>
      <c r="B204" s="1" t="n">
        <v>45887</v>
      </c>
      <c r="C204" s="1" t="n">
        <v>46196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38790-2025</t>
        </is>
      </c>
      <c r="B205" s="1" t="n">
        <v>45887</v>
      </c>
      <c r="C205" s="1" t="n">
        <v>46196</v>
      </c>
      <c r="D205" t="inlineStr">
        <is>
          <t>SKÅNE LÄN</t>
        </is>
      </c>
      <c r="E205" t="inlineStr">
        <is>
          <t>KRISTIANSTAD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38781-2025</t>
        </is>
      </c>
      <c r="B206" s="1" t="n">
        <v>45887</v>
      </c>
      <c r="C206" s="1" t="n">
        <v>46196</v>
      </c>
      <c r="D206" t="inlineStr">
        <is>
          <t>SKÅNE LÄN</t>
        </is>
      </c>
      <c r="E206" t="inlineStr">
        <is>
          <t>KRISTIANSTAD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61137-2021</t>
        </is>
      </c>
      <c r="B207" s="1" t="n">
        <v>44497</v>
      </c>
      <c r="C207" s="1" t="n">
        <v>46196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9002-2024</t>
        </is>
      </c>
      <c r="B208" s="1" t="n">
        <v>45357</v>
      </c>
      <c r="C208" s="1" t="n">
        <v>46196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11037-2024</t>
        </is>
      </c>
      <c r="B209" s="1" t="n">
        <v>45370</v>
      </c>
      <c r="C209" s="1" t="n">
        <v>46196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51248-2024</t>
        </is>
      </c>
      <c r="B210" s="1" t="n">
        <v>45603</v>
      </c>
      <c r="C210" s="1" t="n">
        <v>46196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52171-2025</t>
        </is>
      </c>
      <c r="B211" s="1" t="n">
        <v>45953</v>
      </c>
      <c r="C211" s="1" t="n">
        <v>46196</v>
      </c>
      <c r="D211" t="inlineStr">
        <is>
          <t>SKÅNE LÄN</t>
        </is>
      </c>
      <c r="E211" t="inlineStr">
        <is>
          <t>KRISTIANSTAD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52176-2023</t>
        </is>
      </c>
      <c r="B212" s="1" t="n">
        <v>45217</v>
      </c>
      <c r="C212" s="1" t="n">
        <v>46196</v>
      </c>
      <c r="D212" t="inlineStr">
        <is>
          <t>SKÅNE LÄN</t>
        </is>
      </c>
      <c r="E212" t="inlineStr">
        <is>
          <t>KRISTIANSTAD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40300-2024</t>
        </is>
      </c>
      <c r="B213" s="1" t="n">
        <v>45554</v>
      </c>
      <c r="C213" s="1" t="n">
        <v>46196</v>
      </c>
      <c r="D213" t="inlineStr">
        <is>
          <t>SKÅNE LÄN</t>
        </is>
      </c>
      <c r="E213" t="inlineStr">
        <is>
          <t>KRISTIANSTAD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38849-2025</t>
        </is>
      </c>
      <c r="B214" s="1" t="n">
        <v>45887</v>
      </c>
      <c r="C214" s="1" t="n">
        <v>46196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55961-2023</t>
        </is>
      </c>
      <c r="B215" s="1" t="n">
        <v>45233</v>
      </c>
      <c r="C215" s="1" t="n">
        <v>46196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38784-2025</t>
        </is>
      </c>
      <c r="B216" s="1" t="n">
        <v>45887</v>
      </c>
      <c r="C216" s="1" t="n">
        <v>46196</v>
      </c>
      <c r="D216" t="inlineStr">
        <is>
          <t>SKÅNE LÄN</t>
        </is>
      </c>
      <c r="E216" t="inlineStr">
        <is>
          <t>KRISTIANSTAD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40661-2022</t>
        </is>
      </c>
      <c r="B217" s="1" t="n">
        <v>44824</v>
      </c>
      <c r="C217" s="1" t="n">
        <v>46196</v>
      </c>
      <c r="D217" t="inlineStr">
        <is>
          <t>SKÅNE LÄN</t>
        </is>
      </c>
      <c r="E217" t="inlineStr">
        <is>
          <t>KRISTIANSTAD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52406-2025</t>
        </is>
      </c>
      <c r="B218" s="1" t="n">
        <v>45954</v>
      </c>
      <c r="C218" s="1" t="n">
        <v>46196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52409-2025</t>
        </is>
      </c>
      <c r="B219" s="1" t="n">
        <v>45954</v>
      </c>
      <c r="C219" s="1" t="n">
        <v>46196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53179-2025</t>
        </is>
      </c>
      <c r="B220" s="1" t="n">
        <v>45958</v>
      </c>
      <c r="C220" s="1" t="n">
        <v>46196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6858-2025</t>
        </is>
      </c>
      <c r="B221" s="1" t="n">
        <v>45700</v>
      </c>
      <c r="C221" s="1" t="n">
        <v>46196</v>
      </c>
      <c r="D221" t="inlineStr">
        <is>
          <t>SKÅNE LÄN</t>
        </is>
      </c>
      <c r="E221" t="inlineStr">
        <is>
          <t>KRISTIANSTAD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53525-2025</t>
        </is>
      </c>
      <c r="B222" s="1" t="n">
        <v>45960</v>
      </c>
      <c r="C222" s="1" t="n">
        <v>46196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43321-2023</t>
        </is>
      </c>
      <c r="B223" s="1" t="n">
        <v>45183</v>
      </c>
      <c r="C223" s="1" t="n">
        <v>46196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32990-2024</t>
        </is>
      </c>
      <c r="B224" s="1" t="n">
        <v>45517</v>
      </c>
      <c r="C224" s="1" t="n">
        <v>46196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25714-2025</t>
        </is>
      </c>
      <c r="B225" s="1" t="n">
        <v>45803</v>
      </c>
      <c r="C225" s="1" t="n">
        <v>46196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30893-2024</t>
        </is>
      </c>
      <c r="B226" s="1" t="n">
        <v>45498</v>
      </c>
      <c r="C226" s="1" t="n">
        <v>46196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39332-2025</t>
        </is>
      </c>
      <c r="B227" s="1" t="n">
        <v>45889</v>
      </c>
      <c r="C227" s="1" t="n">
        <v>46196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29934-2023</t>
        </is>
      </c>
      <c r="B228" s="1" t="n">
        <v>45107</v>
      </c>
      <c r="C228" s="1" t="n">
        <v>46196</v>
      </c>
      <c r="D228" t="inlineStr">
        <is>
          <t>SKÅNE LÄN</t>
        </is>
      </c>
      <c r="E228" t="inlineStr">
        <is>
          <t>KRISTIANSTAD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40301-2025</t>
        </is>
      </c>
      <c r="B229" s="1" t="n">
        <v>45895</v>
      </c>
      <c r="C229" s="1" t="n">
        <v>46196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35937-2024</t>
        </is>
      </c>
      <c r="B230" s="1" t="n">
        <v>45533</v>
      </c>
      <c r="C230" s="1" t="n">
        <v>46196</v>
      </c>
      <c r="D230" t="inlineStr">
        <is>
          <t>SKÅNE LÄN</t>
        </is>
      </c>
      <c r="E230" t="inlineStr">
        <is>
          <t>KRISTIANSTAD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24303-2025</t>
        </is>
      </c>
      <c r="B231" s="1" t="n">
        <v>45797</v>
      </c>
      <c r="C231" s="1" t="n">
        <v>46196</v>
      </c>
      <c r="D231" t="inlineStr">
        <is>
          <t>SKÅNE LÄN</t>
        </is>
      </c>
      <c r="E231" t="inlineStr">
        <is>
          <t>KRISTIANSTAD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40286-2025</t>
        </is>
      </c>
      <c r="B232" s="1" t="n">
        <v>45895</v>
      </c>
      <c r="C232" s="1" t="n">
        <v>46196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39994-2025</t>
        </is>
      </c>
      <c r="B233" s="1" t="n">
        <v>45894</v>
      </c>
      <c r="C233" s="1" t="n">
        <v>46196</v>
      </c>
      <c r="D233" t="inlineStr">
        <is>
          <t>SKÅNE LÄN</t>
        </is>
      </c>
      <c r="E233" t="inlineStr">
        <is>
          <t>KRISTIANSTAD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33320-2023</t>
        </is>
      </c>
      <c r="B234" s="1" t="n">
        <v>45127</v>
      </c>
      <c r="C234" s="1" t="n">
        <v>46196</v>
      </c>
      <c r="D234" t="inlineStr">
        <is>
          <t>SKÅNE LÄN</t>
        </is>
      </c>
      <c r="E234" t="inlineStr">
        <is>
          <t>KRISTIANSTAD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27961-2022</t>
        </is>
      </c>
      <c r="B235" s="1" t="n">
        <v>44744</v>
      </c>
      <c r="C235" s="1" t="n">
        <v>46196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24798-2025</t>
        </is>
      </c>
      <c r="B236" s="1" t="n">
        <v>45799</v>
      </c>
      <c r="C236" s="1" t="n">
        <v>46196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56042-2025</t>
        </is>
      </c>
      <c r="B237" s="1" t="n">
        <v>45973</v>
      </c>
      <c r="C237" s="1" t="n">
        <v>46196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55631-2025</t>
        </is>
      </c>
      <c r="B238" s="1" t="n">
        <v>45972</v>
      </c>
      <c r="C238" s="1" t="n">
        <v>46196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56011-2025</t>
        </is>
      </c>
      <c r="B239" s="1" t="n">
        <v>45973</v>
      </c>
      <c r="C239" s="1" t="n">
        <v>46196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40500-2025</t>
        </is>
      </c>
      <c r="B240" s="1" t="n">
        <v>45896</v>
      </c>
      <c r="C240" s="1" t="n">
        <v>46196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17925-2024</t>
        </is>
      </c>
      <c r="B241" s="1" t="n">
        <v>45419</v>
      </c>
      <c r="C241" s="1" t="n">
        <v>46196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61703-2024</t>
        </is>
      </c>
      <c r="B242" s="1" t="n">
        <v>45648</v>
      </c>
      <c r="C242" s="1" t="n">
        <v>46196</v>
      </c>
      <c r="D242" t="inlineStr">
        <is>
          <t>SKÅNE LÄN</t>
        </is>
      </c>
      <c r="E242" t="inlineStr">
        <is>
          <t>KRISTIANSTAD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45493-2024</t>
        </is>
      </c>
      <c r="B243" s="1" t="n">
        <v>45577</v>
      </c>
      <c r="C243" s="1" t="n">
        <v>46196</v>
      </c>
      <c r="D243" t="inlineStr">
        <is>
          <t>SKÅNE LÄN</t>
        </is>
      </c>
      <c r="E243" t="inlineStr">
        <is>
          <t>KRISTIANSTAD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25433-2025</t>
        </is>
      </c>
      <c r="B244" s="1" t="n">
        <v>45800</v>
      </c>
      <c r="C244" s="1" t="n">
        <v>46196</v>
      </c>
      <c r="D244" t="inlineStr">
        <is>
          <t>SKÅNE LÄN</t>
        </is>
      </c>
      <c r="E244" t="inlineStr">
        <is>
          <t>KRISTIANSTAD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41245-2025</t>
        </is>
      </c>
      <c r="B245" s="1" t="n">
        <v>45898</v>
      </c>
      <c r="C245" s="1" t="n">
        <v>46196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41357-2025</t>
        </is>
      </c>
      <c r="B246" s="1" t="n">
        <v>45900</v>
      </c>
      <c r="C246" s="1" t="n">
        <v>46196</v>
      </c>
      <c r="D246" t="inlineStr">
        <is>
          <t>SKÅNE LÄN</t>
        </is>
      </c>
      <c r="E246" t="inlineStr">
        <is>
          <t>KRISTIANSTAD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41362-2025</t>
        </is>
      </c>
      <c r="B247" s="1" t="n">
        <v>45900</v>
      </c>
      <c r="C247" s="1" t="n">
        <v>46196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1833-2024</t>
        </is>
      </c>
      <c r="B248" s="1" t="n">
        <v>45307</v>
      </c>
      <c r="C248" s="1" t="n">
        <v>46196</v>
      </c>
      <c r="D248" t="inlineStr">
        <is>
          <t>SKÅNE LÄN</t>
        </is>
      </c>
      <c r="E248" t="inlineStr">
        <is>
          <t>KRISTIANSTAD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46772-2023</t>
        </is>
      </c>
      <c r="B249" s="1" t="n">
        <v>45198</v>
      </c>
      <c r="C249" s="1" t="n">
        <v>46196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33592-2023</t>
        </is>
      </c>
      <c r="B250" s="1" t="n">
        <v>45132</v>
      </c>
      <c r="C250" s="1" t="n">
        <v>46196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41359-2025</t>
        </is>
      </c>
      <c r="B251" s="1" t="n">
        <v>45900</v>
      </c>
      <c r="C251" s="1" t="n">
        <v>46196</v>
      </c>
      <c r="D251" t="inlineStr">
        <is>
          <t>SKÅNE LÄN</t>
        </is>
      </c>
      <c r="E251" t="inlineStr">
        <is>
          <t>KRISTIANSTAD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30367-2023</t>
        </is>
      </c>
      <c r="B252" s="1" t="n">
        <v>45111</v>
      </c>
      <c r="C252" s="1" t="n">
        <v>46196</v>
      </c>
      <c r="D252" t="inlineStr">
        <is>
          <t>SKÅNE LÄN</t>
        </is>
      </c>
      <c r="E252" t="inlineStr">
        <is>
          <t>KRISTIANSTAD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41023-2025</t>
        </is>
      </c>
      <c r="B253" s="1" t="n">
        <v>45898</v>
      </c>
      <c r="C253" s="1" t="n">
        <v>46196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41361-2025</t>
        </is>
      </c>
      <c r="B254" s="1" t="n">
        <v>45900</v>
      </c>
      <c r="C254" s="1" t="n">
        <v>46196</v>
      </c>
      <c r="D254" t="inlineStr">
        <is>
          <t>SKÅNE LÄN</t>
        </is>
      </c>
      <c r="E254" t="inlineStr">
        <is>
          <t>KRISTIANSTAD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38046-2024</t>
        </is>
      </c>
      <c r="B255" s="1" t="n">
        <v>45544</v>
      </c>
      <c r="C255" s="1" t="n">
        <v>46196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41363-2025</t>
        </is>
      </c>
      <c r="B256" s="1" t="n">
        <v>45900</v>
      </c>
      <c r="C256" s="1" t="n">
        <v>46196</v>
      </c>
      <c r="D256" t="inlineStr">
        <is>
          <t>SKÅNE LÄN</t>
        </is>
      </c>
      <c r="E256" t="inlineStr">
        <is>
          <t>KRISTIANSTAD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1660-2025</t>
        </is>
      </c>
      <c r="B257" s="1" t="n">
        <v>45670</v>
      </c>
      <c r="C257" s="1" t="n">
        <v>46196</v>
      </c>
      <c r="D257" t="inlineStr">
        <is>
          <t>SKÅNE LÄN</t>
        </is>
      </c>
      <c r="E257" t="inlineStr">
        <is>
          <t>KRISTIANSTAD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41636-2025</t>
        </is>
      </c>
      <c r="B258" s="1" t="n">
        <v>45902</v>
      </c>
      <c r="C258" s="1" t="n">
        <v>46196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39944-2024</t>
        </is>
      </c>
      <c r="B259" s="1" t="n">
        <v>45553</v>
      </c>
      <c r="C259" s="1" t="n">
        <v>46196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41635-2025</t>
        </is>
      </c>
      <c r="B260" s="1" t="n">
        <v>45902</v>
      </c>
      <c r="C260" s="1" t="n">
        <v>46196</v>
      </c>
      <c r="D260" t="inlineStr">
        <is>
          <t>SKÅNE LÄN</t>
        </is>
      </c>
      <c r="E260" t="inlineStr">
        <is>
          <t>KRISTIANSTAD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57266-2025</t>
        </is>
      </c>
      <c r="B261" s="1" t="n">
        <v>45979</v>
      </c>
      <c r="C261" s="1" t="n">
        <v>46196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57016-2025</t>
        </is>
      </c>
      <c r="B262" s="1" t="n">
        <v>45978</v>
      </c>
      <c r="C262" s="1" t="n">
        <v>46196</v>
      </c>
      <c r="D262" t="inlineStr">
        <is>
          <t>SKÅNE LÄN</t>
        </is>
      </c>
      <c r="E262" t="inlineStr">
        <is>
          <t>KRISTIANSTAD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57351-2025</t>
        </is>
      </c>
      <c r="B263" s="1" t="n">
        <v>45979</v>
      </c>
      <c r="C263" s="1" t="n">
        <v>46196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41358-2025</t>
        </is>
      </c>
      <c r="B264" s="1" t="n">
        <v>45900</v>
      </c>
      <c r="C264" s="1" t="n">
        <v>46196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13891-2025</t>
        </is>
      </c>
      <c r="B265" s="1" t="n">
        <v>45737</v>
      </c>
      <c r="C265" s="1" t="n">
        <v>46196</v>
      </c>
      <c r="D265" t="inlineStr">
        <is>
          <t>SKÅNE LÄN</t>
        </is>
      </c>
      <c r="E265" t="inlineStr">
        <is>
          <t>KRISTIANSTAD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6719-2024</t>
        </is>
      </c>
      <c r="B266" s="1" t="n">
        <v>45342</v>
      </c>
      <c r="C266" s="1" t="n">
        <v>46196</v>
      </c>
      <c r="D266" t="inlineStr">
        <is>
          <t>SKÅNE LÄN</t>
        </is>
      </c>
      <c r="E266" t="inlineStr">
        <is>
          <t>KRISTIANSTAD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25860-2025</t>
        </is>
      </c>
      <c r="B267" s="1" t="n">
        <v>45804</v>
      </c>
      <c r="C267" s="1" t="n">
        <v>46196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57913-2025</t>
        </is>
      </c>
      <c r="B268" s="1" t="n">
        <v>45981</v>
      </c>
      <c r="C268" s="1" t="n">
        <v>46196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25809-2025</t>
        </is>
      </c>
      <c r="B269" s="1" t="n">
        <v>45804</v>
      </c>
      <c r="C269" s="1" t="n">
        <v>46196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45764-2022</t>
        </is>
      </c>
      <c r="B270" s="1" t="n">
        <v>44846</v>
      </c>
      <c r="C270" s="1" t="n">
        <v>46196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58477-2025</t>
        </is>
      </c>
      <c r="B271" s="1" t="n">
        <v>45985</v>
      </c>
      <c r="C271" s="1" t="n">
        <v>46196</v>
      </c>
      <c r="D271" t="inlineStr">
        <is>
          <t>SKÅNE LÄN</t>
        </is>
      </c>
      <c r="E271" t="inlineStr">
        <is>
          <t>KRISTIANSTAD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30233-2023</t>
        </is>
      </c>
      <c r="B272" s="1" t="n">
        <v>45110</v>
      </c>
      <c r="C272" s="1" t="n">
        <v>46196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19257-2023</t>
        </is>
      </c>
      <c r="B273" s="1" t="n">
        <v>45049</v>
      </c>
      <c r="C273" s="1" t="n">
        <v>46196</v>
      </c>
      <c r="D273" t="inlineStr">
        <is>
          <t>SKÅNE LÄN</t>
        </is>
      </c>
      <c r="E273" t="inlineStr">
        <is>
          <t>KRISTIANSTAD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23560-2025</t>
        </is>
      </c>
      <c r="B274" s="1" t="n">
        <v>45792</v>
      </c>
      <c r="C274" s="1" t="n">
        <v>46196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44111-2025</t>
        </is>
      </c>
      <c r="B275" s="1" t="n">
        <v>45915</v>
      </c>
      <c r="C275" s="1" t="n">
        <v>46196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43939-2025</t>
        </is>
      </c>
      <c r="B276" s="1" t="n">
        <v>45915</v>
      </c>
      <c r="C276" s="1" t="n">
        <v>46196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58879-2025</t>
        </is>
      </c>
      <c r="B277" s="1" t="n">
        <v>45987</v>
      </c>
      <c r="C277" s="1" t="n">
        <v>46196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44260-2025</t>
        </is>
      </c>
      <c r="B278" s="1" t="n">
        <v>45915</v>
      </c>
      <c r="C278" s="1" t="n">
        <v>46196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27957-2022</t>
        </is>
      </c>
      <c r="B279" s="1" t="n">
        <v>44743</v>
      </c>
      <c r="C279" s="1" t="n">
        <v>46196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26804-2025</t>
        </is>
      </c>
      <c r="B280" s="1" t="n">
        <v>45810</v>
      </c>
      <c r="C280" s="1" t="n">
        <v>46196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61878-2024</t>
        </is>
      </c>
      <c r="B281" s="1" t="n">
        <v>45652</v>
      </c>
      <c r="C281" s="1" t="n">
        <v>46196</v>
      </c>
      <c r="D281" t="inlineStr">
        <is>
          <t>SKÅNE LÄN</t>
        </is>
      </c>
      <c r="E281" t="inlineStr">
        <is>
          <t>KRISTIANSTAD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37161-2025</t>
        </is>
      </c>
      <c r="B282" s="1" t="n">
        <v>45875</v>
      </c>
      <c r="C282" s="1" t="n">
        <v>46196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44371-2025</t>
        </is>
      </c>
      <c r="B283" s="1" t="n">
        <v>45916</v>
      </c>
      <c r="C283" s="1" t="n">
        <v>46196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18015-2025</t>
        </is>
      </c>
      <c r="B284" s="1" t="n">
        <v>45761</v>
      </c>
      <c r="C284" s="1" t="n">
        <v>46196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18035-2025</t>
        </is>
      </c>
      <c r="B285" s="1" t="n">
        <v>45761</v>
      </c>
      <c r="C285" s="1" t="n">
        <v>46196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14611-2024</t>
        </is>
      </c>
      <c r="B286" s="1" t="n">
        <v>45396</v>
      </c>
      <c r="C286" s="1" t="n">
        <v>46196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59534-2025</t>
        </is>
      </c>
      <c r="B287" s="1" t="n">
        <v>45989</v>
      </c>
      <c r="C287" s="1" t="n">
        <v>46196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26678-2025</t>
        </is>
      </c>
      <c r="B288" s="1" t="n">
        <v>45810</v>
      </c>
      <c r="C288" s="1" t="n">
        <v>46196</v>
      </c>
      <c r="D288" t="inlineStr">
        <is>
          <t>SKÅNE LÄN</t>
        </is>
      </c>
      <c r="E288" t="inlineStr">
        <is>
          <t>KRISTIANSTAD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11786-2022</t>
        </is>
      </c>
      <c r="B289" s="1" t="n">
        <v>44634</v>
      </c>
      <c r="C289" s="1" t="n">
        <v>46196</v>
      </c>
      <c r="D289" t="inlineStr">
        <is>
          <t>SKÅNE LÄN</t>
        </is>
      </c>
      <c r="E289" t="inlineStr">
        <is>
          <t>KRISTIANSTAD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751-2025</t>
        </is>
      </c>
      <c r="B290" s="1" t="n">
        <v>45665</v>
      </c>
      <c r="C290" s="1" t="n">
        <v>46196</v>
      </c>
      <c r="D290" t="inlineStr">
        <is>
          <t>SKÅNE LÄN</t>
        </is>
      </c>
      <c r="E290" t="inlineStr">
        <is>
          <t>KRISTIANSTAD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60007-2025</t>
        </is>
      </c>
      <c r="B291" s="1" t="n">
        <v>45993</v>
      </c>
      <c r="C291" s="1" t="n">
        <v>46196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60008-2025</t>
        </is>
      </c>
      <c r="B292" s="1" t="n">
        <v>45993</v>
      </c>
      <c r="C292" s="1" t="n">
        <v>46196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60012-2025</t>
        </is>
      </c>
      <c r="B293" s="1" t="n">
        <v>45993</v>
      </c>
      <c r="C293" s="1" t="n">
        <v>46196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59535-2025</t>
        </is>
      </c>
      <c r="B294" s="1" t="n">
        <v>45989</v>
      </c>
      <c r="C294" s="1" t="n">
        <v>46196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721-2024</t>
        </is>
      </c>
      <c r="B295" s="1" t="n">
        <v>45300</v>
      </c>
      <c r="C295" s="1" t="n">
        <v>46196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5723-2023</t>
        </is>
      </c>
      <c r="B296" s="1" t="n">
        <v>44961</v>
      </c>
      <c r="C296" s="1" t="n">
        <v>46196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31165-2024</t>
        </is>
      </c>
      <c r="B297" s="1" t="n">
        <v>45503</v>
      </c>
      <c r="C297" s="1" t="n">
        <v>46196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47235-2024</t>
        </is>
      </c>
      <c r="B298" s="1" t="n">
        <v>45586</v>
      </c>
      <c r="C298" s="1" t="n">
        <v>46196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5594-2025</t>
        </is>
      </c>
      <c r="B299" s="1" t="n">
        <v>45693</v>
      </c>
      <c r="C299" s="1" t="n">
        <v>46196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25765-2024</t>
        </is>
      </c>
      <c r="B300" s="1" t="n">
        <v>45465</v>
      </c>
      <c r="C300" s="1" t="n">
        <v>46196</v>
      </c>
      <c r="D300" t="inlineStr">
        <is>
          <t>SKÅNE LÄN</t>
        </is>
      </c>
      <c r="E300" t="inlineStr">
        <is>
          <t>KRISTIANSTAD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25767-2024</t>
        </is>
      </c>
      <c r="B301" s="1" t="n">
        <v>45465</v>
      </c>
      <c r="C301" s="1" t="n">
        <v>46196</v>
      </c>
      <c r="D301" t="inlineStr">
        <is>
          <t>SKÅNE LÄN</t>
        </is>
      </c>
      <c r="E301" t="inlineStr">
        <is>
          <t>KRISTIANSTAD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46343-2025</t>
        </is>
      </c>
      <c r="B302" s="1" t="n">
        <v>45925</v>
      </c>
      <c r="C302" s="1" t="n">
        <v>46196</v>
      </c>
      <c r="D302" t="inlineStr">
        <is>
          <t>SKÅNE LÄN</t>
        </is>
      </c>
      <c r="E302" t="inlineStr">
        <is>
          <t>KRISTIANSTAD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46340-2025</t>
        </is>
      </c>
      <c r="B303" s="1" t="n">
        <v>45925</v>
      </c>
      <c r="C303" s="1" t="n">
        <v>46196</v>
      </c>
      <c r="D303" t="inlineStr">
        <is>
          <t>SKÅNE LÄN</t>
        </is>
      </c>
      <c r="E303" t="inlineStr">
        <is>
          <t>KRISTIANSTAD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30220-2024</t>
        </is>
      </c>
      <c r="B304" s="1" t="n">
        <v>45490</v>
      </c>
      <c r="C304" s="1" t="n">
        <v>46196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46336-2025</t>
        </is>
      </c>
      <c r="B305" s="1" t="n">
        <v>45925</v>
      </c>
      <c r="C305" s="1" t="n">
        <v>46196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46196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27287-2025</t>
        </is>
      </c>
      <c r="B307" s="1" t="n">
        <v>45812</v>
      </c>
      <c r="C307" s="1" t="n">
        <v>46196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46793-2025</t>
        </is>
      </c>
      <c r="B308" s="1" t="n">
        <v>45926</v>
      </c>
      <c r="C308" s="1" t="n">
        <v>46196</v>
      </c>
      <c r="D308" t="inlineStr">
        <is>
          <t>SKÅNE LÄN</t>
        </is>
      </c>
      <c r="E308" t="inlineStr">
        <is>
          <t>KRISTIANSTAD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47303-2025</t>
        </is>
      </c>
      <c r="B309" s="1" t="n">
        <v>45930</v>
      </c>
      <c r="C309" s="1" t="n">
        <v>46196</v>
      </c>
      <c r="D309" t="inlineStr">
        <is>
          <t>SKÅNE LÄN</t>
        </is>
      </c>
      <c r="E309" t="inlineStr">
        <is>
          <t>KRISTIANSTAD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61004-2025</t>
        </is>
      </c>
      <c r="B310" s="1" t="n">
        <v>45996</v>
      </c>
      <c r="C310" s="1" t="n">
        <v>46196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15951-2024</t>
        </is>
      </c>
      <c r="B311" s="1" t="n">
        <v>45405</v>
      </c>
      <c r="C311" s="1" t="n">
        <v>46196</v>
      </c>
      <c r="D311" t="inlineStr">
        <is>
          <t>SKÅNE LÄN</t>
        </is>
      </c>
      <c r="E311" t="inlineStr">
        <is>
          <t>KRISTIANSTAD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13820-2023</t>
        </is>
      </c>
      <c r="B312" s="1" t="n">
        <v>45007</v>
      </c>
      <c r="C312" s="1" t="n">
        <v>46196</v>
      </c>
      <c r="D312" t="inlineStr">
        <is>
          <t>SKÅNE LÄN</t>
        </is>
      </c>
      <c r="E312" t="inlineStr">
        <is>
          <t>KRISTIANSTAD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47665-2025</t>
        </is>
      </c>
      <c r="B313" s="1" t="n">
        <v>45931</v>
      </c>
      <c r="C313" s="1" t="n">
        <v>46196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8110-2025</t>
        </is>
      </c>
      <c r="B314" s="1" t="n">
        <v>45707</v>
      </c>
      <c r="C314" s="1" t="n">
        <v>46196</v>
      </c>
      <c r="D314" t="inlineStr">
        <is>
          <t>SKÅNE LÄN</t>
        </is>
      </c>
      <c r="E314" t="inlineStr">
        <is>
          <t>KRISTIANSTAD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61557-2025</t>
        </is>
      </c>
      <c r="B315" s="1" t="n">
        <v>46001</v>
      </c>
      <c r="C315" s="1" t="n">
        <v>46196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48378-2025</t>
        </is>
      </c>
      <c r="B316" s="1" t="n">
        <v>45933</v>
      </c>
      <c r="C316" s="1" t="n">
        <v>46196</v>
      </c>
      <c r="D316" t="inlineStr">
        <is>
          <t>SKÅNE LÄN</t>
        </is>
      </c>
      <c r="E316" t="inlineStr">
        <is>
          <t>KRISTIANSTAD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43312-2024</t>
        </is>
      </c>
      <c r="B317" s="1" t="n">
        <v>45568</v>
      </c>
      <c r="C317" s="1" t="n">
        <v>46196</v>
      </c>
      <c r="D317" t="inlineStr">
        <is>
          <t>SKÅNE LÄN</t>
        </is>
      </c>
      <c r="E317" t="inlineStr">
        <is>
          <t>KRISTIANSTAD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70705-2021</t>
        </is>
      </c>
      <c r="B318" s="1" t="n">
        <v>44537</v>
      </c>
      <c r="C318" s="1" t="n">
        <v>46196</v>
      </c>
      <c r="D318" t="inlineStr">
        <is>
          <t>SKÅNE LÄN</t>
        </is>
      </c>
      <c r="E318" t="inlineStr">
        <is>
          <t>KRISTIANSTAD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43966-2025</t>
        </is>
      </c>
      <c r="B319" s="1" t="n">
        <v>45915</v>
      </c>
      <c r="C319" s="1" t="n">
        <v>46196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34610-2025</t>
        </is>
      </c>
      <c r="B320" s="1" t="n">
        <v>45846</v>
      </c>
      <c r="C320" s="1" t="n">
        <v>46196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18059-2024</t>
        </is>
      </c>
      <c r="B321" s="1" t="n">
        <v>45420</v>
      </c>
      <c r="C321" s="1" t="n">
        <v>46196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62295-2025</t>
        </is>
      </c>
      <c r="B322" s="1" t="n">
        <v>46006</v>
      </c>
      <c r="C322" s="1" t="n">
        <v>46196</v>
      </c>
      <c r="D322" t="inlineStr">
        <is>
          <t>SKÅNE LÄN</t>
        </is>
      </c>
      <c r="E322" t="inlineStr">
        <is>
          <t>KRISTIANSTAD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49561-2025</t>
        </is>
      </c>
      <c r="B323" s="1" t="n">
        <v>45939</v>
      </c>
      <c r="C323" s="1" t="n">
        <v>46196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49564-2025</t>
        </is>
      </c>
      <c r="B324" s="1" t="n">
        <v>45939</v>
      </c>
      <c r="C324" s="1" t="n">
        <v>46196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62539-2025</t>
        </is>
      </c>
      <c r="B325" s="1" t="n">
        <v>46007</v>
      </c>
      <c r="C325" s="1" t="n">
        <v>46196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7043-2024</t>
        </is>
      </c>
      <c r="B326" s="1" t="n">
        <v>45343</v>
      </c>
      <c r="C326" s="1" t="n">
        <v>46196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62685-2025</t>
        </is>
      </c>
      <c r="B327" s="1" t="n">
        <v>46008</v>
      </c>
      <c r="C327" s="1" t="n">
        <v>46196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49552-2025</t>
        </is>
      </c>
      <c r="B328" s="1" t="n">
        <v>45939</v>
      </c>
      <c r="C328" s="1" t="n">
        <v>46196</v>
      </c>
      <c r="D328" t="inlineStr">
        <is>
          <t>SKÅNE LÄN</t>
        </is>
      </c>
      <c r="E328" t="inlineStr">
        <is>
          <t>KRISTIANSTAD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49568-2025</t>
        </is>
      </c>
      <c r="B329" s="1" t="n">
        <v>45939</v>
      </c>
      <c r="C329" s="1" t="n">
        <v>46196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49143-2025</t>
        </is>
      </c>
      <c r="B330" s="1" t="n">
        <v>45938</v>
      </c>
      <c r="C330" s="1" t="n">
        <v>46196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49630-2025</t>
        </is>
      </c>
      <c r="B331" s="1" t="n">
        <v>45939</v>
      </c>
      <c r="C331" s="1" t="n">
        <v>46196</v>
      </c>
      <c r="D331" t="inlineStr">
        <is>
          <t>SKÅNE LÄN</t>
        </is>
      </c>
      <c r="E331" t="inlineStr">
        <is>
          <t>KRISTIANSTAD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49567-2025</t>
        </is>
      </c>
      <c r="B332" s="1" t="n">
        <v>45939</v>
      </c>
      <c r="C332" s="1" t="n">
        <v>46196</v>
      </c>
      <c r="D332" t="inlineStr">
        <is>
          <t>SKÅNE LÄN</t>
        </is>
      </c>
      <c r="E332" t="inlineStr">
        <is>
          <t>KRISTIANSTAD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25671-2023</t>
        </is>
      </c>
      <c r="B333" s="1" t="n">
        <v>45089</v>
      </c>
      <c r="C333" s="1" t="n">
        <v>46196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41069-2023</t>
        </is>
      </c>
      <c r="B334" s="1" t="n">
        <v>45173</v>
      </c>
      <c r="C334" s="1" t="n">
        <v>46196</v>
      </c>
      <c r="D334" t="inlineStr">
        <is>
          <t>SKÅNE LÄN</t>
        </is>
      </c>
      <c r="E334" t="inlineStr">
        <is>
          <t>KRISTIANSTAD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50173-2025</t>
        </is>
      </c>
      <c r="B335" s="1" t="n">
        <v>45943</v>
      </c>
      <c r="C335" s="1" t="n">
        <v>46196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50151-2025</t>
        </is>
      </c>
      <c r="B336" s="1" t="n">
        <v>45943</v>
      </c>
      <c r="C336" s="1" t="n">
        <v>46196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37999-2024</t>
        </is>
      </c>
      <c r="B337" s="1" t="n">
        <v>45544</v>
      </c>
      <c r="C337" s="1" t="n">
        <v>46196</v>
      </c>
      <c r="D337" t="inlineStr">
        <is>
          <t>SKÅNE LÄN</t>
        </is>
      </c>
      <c r="E337" t="inlineStr">
        <is>
          <t>KRISTIANSTAD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8997-2024</t>
        </is>
      </c>
      <c r="B338" s="1" t="n">
        <v>45357</v>
      </c>
      <c r="C338" s="1" t="n">
        <v>46196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50655-2025</t>
        </is>
      </c>
      <c r="B339" s="1" t="n">
        <v>45945</v>
      </c>
      <c r="C339" s="1" t="n">
        <v>46196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43314-2024</t>
        </is>
      </c>
      <c r="B340" s="1" t="n">
        <v>45568</v>
      </c>
      <c r="C340" s="1" t="n">
        <v>46196</v>
      </c>
      <c r="D340" t="inlineStr">
        <is>
          <t>SKÅNE LÄN</t>
        </is>
      </c>
      <c r="E340" t="inlineStr">
        <is>
          <t>KRISTIANSTAD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6602-2025</t>
        </is>
      </c>
      <c r="B341" s="1" t="n">
        <v>45700</v>
      </c>
      <c r="C341" s="1" t="n">
        <v>46196</v>
      </c>
      <c r="D341" t="inlineStr">
        <is>
          <t>SKÅNE LÄN</t>
        </is>
      </c>
      <c r="E341" t="inlineStr">
        <is>
          <t>KRISTIANSTAD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50658-2025</t>
        </is>
      </c>
      <c r="B342" s="1" t="n">
        <v>45945</v>
      </c>
      <c r="C342" s="1" t="n">
        <v>46196</v>
      </c>
      <c r="D342" t="inlineStr">
        <is>
          <t>SKÅNE LÄN</t>
        </is>
      </c>
      <c r="E342" t="inlineStr">
        <is>
          <t>KRISTIANSTAD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50659-2025</t>
        </is>
      </c>
      <c r="B343" s="1" t="n">
        <v>45945</v>
      </c>
      <c r="C343" s="1" t="n">
        <v>46196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25711-2025</t>
        </is>
      </c>
      <c r="B344" s="1" t="n">
        <v>45803</v>
      </c>
      <c r="C344" s="1" t="n">
        <v>46196</v>
      </c>
      <c r="D344" t="inlineStr">
        <is>
          <t>SKÅNE LÄN</t>
        </is>
      </c>
      <c r="E344" t="inlineStr">
        <is>
          <t>KRISTIANSTAD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33984-2025</t>
        </is>
      </c>
      <c r="B345" s="1" t="n">
        <v>45843</v>
      </c>
      <c r="C345" s="1" t="n">
        <v>46196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13940-2025</t>
        </is>
      </c>
      <c r="B346" s="1" t="n">
        <v>45737</v>
      </c>
      <c r="C346" s="1" t="n">
        <v>46196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30764-2025</t>
        </is>
      </c>
      <c r="B347" s="1" t="n">
        <v>45831</v>
      </c>
      <c r="C347" s="1" t="n">
        <v>46196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7666-2025</t>
        </is>
      </c>
      <c r="B348" s="1" t="n">
        <v>45706</v>
      </c>
      <c r="C348" s="1" t="n">
        <v>46196</v>
      </c>
      <c r="D348" t="inlineStr">
        <is>
          <t>SKÅNE LÄN</t>
        </is>
      </c>
      <c r="E348" t="inlineStr">
        <is>
          <t>KRISTIANSTAD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13875-2025</t>
        </is>
      </c>
      <c r="B349" s="1" t="n">
        <v>45737</v>
      </c>
      <c r="C349" s="1" t="n">
        <v>46196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13928-2025</t>
        </is>
      </c>
      <c r="B350" s="1" t="n">
        <v>45737</v>
      </c>
      <c r="C350" s="1" t="n">
        <v>46196</v>
      </c>
      <c r="D350" t="inlineStr">
        <is>
          <t>SKÅNE LÄN</t>
        </is>
      </c>
      <c r="E350" t="inlineStr">
        <is>
          <t>KRISTIANSTAD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1358-2026</t>
        </is>
      </c>
      <c r="B351" s="1" t="n">
        <v>46031</v>
      </c>
      <c r="C351" s="1" t="n">
        <v>46196</v>
      </c>
      <c r="D351" t="inlineStr">
        <is>
          <t>SKÅNE LÄN</t>
        </is>
      </c>
      <c r="E351" t="inlineStr">
        <is>
          <t>KRISTIANSTAD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31525-2023</t>
        </is>
      </c>
      <c r="B352" s="1" t="n">
        <v>45116</v>
      </c>
      <c r="C352" s="1" t="n">
        <v>46196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40423-2024</t>
        </is>
      </c>
      <c r="B353" s="1" t="n">
        <v>45555</v>
      </c>
      <c r="C353" s="1" t="n">
        <v>46196</v>
      </c>
      <c r="D353" t="inlineStr">
        <is>
          <t>SKÅNE LÄN</t>
        </is>
      </c>
      <c r="E353" t="inlineStr">
        <is>
          <t>KRISTIANSTAD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823-2026</t>
        </is>
      </c>
      <c r="B354" s="1" t="n">
        <v>46030</v>
      </c>
      <c r="C354" s="1" t="n">
        <v>46196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820-2026</t>
        </is>
      </c>
      <c r="B355" s="1" t="n">
        <v>46030</v>
      </c>
      <c r="C355" s="1" t="n">
        <v>46196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828-2026</t>
        </is>
      </c>
      <c r="B356" s="1" t="n">
        <v>46030</v>
      </c>
      <c r="C356" s="1" t="n">
        <v>46196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31575-2025</t>
        </is>
      </c>
      <c r="B357" s="1" t="n">
        <v>45833</v>
      </c>
      <c r="C357" s="1" t="n">
        <v>46196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31105-2025</t>
        </is>
      </c>
      <c r="B358" s="1" t="n">
        <v>45832</v>
      </c>
      <c r="C358" s="1" t="n">
        <v>46196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1359-2026</t>
        </is>
      </c>
      <c r="B359" s="1" t="n">
        <v>46031</v>
      </c>
      <c r="C359" s="1" t="n">
        <v>46196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808-2026</t>
        </is>
      </c>
      <c r="B360" s="1" t="n">
        <v>46030</v>
      </c>
      <c r="C360" s="1" t="n">
        <v>46196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1889-2026</t>
        </is>
      </c>
      <c r="B361" s="1" t="n">
        <v>46035</v>
      </c>
      <c r="C361" s="1" t="n">
        <v>46196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2344-2026</t>
        </is>
      </c>
      <c r="B362" s="1" t="n">
        <v>46036</v>
      </c>
      <c r="C362" s="1" t="n">
        <v>46196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17753-2025</t>
        </is>
      </c>
      <c r="B363" s="1" t="n">
        <v>45758</v>
      </c>
      <c r="C363" s="1" t="n">
        <v>46196</v>
      </c>
      <c r="D363" t="inlineStr">
        <is>
          <t>SKÅNE LÄN</t>
        </is>
      </c>
      <c r="E363" t="inlineStr">
        <is>
          <t>KRISTIANSTAD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2309-2026</t>
        </is>
      </c>
      <c r="B364" s="1" t="n">
        <v>46036</v>
      </c>
      <c r="C364" s="1" t="n">
        <v>46196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2343-2026</t>
        </is>
      </c>
      <c r="B365" s="1" t="n">
        <v>46036</v>
      </c>
      <c r="C365" s="1" t="n">
        <v>46196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2345-2026</t>
        </is>
      </c>
      <c r="B366" s="1" t="n">
        <v>46036</v>
      </c>
      <c r="C366" s="1" t="n">
        <v>46196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21238-2024</t>
        </is>
      </c>
      <c r="B367" s="1" t="n">
        <v>45440</v>
      </c>
      <c r="C367" s="1" t="n">
        <v>46196</v>
      </c>
      <c r="D367" t="inlineStr">
        <is>
          <t>SKÅNE LÄN</t>
        </is>
      </c>
      <c r="E367" t="inlineStr">
        <is>
          <t>KRISTIANSTAD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2215-2026</t>
        </is>
      </c>
      <c r="B368" s="1" t="n">
        <v>46031</v>
      </c>
      <c r="C368" s="1" t="n">
        <v>46196</v>
      </c>
      <c r="D368" t="inlineStr">
        <is>
          <t>SKÅNE LÄN</t>
        </is>
      </c>
      <c r="E368" t="inlineStr">
        <is>
          <t>KRISTIANSTAD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48853-2023</t>
        </is>
      </c>
      <c r="B369" s="1" t="n">
        <v>45204</v>
      </c>
      <c r="C369" s="1" t="n">
        <v>46196</v>
      </c>
      <c r="D369" t="inlineStr">
        <is>
          <t>SKÅNE LÄN</t>
        </is>
      </c>
      <c r="E369" t="inlineStr">
        <is>
          <t>KRISTIANSTAD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3202-2026</t>
        </is>
      </c>
      <c r="B370" s="1" t="n">
        <v>46041</v>
      </c>
      <c r="C370" s="1" t="n">
        <v>46196</v>
      </c>
      <c r="D370" t="inlineStr">
        <is>
          <t>SKÅNE LÄN</t>
        </is>
      </c>
      <c r="E370" t="inlineStr">
        <is>
          <t>KRISTIANSTAD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3194-2026</t>
        </is>
      </c>
      <c r="B371" s="1" t="n">
        <v>46041</v>
      </c>
      <c r="C371" s="1" t="n">
        <v>46196</v>
      </c>
      <c r="D371" t="inlineStr">
        <is>
          <t>SKÅNE LÄN</t>
        </is>
      </c>
      <c r="E371" t="inlineStr">
        <is>
          <t>KRISTIANSTAD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32971-2025</t>
        </is>
      </c>
      <c r="B372" s="1" t="n">
        <v>45839</v>
      </c>
      <c r="C372" s="1" t="n">
        <v>46196</v>
      </c>
      <c r="D372" t="inlineStr">
        <is>
          <t>SKÅNE LÄN</t>
        </is>
      </c>
      <c r="E372" t="inlineStr">
        <is>
          <t>KRISTIANSTAD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3307-2026</t>
        </is>
      </c>
      <c r="B373" s="1" t="n">
        <v>46041</v>
      </c>
      <c r="C373" s="1" t="n">
        <v>46196</v>
      </c>
      <c r="D373" t="inlineStr">
        <is>
          <t>SKÅNE LÄN</t>
        </is>
      </c>
      <c r="E373" t="inlineStr">
        <is>
          <t>KRISTIANSTAD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55954-2023</t>
        </is>
      </c>
      <c r="B374" s="1" t="n">
        <v>45233</v>
      </c>
      <c r="C374" s="1" t="n">
        <v>46196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55959-2023</t>
        </is>
      </c>
      <c r="B375" s="1" t="n">
        <v>45233</v>
      </c>
      <c r="C375" s="1" t="n">
        <v>46196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46469-2024</t>
        </is>
      </c>
      <c r="B376" s="1" t="n">
        <v>45582</v>
      </c>
      <c r="C376" s="1" t="n">
        <v>46196</v>
      </c>
      <c r="D376" t="inlineStr">
        <is>
          <t>SKÅNE LÄN</t>
        </is>
      </c>
      <c r="E376" t="inlineStr">
        <is>
          <t>KRISTIANSTAD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31400-2025</t>
        </is>
      </c>
      <c r="B377" s="1" t="n">
        <v>45833</v>
      </c>
      <c r="C377" s="1" t="n">
        <v>46196</v>
      </c>
      <c r="D377" t="inlineStr">
        <is>
          <t>SKÅNE LÄN</t>
        </is>
      </c>
      <c r="E377" t="inlineStr">
        <is>
          <t>KRISTIANSTAD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44817-2024</t>
        </is>
      </c>
      <c r="B378" s="1" t="n">
        <v>45574</v>
      </c>
      <c r="C378" s="1" t="n">
        <v>46196</v>
      </c>
      <c r="D378" t="inlineStr">
        <is>
          <t>SKÅNE LÄN</t>
        </is>
      </c>
      <c r="E378" t="inlineStr">
        <is>
          <t>KRISTIANSTAD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3198-2026</t>
        </is>
      </c>
      <c r="B379" s="1" t="n">
        <v>46041</v>
      </c>
      <c r="C379" s="1" t="n">
        <v>46196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3905-2026</t>
        </is>
      </c>
      <c r="B380" s="1" t="n">
        <v>46043</v>
      </c>
      <c r="C380" s="1" t="n">
        <v>46196</v>
      </c>
      <c r="D380" t="inlineStr">
        <is>
          <t>SKÅNE LÄN</t>
        </is>
      </c>
      <c r="E380" t="inlineStr">
        <is>
          <t>KRISTIANSTAD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3556-2026</t>
        </is>
      </c>
      <c r="B381" s="1" t="n">
        <v>46042</v>
      </c>
      <c r="C381" s="1" t="n">
        <v>46196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3555-2026</t>
        </is>
      </c>
      <c r="B382" s="1" t="n">
        <v>46042</v>
      </c>
      <c r="C382" s="1" t="n">
        <v>46196</v>
      </c>
      <c r="D382" t="inlineStr">
        <is>
          <t>SKÅNE LÄN</t>
        </is>
      </c>
      <c r="E382" t="inlineStr">
        <is>
          <t>KRISTIANSTAD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3900-2026</t>
        </is>
      </c>
      <c r="B383" s="1" t="n">
        <v>46043</v>
      </c>
      <c r="C383" s="1" t="n">
        <v>46196</v>
      </c>
      <c r="D383" t="inlineStr">
        <is>
          <t>SKÅNE LÄN</t>
        </is>
      </c>
      <c r="E383" t="inlineStr">
        <is>
          <t>KRISTIANSTAD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3892-2026</t>
        </is>
      </c>
      <c r="B384" s="1" t="n">
        <v>46043</v>
      </c>
      <c r="C384" s="1" t="n">
        <v>46196</v>
      </c>
      <c r="D384" t="inlineStr">
        <is>
          <t>SKÅNE LÄN</t>
        </is>
      </c>
      <c r="E384" t="inlineStr">
        <is>
          <t>KRISTIANSTAD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3895-2026</t>
        </is>
      </c>
      <c r="B385" s="1" t="n">
        <v>46043</v>
      </c>
      <c r="C385" s="1" t="n">
        <v>46196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61402-2023</t>
        </is>
      </c>
      <c r="B386" s="1" t="n">
        <v>45260</v>
      </c>
      <c r="C386" s="1" t="n">
        <v>46196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3903-2026</t>
        </is>
      </c>
      <c r="B387" s="1" t="n">
        <v>46043</v>
      </c>
      <c r="C387" s="1" t="n">
        <v>46196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1875-2026</t>
        </is>
      </c>
      <c r="B388" s="1" t="n">
        <v>46035</v>
      </c>
      <c r="C388" s="1" t="n">
        <v>46196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52495-2024</t>
        </is>
      </c>
      <c r="B389" s="1" t="n">
        <v>45609</v>
      </c>
      <c r="C389" s="1" t="n">
        <v>46196</v>
      </c>
      <c r="D389" t="inlineStr">
        <is>
          <t>SKÅNE LÄN</t>
        </is>
      </c>
      <c r="E389" t="inlineStr">
        <is>
          <t>KRISTIANSTAD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3769-2024</t>
        </is>
      </c>
      <c r="B390" s="1" t="n">
        <v>45321</v>
      </c>
      <c r="C390" s="1" t="n">
        <v>46196</v>
      </c>
      <c r="D390" t="inlineStr">
        <is>
          <t>SKÅNE LÄN</t>
        </is>
      </c>
      <c r="E390" t="inlineStr">
        <is>
          <t>KRISTIANSTAD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16525-2024</t>
        </is>
      </c>
      <c r="B391" s="1" t="n">
        <v>45408</v>
      </c>
      <c r="C391" s="1" t="n">
        <v>46196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13562-2025</t>
        </is>
      </c>
      <c r="B392" s="1" t="n">
        <v>45736</v>
      </c>
      <c r="C392" s="1" t="n">
        <v>46196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14682-2023</t>
        </is>
      </c>
      <c r="B393" s="1" t="n">
        <v>45014</v>
      </c>
      <c r="C393" s="1" t="n">
        <v>46196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13664-2025</t>
        </is>
      </c>
      <c r="B394" s="1" t="n">
        <v>45736</v>
      </c>
      <c r="C394" s="1" t="n">
        <v>46196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7802-2025</t>
        </is>
      </c>
      <c r="B395" s="1" t="n">
        <v>45706</v>
      </c>
      <c r="C395" s="1" t="n">
        <v>46196</v>
      </c>
      <c r="D395" t="inlineStr">
        <is>
          <t>SKÅNE LÄN</t>
        </is>
      </c>
      <c r="E395" t="inlineStr">
        <is>
          <t>KRISTIANSTAD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34126-2025</t>
        </is>
      </c>
      <c r="B396" s="1" t="n">
        <v>45845</v>
      </c>
      <c r="C396" s="1" t="n">
        <v>46196</v>
      </c>
      <c r="D396" t="inlineStr">
        <is>
          <t>SKÅNE LÄN</t>
        </is>
      </c>
      <c r="E396" t="inlineStr">
        <is>
          <t>KRISTIANSTAD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3203-2026</t>
        </is>
      </c>
      <c r="B397" s="1" t="n">
        <v>46041</v>
      </c>
      <c r="C397" s="1" t="n">
        <v>46196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9596-2025</t>
        </is>
      </c>
      <c r="B398" s="1" t="n">
        <v>45715</v>
      </c>
      <c r="C398" s="1" t="n">
        <v>46196</v>
      </c>
      <c r="D398" t="inlineStr">
        <is>
          <t>SKÅNE LÄN</t>
        </is>
      </c>
      <c r="E398" t="inlineStr">
        <is>
          <t>KRISTIANSTAD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34131-2025</t>
        </is>
      </c>
      <c r="B399" s="1" t="n">
        <v>45845</v>
      </c>
      <c r="C399" s="1" t="n">
        <v>46196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40419-2024</t>
        </is>
      </c>
      <c r="B400" s="1" t="n">
        <v>45555</v>
      </c>
      <c r="C400" s="1" t="n">
        <v>46196</v>
      </c>
      <c r="D400" t="inlineStr">
        <is>
          <t>SKÅNE LÄN</t>
        </is>
      </c>
      <c r="E400" t="inlineStr">
        <is>
          <t>KRISTIANSTAD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4834-2026</t>
        </is>
      </c>
      <c r="B401" s="1" t="n">
        <v>46048</v>
      </c>
      <c r="C401" s="1" t="n">
        <v>46196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28161-2025</t>
        </is>
      </c>
      <c r="B402" s="1" t="n">
        <v>45818</v>
      </c>
      <c r="C402" s="1" t="n">
        <v>46196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58175-2021</t>
        </is>
      </c>
      <c r="B403" s="1" t="n">
        <v>44487</v>
      </c>
      <c r="C403" s="1" t="n">
        <v>46196</v>
      </c>
      <c r="D403" t="inlineStr">
        <is>
          <t>SKÅNE LÄN</t>
        </is>
      </c>
      <c r="E403" t="inlineStr">
        <is>
          <t>KRISTIANSTAD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15890-2025</t>
        </is>
      </c>
      <c r="B404" s="1" t="n">
        <v>45749</v>
      </c>
      <c r="C404" s="1" t="n">
        <v>46196</v>
      </c>
      <c r="D404" t="inlineStr">
        <is>
          <t>SKÅNE LÄN</t>
        </is>
      </c>
      <c r="E404" t="inlineStr">
        <is>
          <t>KRISTIANSTAD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6152-2026</t>
        </is>
      </c>
      <c r="B405" s="1" t="n">
        <v>46055</v>
      </c>
      <c r="C405" s="1" t="n">
        <v>46196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35719-2025</t>
        </is>
      </c>
      <c r="B406" s="1" t="n">
        <v>45860</v>
      </c>
      <c r="C406" s="1" t="n">
        <v>46196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</v>
      </c>
      <c r="C407" s="1" t="n">
        <v>46196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35946-2025</t>
        </is>
      </c>
      <c r="B408" s="1" t="n">
        <v>45862</v>
      </c>
      <c r="C408" s="1" t="n">
        <v>46196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1726-2023</t>
        </is>
      </c>
      <c r="B409" s="1" t="n">
        <v>44938</v>
      </c>
      <c r="C409" s="1" t="n">
        <v>46196</v>
      </c>
      <c r="D409" t="inlineStr">
        <is>
          <t>SKÅNE LÄN</t>
        </is>
      </c>
      <c r="E409" t="inlineStr">
        <is>
          <t>KRISTIANSTAD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7016-2024</t>
        </is>
      </c>
      <c r="B410" s="1" t="n">
        <v>45343</v>
      </c>
      <c r="C410" s="1" t="n">
        <v>46196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7018-2024</t>
        </is>
      </c>
      <c r="B411" s="1" t="n">
        <v>45343</v>
      </c>
      <c r="C411" s="1" t="n">
        <v>46196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30457-2025</t>
        </is>
      </c>
      <c r="B412" s="1" t="n">
        <v>45827</v>
      </c>
      <c r="C412" s="1" t="n">
        <v>46196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22292-2022</t>
        </is>
      </c>
      <c r="B413" s="1" t="n">
        <v>44712</v>
      </c>
      <c r="C413" s="1" t="n">
        <v>46196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50543-2024</t>
        </is>
      </c>
      <c r="B414" s="1" t="n">
        <v>45600</v>
      </c>
      <c r="C414" s="1" t="n">
        <v>46196</v>
      </c>
      <c r="D414" t="inlineStr">
        <is>
          <t>SKÅNE LÄN</t>
        </is>
      </c>
      <c r="E414" t="inlineStr">
        <is>
          <t>KRISTIANSTAD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32714-2023</t>
        </is>
      </c>
      <c r="B415" s="1" t="n">
        <v>45121</v>
      </c>
      <c r="C415" s="1" t="n">
        <v>46196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6806-2026</t>
        </is>
      </c>
      <c r="B416" s="1" t="n">
        <v>46057</v>
      </c>
      <c r="C416" s="1" t="n">
        <v>46196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32717-2023</t>
        </is>
      </c>
      <c r="B417" s="1" t="n">
        <v>45121</v>
      </c>
      <c r="C417" s="1" t="n">
        <v>46196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50702-2025</t>
        </is>
      </c>
      <c r="B418" s="1" t="n">
        <v>45946</v>
      </c>
      <c r="C418" s="1" t="n">
        <v>46196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38000-2024</t>
        </is>
      </c>
      <c r="B419" s="1" t="n">
        <v>45544</v>
      </c>
      <c r="C419" s="1" t="n">
        <v>46196</v>
      </c>
      <c r="D419" t="inlineStr">
        <is>
          <t>SKÅNE LÄN</t>
        </is>
      </c>
      <c r="E419" t="inlineStr">
        <is>
          <t>KRISTIANSTAD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36906-2025</t>
        </is>
      </c>
      <c r="B420" s="1" t="n">
        <v>45874</v>
      </c>
      <c r="C420" s="1" t="n">
        <v>46196</v>
      </c>
      <c r="D420" t="inlineStr">
        <is>
          <t>SKÅNE LÄN</t>
        </is>
      </c>
      <c r="E420" t="inlineStr">
        <is>
          <t>KRISTIANSTAD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37140-2025</t>
        </is>
      </c>
      <c r="B421" s="1" t="n">
        <v>45874</v>
      </c>
      <c r="C421" s="1" t="n">
        <v>46196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36916-2025</t>
        </is>
      </c>
      <c r="B422" s="1" t="n">
        <v>45874</v>
      </c>
      <c r="C422" s="1" t="n">
        <v>46196</v>
      </c>
      <c r="D422" t="inlineStr">
        <is>
          <t>SKÅNE LÄN</t>
        </is>
      </c>
      <c r="E422" t="inlineStr">
        <is>
          <t>KRISTIANSTAD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37141-2025</t>
        </is>
      </c>
      <c r="B423" s="1" t="n">
        <v>45874</v>
      </c>
      <c r="C423" s="1" t="n">
        <v>46196</v>
      </c>
      <c r="D423" t="inlineStr">
        <is>
          <t>SKÅNE LÄN</t>
        </is>
      </c>
      <c r="E423" t="inlineStr">
        <is>
          <t>KRISTIANSTAD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36907-2025</t>
        </is>
      </c>
      <c r="B424" s="1" t="n">
        <v>45874</v>
      </c>
      <c r="C424" s="1" t="n">
        <v>46196</v>
      </c>
      <c r="D424" t="inlineStr">
        <is>
          <t>SKÅNE LÄN</t>
        </is>
      </c>
      <c r="E424" t="inlineStr">
        <is>
          <t>KRISTIANSTAD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36917-2025</t>
        </is>
      </c>
      <c r="B425" s="1" t="n">
        <v>45874</v>
      </c>
      <c r="C425" s="1" t="n">
        <v>46196</v>
      </c>
      <c r="D425" t="inlineStr">
        <is>
          <t>SKÅNE LÄN</t>
        </is>
      </c>
      <c r="E425" t="inlineStr">
        <is>
          <t>KRISTIANSTAD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6876-2026</t>
        </is>
      </c>
      <c r="B426" s="1" t="n">
        <v>46057</v>
      </c>
      <c r="C426" s="1" t="n">
        <v>46196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35693-2024</t>
        </is>
      </c>
      <c r="B427" s="1" t="n">
        <v>45532</v>
      </c>
      <c r="C427" s="1" t="n">
        <v>46196</v>
      </c>
      <c r="D427" t="inlineStr">
        <is>
          <t>SKÅNE LÄN</t>
        </is>
      </c>
      <c r="E427" t="inlineStr">
        <is>
          <t>KRISTIANSTAD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22504-2022</t>
        </is>
      </c>
      <c r="B428" s="1" t="n">
        <v>44713</v>
      </c>
      <c r="C428" s="1" t="n">
        <v>46196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51903-2024</t>
        </is>
      </c>
      <c r="B429" s="1" t="n">
        <v>45607</v>
      </c>
      <c r="C429" s="1" t="n">
        <v>46196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51898-2024</t>
        </is>
      </c>
      <c r="B430" s="1" t="n">
        <v>45607</v>
      </c>
      <c r="C430" s="1" t="n">
        <v>46196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7546-2022</t>
        </is>
      </c>
      <c r="B431" s="1" t="n">
        <v>44607</v>
      </c>
      <c r="C431" s="1" t="n">
        <v>46196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38400-2024</t>
        </is>
      </c>
      <c r="B432" s="1" t="n">
        <v>45546</v>
      </c>
      <c r="C432" s="1" t="n">
        <v>46196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40896-2024</t>
        </is>
      </c>
      <c r="B433" s="1" t="n">
        <v>45558</v>
      </c>
      <c r="C433" s="1" t="n">
        <v>46196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40903-2024</t>
        </is>
      </c>
      <c r="B434" s="1" t="n">
        <v>45558</v>
      </c>
      <c r="C434" s="1" t="n">
        <v>46196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17693-2024</t>
        </is>
      </c>
      <c r="B435" s="1" t="n">
        <v>45418</v>
      </c>
      <c r="C435" s="1" t="n">
        <v>46196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46182-2024</t>
        </is>
      </c>
      <c r="B436" s="1" t="n">
        <v>45581</v>
      </c>
      <c r="C436" s="1" t="n">
        <v>46196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8517-2026</t>
        </is>
      </c>
      <c r="B437" s="1" t="n">
        <v>46065</v>
      </c>
      <c r="C437" s="1" t="n">
        <v>46196</v>
      </c>
      <c r="D437" t="inlineStr">
        <is>
          <t>SKÅNE LÄN</t>
        </is>
      </c>
      <c r="E437" t="inlineStr">
        <is>
          <t>KRISTIANSTAD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9024-2026</t>
        </is>
      </c>
      <c r="B438" s="1" t="n">
        <v>46069</v>
      </c>
      <c r="C438" s="1" t="n">
        <v>46196</v>
      </c>
      <c r="D438" t="inlineStr">
        <is>
          <t>SKÅNE LÄN</t>
        </is>
      </c>
      <c r="E438" t="inlineStr">
        <is>
          <t>KRISTIANSTAD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38262-2025</t>
        </is>
      </c>
      <c r="B439" s="1" t="n">
        <v>45883</v>
      </c>
      <c r="C439" s="1" t="n">
        <v>46196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38121-2025</t>
        </is>
      </c>
      <c r="B440" s="1" t="n">
        <v>45882</v>
      </c>
      <c r="C440" s="1" t="n">
        <v>46196</v>
      </c>
      <c r="D440" t="inlineStr">
        <is>
          <t>SKÅNE LÄN</t>
        </is>
      </c>
      <c r="E440" t="inlineStr">
        <is>
          <t>KRISTIANSTAD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61491-2024</t>
        </is>
      </c>
      <c r="B441" s="1" t="n">
        <v>45646</v>
      </c>
      <c r="C441" s="1" t="n">
        <v>46196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56972-2023</t>
        </is>
      </c>
      <c r="B442" s="1" t="n">
        <v>45244</v>
      </c>
      <c r="C442" s="1" t="n">
        <v>46196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10781-2022</t>
        </is>
      </c>
      <c r="B443" s="1" t="n">
        <v>44627</v>
      </c>
      <c r="C443" s="1" t="n">
        <v>46196</v>
      </c>
      <c r="D443" t="inlineStr">
        <is>
          <t>SKÅNE LÄN</t>
        </is>
      </c>
      <c r="E443" t="inlineStr">
        <is>
          <t>KRISTIANSTAD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47237-2024</t>
        </is>
      </c>
      <c r="B444" s="1" t="n">
        <v>45586</v>
      </c>
      <c r="C444" s="1" t="n">
        <v>46196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53299-2023</t>
        </is>
      </c>
      <c r="B445" s="1" t="n">
        <v>45229</v>
      </c>
      <c r="C445" s="1" t="n">
        <v>46196</v>
      </c>
      <c r="D445" t="inlineStr">
        <is>
          <t>SKÅNE LÄN</t>
        </is>
      </c>
      <c r="E445" t="inlineStr">
        <is>
          <t>KRISTIANSTAD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4370-2024</t>
        </is>
      </c>
      <c r="B446" s="1" t="n">
        <v>45326</v>
      </c>
      <c r="C446" s="1" t="n">
        <v>46196</v>
      </c>
      <c r="D446" t="inlineStr">
        <is>
          <t>SKÅNE LÄN</t>
        </is>
      </c>
      <c r="E446" t="inlineStr">
        <is>
          <t>KRISTIANSTAD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30749-2024</t>
        </is>
      </c>
      <c r="B447" s="1" t="n">
        <v>45496</v>
      </c>
      <c r="C447" s="1" t="n">
        <v>46196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10263-2026</t>
        </is>
      </c>
      <c r="B448" s="1" t="n">
        <v>46076</v>
      </c>
      <c r="C448" s="1" t="n">
        <v>46196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32015-2023</t>
        </is>
      </c>
      <c r="B449" s="1" t="n">
        <v>45119</v>
      </c>
      <c r="C449" s="1" t="n">
        <v>46196</v>
      </c>
      <c r="D449" t="inlineStr">
        <is>
          <t>SKÅNE LÄN</t>
        </is>
      </c>
      <c r="E449" t="inlineStr">
        <is>
          <t>KRISTIANSTAD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65097-2021</t>
        </is>
      </c>
      <c r="B450" s="1" t="n">
        <v>44513</v>
      </c>
      <c r="C450" s="1" t="n">
        <v>46196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9794-2023</t>
        </is>
      </c>
      <c r="B451" s="1" t="n">
        <v>44984</v>
      </c>
      <c r="C451" s="1" t="n">
        <v>46196</v>
      </c>
      <c r="D451" t="inlineStr">
        <is>
          <t>SKÅNE LÄN</t>
        </is>
      </c>
      <c r="E451" t="inlineStr">
        <is>
          <t>KRISTIANSTAD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42061-2024</t>
        </is>
      </c>
      <c r="B452" s="1" t="n">
        <v>45561</v>
      </c>
      <c r="C452" s="1" t="n">
        <v>46196</v>
      </c>
      <c r="D452" t="inlineStr">
        <is>
          <t>SKÅNE LÄN</t>
        </is>
      </c>
      <c r="E452" t="inlineStr">
        <is>
          <t>KRISTIANSTAD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35677-2024</t>
        </is>
      </c>
      <c r="B453" s="1" t="n">
        <v>45532</v>
      </c>
      <c r="C453" s="1" t="n">
        <v>46196</v>
      </c>
      <c r="D453" t="inlineStr">
        <is>
          <t>SKÅNE LÄN</t>
        </is>
      </c>
      <c r="E453" t="inlineStr">
        <is>
          <t>KRISTIANSTAD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35688-2024</t>
        </is>
      </c>
      <c r="B454" s="1" t="n">
        <v>45532</v>
      </c>
      <c r="C454" s="1" t="n">
        <v>46196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40000-2025</t>
        </is>
      </c>
      <c r="B455" s="1" t="n">
        <v>45894</v>
      </c>
      <c r="C455" s="1" t="n">
        <v>46196</v>
      </c>
      <c r="D455" t="inlineStr">
        <is>
          <t>SKÅNE LÄN</t>
        </is>
      </c>
      <c r="E455" t="inlineStr">
        <is>
          <t>KRISTIANSTAD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30736-2025</t>
        </is>
      </c>
      <c r="B456" s="1" t="n">
        <v>45831</v>
      </c>
      <c r="C456" s="1" t="n">
        <v>46196</v>
      </c>
      <c r="D456" t="inlineStr">
        <is>
          <t>SKÅNE LÄN</t>
        </is>
      </c>
      <c r="E456" t="inlineStr">
        <is>
          <t>KRISTIANSTAD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6347-2024</t>
        </is>
      </c>
      <c r="B457" s="1" t="n">
        <v>45338</v>
      </c>
      <c r="C457" s="1" t="n">
        <v>46196</v>
      </c>
      <c r="D457" t="inlineStr">
        <is>
          <t>SKÅNE LÄN</t>
        </is>
      </c>
      <c r="E457" t="inlineStr">
        <is>
          <t>KRISTIANSTAD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45496-2024</t>
        </is>
      </c>
      <c r="B458" s="1" t="n">
        <v>45577</v>
      </c>
      <c r="C458" s="1" t="n">
        <v>46196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11531-2026</t>
        </is>
      </c>
      <c r="B459" s="1" t="n">
        <v>46083</v>
      </c>
      <c r="C459" s="1" t="n">
        <v>46196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39997-2025</t>
        </is>
      </c>
      <c r="B460" s="1" t="n">
        <v>45894</v>
      </c>
      <c r="C460" s="1" t="n">
        <v>46196</v>
      </c>
      <c r="D460" t="inlineStr">
        <is>
          <t>SKÅNE LÄN</t>
        </is>
      </c>
      <c r="E460" t="inlineStr">
        <is>
          <t>KRISTIANSTAD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40005-2025</t>
        </is>
      </c>
      <c r="B461" s="1" t="n">
        <v>45894</v>
      </c>
      <c r="C461" s="1" t="n">
        <v>46196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1228-2022</t>
        </is>
      </c>
      <c r="B462" s="1" t="n">
        <v>44572</v>
      </c>
      <c r="C462" s="1" t="n">
        <v>46196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38173-2025</t>
        </is>
      </c>
      <c r="B463" s="1" t="n">
        <v>45882</v>
      </c>
      <c r="C463" s="1" t="n">
        <v>46196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12615-2023</t>
        </is>
      </c>
      <c r="B464" s="1" t="n">
        <v>45000</v>
      </c>
      <c r="C464" s="1" t="n">
        <v>46196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4080-2024</t>
        </is>
      </c>
      <c r="B465" s="1" t="n">
        <v>45323</v>
      </c>
      <c r="C465" s="1" t="n">
        <v>46196</v>
      </c>
      <c r="D465" t="inlineStr">
        <is>
          <t>SKÅNE LÄN</t>
        </is>
      </c>
      <c r="E465" t="inlineStr">
        <is>
          <t>KRISTIANSTAD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27529-2022</t>
        </is>
      </c>
      <c r="B466" s="1" t="n">
        <v>44742</v>
      </c>
      <c r="C466" s="1" t="n">
        <v>46196</v>
      </c>
      <c r="D466" t="inlineStr">
        <is>
          <t>SKÅNE LÄN</t>
        </is>
      </c>
      <c r="E466" t="inlineStr">
        <is>
          <t>KRISTIANSTAD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22277-2024</t>
        </is>
      </c>
      <c r="B467" s="1" t="n">
        <v>45446</v>
      </c>
      <c r="C467" s="1" t="n">
        <v>46196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12793-2026</t>
        </is>
      </c>
      <c r="B468" s="1" t="n">
        <v>46092</v>
      </c>
      <c r="C468" s="1" t="n">
        <v>46196</v>
      </c>
      <c r="D468" t="inlineStr">
        <is>
          <t>SKÅNE LÄN</t>
        </is>
      </c>
      <c r="E468" t="inlineStr">
        <is>
          <t>KRISTIANSTAD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12682-2026</t>
        </is>
      </c>
      <c r="B469" s="1" t="n">
        <v>46091</v>
      </c>
      <c r="C469" s="1" t="n">
        <v>46196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39935-2023</t>
        </is>
      </c>
      <c r="B470" s="1" t="n">
        <v>45168</v>
      </c>
      <c r="C470" s="1" t="n">
        <v>46196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12839-2026</t>
        </is>
      </c>
      <c r="B471" s="1" t="n">
        <v>46092</v>
      </c>
      <c r="C471" s="1" t="n">
        <v>46196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11419-2026</t>
        </is>
      </c>
      <c r="B472" s="1" t="n">
        <v>46083</v>
      </c>
      <c r="C472" s="1" t="n">
        <v>46196</v>
      </c>
      <c r="D472" t="inlineStr">
        <is>
          <t>SKÅNE LÄN</t>
        </is>
      </c>
      <c r="E472" t="inlineStr">
        <is>
          <t>KRISTIANSTAD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2834-2023</t>
        </is>
      </c>
      <c r="B473" s="1" t="n">
        <v>44945</v>
      </c>
      <c r="C473" s="1" t="n">
        <v>46196</v>
      </c>
      <c r="D473" t="inlineStr">
        <is>
          <t>SKÅNE LÄN</t>
        </is>
      </c>
      <c r="E473" t="inlineStr">
        <is>
          <t>KRISTIANSTAD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12834-2026</t>
        </is>
      </c>
      <c r="B474" s="1" t="n">
        <v>46092</v>
      </c>
      <c r="C474" s="1" t="n">
        <v>46196</v>
      </c>
      <c r="D474" t="inlineStr">
        <is>
          <t>SKÅNE LÄN</t>
        </is>
      </c>
      <c r="E474" t="inlineStr">
        <is>
          <t>KRISTIANSTAD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12892-2026</t>
        </is>
      </c>
      <c r="B475" s="1" t="n">
        <v>46092</v>
      </c>
      <c r="C475" s="1" t="n">
        <v>46196</v>
      </c>
      <c r="D475" t="inlineStr">
        <is>
          <t>SKÅNE LÄN</t>
        </is>
      </c>
      <c r="E475" t="inlineStr">
        <is>
          <t>KRISTIANSTAD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13430-2026</t>
        </is>
      </c>
      <c r="B476" s="1" t="n">
        <v>46094</v>
      </c>
      <c r="C476" s="1" t="n">
        <v>46196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10962-2025</t>
        </is>
      </c>
      <c r="B477" s="1" t="n">
        <v>45723</v>
      </c>
      <c r="C477" s="1" t="n">
        <v>46196</v>
      </c>
      <c r="D477" t="inlineStr">
        <is>
          <t>SKÅNE LÄN</t>
        </is>
      </c>
      <c r="E477" t="inlineStr">
        <is>
          <t>KRISTIANSTAD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13444-2026</t>
        </is>
      </c>
      <c r="B478" s="1" t="n">
        <v>46094</v>
      </c>
      <c r="C478" s="1" t="n">
        <v>46196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28442-2024</t>
        </is>
      </c>
      <c r="B479" s="1" t="n">
        <v>45477</v>
      </c>
      <c r="C479" s="1" t="n">
        <v>46196</v>
      </c>
      <c r="D479" t="inlineStr">
        <is>
          <t>SKÅNE LÄN</t>
        </is>
      </c>
      <c r="E479" t="inlineStr">
        <is>
          <t>KRISTIANSTAD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11642-2025</t>
        </is>
      </c>
      <c r="B480" s="1" t="n">
        <v>45727</v>
      </c>
      <c r="C480" s="1" t="n">
        <v>46196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13587-2026</t>
        </is>
      </c>
      <c r="B481" s="1" t="n">
        <v>46095</v>
      </c>
      <c r="C481" s="1" t="n">
        <v>46196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3278-2026</t>
        </is>
      </c>
      <c r="B482" s="1" t="n">
        <v>46041</v>
      </c>
      <c r="C482" s="1" t="n">
        <v>46196</v>
      </c>
      <c r="D482" t="inlineStr">
        <is>
          <t>SKÅNE LÄN</t>
        </is>
      </c>
      <c r="E482" t="inlineStr">
        <is>
          <t>KRISTIANSTAD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14561-2026</t>
        </is>
      </c>
      <c r="B483" s="1" t="n">
        <v>46100</v>
      </c>
      <c r="C483" s="1" t="n">
        <v>46196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16384-2026</t>
        </is>
      </c>
      <c r="B484" s="1" t="n">
        <v>46111</v>
      </c>
      <c r="C484" s="1" t="n">
        <v>46196</v>
      </c>
      <c r="D484" t="inlineStr">
        <is>
          <t>SKÅNE LÄN</t>
        </is>
      </c>
      <c r="E484" t="inlineStr">
        <is>
          <t>KRISTIANSTAD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46196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39567-2022</t>
        </is>
      </c>
      <c r="B486" s="1" t="n">
        <v>44817</v>
      </c>
      <c r="C486" s="1" t="n">
        <v>46196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3904-2022</t>
        </is>
      </c>
      <c r="B487" s="1" t="n">
        <v>44587</v>
      </c>
      <c r="C487" s="1" t="n">
        <v>46196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46196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16762-2026</t>
        </is>
      </c>
      <c r="B489" s="1" t="n">
        <v>46113</v>
      </c>
      <c r="C489" s="1" t="n">
        <v>46196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17511-2026</t>
        </is>
      </c>
      <c r="B490" s="1" t="n">
        <v>46120</v>
      </c>
      <c r="C490" s="1" t="n">
        <v>46196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17515-2026</t>
        </is>
      </c>
      <c r="B491" s="1" t="n">
        <v>46120</v>
      </c>
      <c r="C491" s="1" t="n">
        <v>46196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17534-2026</t>
        </is>
      </c>
      <c r="B492" s="1" t="n">
        <v>46120</v>
      </c>
      <c r="C492" s="1" t="n">
        <v>46196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17514-2026</t>
        </is>
      </c>
      <c r="B493" s="1" t="n">
        <v>46120</v>
      </c>
      <c r="C493" s="1" t="n">
        <v>46196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24347-2026</t>
        </is>
      </c>
      <c r="B494" s="1" t="n">
        <v>46169</v>
      </c>
      <c r="C494" s="1" t="n">
        <v>46196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18945-2026</t>
        </is>
      </c>
      <c r="B495" s="1" t="n">
        <v>46129</v>
      </c>
      <c r="C495" s="1" t="n">
        <v>46196</v>
      </c>
      <c r="D495" t="inlineStr">
        <is>
          <t>SKÅNE LÄN</t>
        </is>
      </c>
      <c r="E495" t="inlineStr">
        <is>
          <t>KRISTIANSTAD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10062-2024</t>
        </is>
      </c>
      <c r="B496" s="1" t="n">
        <v>45364</v>
      </c>
      <c r="C496" s="1" t="n">
        <v>46196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46959-2024</t>
        </is>
      </c>
      <c r="B497" s="1" t="n">
        <v>45586</v>
      </c>
      <c r="C497" s="1" t="n">
        <v>46196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25565-2026</t>
        </is>
      </c>
      <c r="B498" s="1" t="n">
        <v>46177</v>
      </c>
      <c r="C498" s="1" t="n">
        <v>46196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16062-2026</t>
        </is>
      </c>
      <c r="B499" s="1" t="n">
        <v>46108</v>
      </c>
      <c r="C499" s="1" t="n">
        <v>46196</v>
      </c>
      <c r="D499" t="inlineStr">
        <is>
          <t>SKÅNE LÄN</t>
        </is>
      </c>
      <c r="E499" t="inlineStr">
        <is>
          <t>KRISTIANSTAD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6349-2024</t>
        </is>
      </c>
      <c r="B500" s="1" t="n">
        <v>45338</v>
      </c>
      <c r="C500" s="1" t="n">
        <v>46196</v>
      </c>
      <c r="D500" t="inlineStr">
        <is>
          <t>SKÅNE LÄN</t>
        </is>
      </c>
      <c r="E500" t="inlineStr">
        <is>
          <t>KRISTIANSTAD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8862-2026</t>
        </is>
      </c>
      <c r="B501" s="1" t="n">
        <v>46066</v>
      </c>
      <c r="C501" s="1" t="n">
        <v>46196</v>
      </c>
      <c r="D501" t="inlineStr">
        <is>
          <t>SKÅNE LÄN</t>
        </is>
      </c>
      <c r="E501" t="inlineStr">
        <is>
          <t>KRISTIANSTAD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36912-2025</t>
        </is>
      </c>
      <c r="B502" s="1" t="n">
        <v>45874</v>
      </c>
      <c r="C502" s="1" t="n">
        <v>46196</v>
      </c>
      <c r="D502" t="inlineStr">
        <is>
          <t>SKÅNE LÄN</t>
        </is>
      </c>
      <c r="E502" t="inlineStr">
        <is>
          <t>KRISTIANSTAD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24930-2024</t>
        </is>
      </c>
      <c r="B503" s="1" t="n">
        <v>45461</v>
      </c>
      <c r="C503" s="1" t="n">
        <v>46196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20302-2026</t>
        </is>
      </c>
      <c r="B504" s="1" t="n">
        <v>46136</v>
      </c>
      <c r="C504" s="1" t="n">
        <v>46196</v>
      </c>
      <c r="D504" t="inlineStr">
        <is>
          <t>SKÅNE LÄN</t>
        </is>
      </c>
      <c r="E504" t="inlineStr">
        <is>
          <t>KRISTIANSTAD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8804-2025</t>
        </is>
      </c>
      <c r="B505" s="1" t="n">
        <v>45712</v>
      </c>
      <c r="C505" s="1" t="n">
        <v>46196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48217-2022</t>
        </is>
      </c>
      <c r="B506" s="1" t="n">
        <v>44853</v>
      </c>
      <c r="C506" s="1" t="n">
        <v>46196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31374-2022</t>
        </is>
      </c>
      <c r="B507" s="1" t="n">
        <v>44774</v>
      </c>
      <c r="C507" s="1" t="n">
        <v>46196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48217-2022</t>
        </is>
      </c>
      <c r="B508" s="1" t="n">
        <v>44853</v>
      </c>
      <c r="C508" s="1" t="n">
        <v>46196</v>
      </c>
      <c r="D508" t="inlineStr">
        <is>
          <t>SKÅNE LÄN</t>
        </is>
      </c>
      <c r="E508" t="inlineStr">
        <is>
          <t>KRISTIANSTAD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20891-2025</t>
        </is>
      </c>
      <c r="B509" s="1" t="n">
        <v>45777</v>
      </c>
      <c r="C509" s="1" t="n">
        <v>46196</v>
      </c>
      <c r="D509" t="inlineStr">
        <is>
          <t>SKÅNE LÄN</t>
        </is>
      </c>
      <c r="E509" t="inlineStr">
        <is>
          <t>KRISTIANSTAD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15887-2025</t>
        </is>
      </c>
      <c r="B510" s="1" t="n">
        <v>45749</v>
      </c>
      <c r="C510" s="1" t="n">
        <v>46196</v>
      </c>
      <c r="D510" t="inlineStr">
        <is>
          <t>SKÅNE LÄN</t>
        </is>
      </c>
      <c r="E510" t="inlineStr">
        <is>
          <t>KRISTIANSTAD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57987-2023</t>
        </is>
      </c>
      <c r="B511" s="1" t="n">
        <v>45247</v>
      </c>
      <c r="C511" s="1" t="n">
        <v>46196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29199-2024</t>
        </is>
      </c>
      <c r="B512" s="1" t="n">
        <v>45482</v>
      </c>
      <c r="C512" s="1" t="n">
        <v>46196</v>
      </c>
      <c r="D512" t="inlineStr">
        <is>
          <t>SKÅNE LÄN</t>
        </is>
      </c>
      <c r="E512" t="inlineStr">
        <is>
          <t>KRISTIANSTAD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29832-2024</t>
        </is>
      </c>
      <c r="B513" s="1" t="n">
        <v>45485</v>
      </c>
      <c r="C513" s="1" t="n">
        <v>46196</v>
      </c>
      <c r="D513" t="inlineStr">
        <is>
          <t>SKÅNE LÄN</t>
        </is>
      </c>
      <c r="E513" t="inlineStr">
        <is>
          <t>KRISTIANSTAD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20651-2026</t>
        </is>
      </c>
      <c r="B514" s="1" t="n">
        <v>46141</v>
      </c>
      <c r="C514" s="1" t="n">
        <v>46196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26168-2026</t>
        </is>
      </c>
      <c r="B515" s="1" t="n">
        <v>46181</v>
      </c>
      <c r="C515" s="1" t="n">
        <v>46196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17043-2024</t>
        </is>
      </c>
      <c r="B516" s="1" t="n">
        <v>45412</v>
      </c>
      <c r="C516" s="1" t="n">
        <v>46196</v>
      </c>
      <c r="D516" t="inlineStr">
        <is>
          <t>SKÅNE LÄN</t>
        </is>
      </c>
      <c r="E516" t="inlineStr">
        <is>
          <t>KRISTIANSTAD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26652-2026</t>
        </is>
      </c>
      <c r="B517" s="1" t="n">
        <v>46184</v>
      </c>
      <c r="C517" s="1" t="n">
        <v>46196</v>
      </c>
      <c r="D517" t="inlineStr">
        <is>
          <t>SKÅNE LÄN</t>
        </is>
      </c>
      <c r="E517" t="inlineStr">
        <is>
          <t>KRISTIANSTAD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16527-2026</t>
        </is>
      </c>
      <c r="B518" s="1" t="n">
        <v>46112</v>
      </c>
      <c r="C518" s="1" t="n">
        <v>46196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27398-2026</t>
        </is>
      </c>
      <c r="B519" s="1" t="n">
        <v>46189</v>
      </c>
      <c r="C519" s="1" t="n">
        <v>46196</v>
      </c>
      <c r="D519" t="inlineStr">
        <is>
          <t>SKÅNE LÄN</t>
        </is>
      </c>
      <c r="E519" t="inlineStr">
        <is>
          <t>KRISTIANSTAD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27402-2026</t>
        </is>
      </c>
      <c r="B520" s="1" t="n">
        <v>46189</v>
      </c>
      <c r="C520" s="1" t="n">
        <v>46196</v>
      </c>
      <c r="D520" t="inlineStr">
        <is>
          <t>SKÅNE LÄN</t>
        </is>
      </c>
      <c r="E520" t="inlineStr">
        <is>
          <t>KRISTIANSTAD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21274-2026</t>
        </is>
      </c>
      <c r="B521" s="1" t="n">
        <v>46147</v>
      </c>
      <c r="C521" s="1" t="n">
        <v>46196</v>
      </c>
      <c r="D521" t="inlineStr">
        <is>
          <t>SKÅNE LÄN</t>
        </is>
      </c>
      <c r="E521" t="inlineStr">
        <is>
          <t>KRISTIANSTAD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50699-2025</t>
        </is>
      </c>
      <c r="B522" s="1" t="n">
        <v>45945</v>
      </c>
      <c r="C522" s="1" t="n">
        <v>46196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42092-2025</t>
        </is>
      </c>
      <c r="B523" s="1" t="n">
        <v>45903</v>
      </c>
      <c r="C523" s="1" t="n">
        <v>46196</v>
      </c>
      <c r="D523" t="inlineStr">
        <is>
          <t>SKÅNE LÄN</t>
        </is>
      </c>
      <c r="E523" t="inlineStr">
        <is>
          <t>KRISTIANSTAD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27561-2026</t>
        </is>
      </c>
      <c r="B524" s="1" t="n">
        <v>46190</v>
      </c>
      <c r="C524" s="1" t="n">
        <v>46196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19997-2026</t>
        </is>
      </c>
      <c r="B525" s="1" t="n">
        <v>46135</v>
      </c>
      <c r="C525" s="1" t="n">
        <v>46196</v>
      </c>
      <c r="D525" t="inlineStr">
        <is>
          <t>SKÅNE LÄN</t>
        </is>
      </c>
      <c r="E525" t="inlineStr">
        <is>
          <t>KRISTIANSTAD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22083-2026</t>
        </is>
      </c>
      <c r="B526" s="1" t="n">
        <v>46149</v>
      </c>
      <c r="C526" s="1" t="n">
        <v>46196</v>
      </c>
      <c r="D526" t="inlineStr">
        <is>
          <t>SKÅNE LÄN</t>
        </is>
      </c>
      <c r="E526" t="inlineStr">
        <is>
          <t>KRISTIANSTAD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27447-2026</t>
        </is>
      </c>
      <c r="B527" s="1" t="n">
        <v>46188</v>
      </c>
      <c r="C527" s="1" t="n">
        <v>46196</v>
      </c>
      <c r="D527" t="inlineStr">
        <is>
          <t>SKÅNE LÄN</t>
        </is>
      </c>
      <c r="E527" t="inlineStr">
        <is>
          <t>KRISTIANSTAD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22116-2026</t>
        </is>
      </c>
      <c r="B528" s="1" t="n">
        <v>46153</v>
      </c>
      <c r="C528" s="1" t="n">
        <v>46196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21851-2026</t>
        </is>
      </c>
      <c r="B529" s="1" t="n">
        <v>46150</v>
      </c>
      <c r="C529" s="1" t="n">
        <v>46196</v>
      </c>
      <c r="D529" t="inlineStr">
        <is>
          <t>SKÅNE LÄN</t>
        </is>
      </c>
      <c r="E529" t="inlineStr">
        <is>
          <t>KRISTIANSTAD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32103-2023</t>
        </is>
      </c>
      <c r="B530" s="1" t="n">
        <v>45119</v>
      </c>
      <c r="C530" s="1" t="n">
        <v>46196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46196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10961-2025</t>
        </is>
      </c>
      <c r="B532" s="1" t="n">
        <v>45723</v>
      </c>
      <c r="C532" s="1" t="n">
        <v>46196</v>
      </c>
      <c r="D532" t="inlineStr">
        <is>
          <t>SKÅNE LÄN</t>
        </is>
      </c>
      <c r="E532" t="inlineStr">
        <is>
          <t>KRISTIANSTAD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10963-2025</t>
        </is>
      </c>
      <c r="B533" s="1" t="n">
        <v>45723</v>
      </c>
      <c r="C533" s="1" t="n">
        <v>46196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46627-2024</t>
        </is>
      </c>
      <c r="B534" s="1" t="n">
        <v>45583</v>
      </c>
      <c r="C534" s="1" t="n">
        <v>46196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46515-2022</t>
        </is>
      </c>
      <c r="B535" s="1" t="n">
        <v>44847</v>
      </c>
      <c r="C535" s="1" t="n">
        <v>46196</v>
      </c>
      <c r="D535" t="inlineStr">
        <is>
          <t>SKÅNE LÄN</t>
        </is>
      </c>
      <c r="E535" t="inlineStr">
        <is>
          <t>KRISTIANSTAD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64626-2023</t>
        </is>
      </c>
      <c r="B536" s="1" t="n">
        <v>45281</v>
      </c>
      <c r="C536" s="1" t="n">
        <v>46196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40149-2024</t>
        </is>
      </c>
      <c r="B537" s="1" t="n">
        <v>45554</v>
      </c>
      <c r="C537" s="1" t="n">
        <v>46196</v>
      </c>
      <c r="D537" t="inlineStr">
        <is>
          <t>SKÅNE LÄN</t>
        </is>
      </c>
      <c r="E537" t="inlineStr">
        <is>
          <t>KRISTIANSTAD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54458-2023</t>
        </is>
      </c>
      <c r="B538" s="1" t="n">
        <v>45226</v>
      </c>
      <c r="C538" s="1" t="n">
        <v>46196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1424-2025</t>
        </is>
      </c>
      <c r="B539" s="1" t="n">
        <v>45668</v>
      </c>
      <c r="C539" s="1" t="n">
        <v>46196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1427-2025</t>
        </is>
      </c>
      <c r="B540" s="1" t="n">
        <v>45668</v>
      </c>
      <c r="C540" s="1" t="n">
        <v>46196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48693-2022</t>
        </is>
      </c>
      <c r="B541" s="1" t="n">
        <v>44855</v>
      </c>
      <c r="C541" s="1" t="n">
        <v>46196</v>
      </c>
      <c r="D541" t="inlineStr">
        <is>
          <t>SKÅNE LÄN</t>
        </is>
      </c>
      <c r="E541" t="inlineStr">
        <is>
          <t>KRISTIANSTAD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27948-2023</t>
        </is>
      </c>
      <c r="B542" s="1" t="n">
        <v>45098</v>
      </c>
      <c r="C542" s="1" t="n">
        <v>46196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36358-2023</t>
        </is>
      </c>
      <c r="B543" s="1" t="n">
        <v>45166</v>
      </c>
      <c r="C543" s="1" t="n">
        <v>46196</v>
      </c>
      <c r="D543" t="inlineStr">
        <is>
          <t>SKÅNE LÄN</t>
        </is>
      </c>
      <c r="E543" t="inlineStr">
        <is>
          <t>KRISTIANSTAD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39898-2023</t>
        </is>
      </c>
      <c r="B544" s="1" t="n">
        <v>45166</v>
      </c>
      <c r="C544" s="1" t="n">
        <v>46196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60460-2023</t>
        </is>
      </c>
      <c r="B545" s="1" t="n">
        <v>45258</v>
      </c>
      <c r="C545" s="1" t="n">
        <v>46196</v>
      </c>
      <c r="D545" t="inlineStr">
        <is>
          <t>SKÅNE LÄN</t>
        </is>
      </c>
      <c r="E545" t="inlineStr">
        <is>
          <t>KRISTIANSTAD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5590-2022</t>
        </is>
      </c>
      <c r="B546" s="1" t="n">
        <v>44595</v>
      </c>
      <c r="C546" s="1" t="n">
        <v>46196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26907-2024</t>
        </is>
      </c>
      <c r="B547" s="1" t="n">
        <v>45470</v>
      </c>
      <c r="C547" s="1" t="n">
        <v>46196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16131-2023</t>
        </is>
      </c>
      <c r="B548" s="1" t="n">
        <v>45027</v>
      </c>
      <c r="C548" s="1" t="n">
        <v>46196</v>
      </c>
      <c r="D548" t="inlineStr">
        <is>
          <t>SKÅNE LÄN</t>
        </is>
      </c>
      <c r="E548" t="inlineStr">
        <is>
          <t>KRISTIANSTAD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35022-2023</t>
        </is>
      </c>
      <c r="B549" s="1" t="n">
        <v>45144</v>
      </c>
      <c r="C549" s="1" t="n">
        <v>46196</v>
      </c>
      <c r="D549" t="inlineStr">
        <is>
          <t>SKÅNE LÄN</t>
        </is>
      </c>
      <c r="E549" t="inlineStr">
        <is>
          <t>KRISTIANSTAD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35023-2023</t>
        </is>
      </c>
      <c r="B550" s="1" t="n">
        <v>45144</v>
      </c>
      <c r="C550" s="1" t="n">
        <v>46196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5400-2024</t>
        </is>
      </c>
      <c r="B551" s="1" t="n">
        <v>45331</v>
      </c>
      <c r="C551" s="1" t="n">
        <v>46196</v>
      </c>
      <c r="D551" t="inlineStr">
        <is>
          <t>SKÅNE LÄN</t>
        </is>
      </c>
      <c r="E551" t="inlineStr">
        <is>
          <t>KRISTIANSTAD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45658-2024</t>
        </is>
      </c>
      <c r="B552" s="1" t="n">
        <v>45579</v>
      </c>
      <c r="C552" s="1" t="n">
        <v>46196</v>
      </c>
      <c r="D552" t="inlineStr">
        <is>
          <t>SKÅNE LÄN</t>
        </is>
      </c>
      <c r="E552" t="inlineStr">
        <is>
          <t>KRISTIANSTAD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6307-2024</t>
        </is>
      </c>
      <c r="B553" s="1" t="n">
        <v>45338</v>
      </c>
      <c r="C553" s="1" t="n">
        <v>46196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17024-2025</t>
        </is>
      </c>
      <c r="B554" s="1" t="n">
        <v>45755</v>
      </c>
      <c r="C554" s="1" t="n">
        <v>46196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24583-2023</t>
        </is>
      </c>
      <c r="B555" s="1" t="n">
        <v>45083</v>
      </c>
      <c r="C555" s="1" t="n">
        <v>46196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17400-2023</t>
        </is>
      </c>
      <c r="B556" s="1" t="n">
        <v>45035</v>
      </c>
      <c r="C556" s="1" t="n">
        <v>46196</v>
      </c>
      <c r="D556" t="inlineStr">
        <is>
          <t>SKÅNE LÄN</t>
        </is>
      </c>
      <c r="E556" t="inlineStr">
        <is>
          <t>KRISTIANSTAD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60997-2024</t>
        </is>
      </c>
      <c r="B557" s="1" t="n">
        <v>45644</v>
      </c>
      <c r="C557" s="1" t="n">
        <v>46196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38021-2023</t>
        </is>
      </c>
      <c r="B558" s="1" t="n">
        <v>45159</v>
      </c>
      <c r="C558" s="1" t="n">
        <v>46196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8512-2024</t>
        </is>
      </c>
      <c r="B559" s="1" t="n">
        <v>45355</v>
      </c>
      <c r="C559" s="1" t="n">
        <v>46196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24579-2023</t>
        </is>
      </c>
      <c r="B560" s="1" t="n">
        <v>45083</v>
      </c>
      <c r="C560" s="1" t="n">
        <v>46196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47652-2023</t>
        </is>
      </c>
      <c r="B561" s="1" t="n">
        <v>45198</v>
      </c>
      <c r="C561" s="1" t="n">
        <v>46196</v>
      </c>
      <c r="D561" t="inlineStr">
        <is>
          <t>SKÅNE LÄN</t>
        </is>
      </c>
      <c r="E561" t="inlineStr">
        <is>
          <t>KRISTIANSTAD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72100-2021</t>
        </is>
      </c>
      <c r="B562" s="1" t="n">
        <v>44544</v>
      </c>
      <c r="C562" s="1" t="n">
        <v>46196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32158-2024</t>
        </is>
      </c>
      <c r="B563" s="1" t="n">
        <v>45511</v>
      </c>
      <c r="C563" s="1" t="n">
        <v>46196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45728-2022</t>
        </is>
      </c>
      <c r="B564" s="1" t="n">
        <v>44846</v>
      </c>
      <c r="C564" s="1" t="n">
        <v>46196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48173-2024</t>
        </is>
      </c>
      <c r="B565" s="1" t="n">
        <v>45589</v>
      </c>
      <c r="C565" s="1" t="n">
        <v>46196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45494-2024</t>
        </is>
      </c>
      <c r="B566" s="1" t="n">
        <v>45577</v>
      </c>
      <c r="C566" s="1" t="n">
        <v>46196</v>
      </c>
      <c r="D566" t="inlineStr">
        <is>
          <t>SKÅNE LÄN</t>
        </is>
      </c>
      <c r="E566" t="inlineStr">
        <is>
          <t>KRISTIANSTAD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40145-2024</t>
        </is>
      </c>
      <c r="B567" s="1" t="n">
        <v>45554</v>
      </c>
      <c r="C567" s="1" t="n">
        <v>46196</v>
      </c>
      <c r="D567" t="inlineStr">
        <is>
          <t>SKÅNE LÄN</t>
        </is>
      </c>
      <c r="E567" t="inlineStr">
        <is>
          <t>KRISTIANSTAD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35948-2024</t>
        </is>
      </c>
      <c r="B568" s="1" t="n">
        <v>45533</v>
      </c>
      <c r="C568" s="1" t="n">
        <v>46196</v>
      </c>
      <c r="D568" t="inlineStr">
        <is>
          <t>SKÅNE LÄN</t>
        </is>
      </c>
      <c r="E568" t="inlineStr">
        <is>
          <t>KRISTIANSTAD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12315-2025</t>
        </is>
      </c>
      <c r="B569" s="1" t="n">
        <v>45729</v>
      </c>
      <c r="C569" s="1" t="n">
        <v>46196</v>
      </c>
      <c r="D569" t="inlineStr">
        <is>
          <t>SKÅNE LÄN</t>
        </is>
      </c>
      <c r="E569" t="inlineStr">
        <is>
          <t>KRISTIANSTAD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46521-2023</t>
        </is>
      </c>
      <c r="B570" s="1" t="n">
        <v>45197</v>
      </c>
      <c r="C570" s="1" t="n">
        <v>46196</v>
      </c>
      <c r="D570" t="inlineStr">
        <is>
          <t>SKÅNE LÄN</t>
        </is>
      </c>
      <c r="E570" t="inlineStr">
        <is>
          <t>KRISTIANSTAD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46524-2023</t>
        </is>
      </c>
      <c r="B571" s="1" t="n">
        <v>45197</v>
      </c>
      <c r="C571" s="1" t="n">
        <v>46196</v>
      </c>
      <c r="D571" t="inlineStr">
        <is>
          <t>SKÅNE LÄN</t>
        </is>
      </c>
      <c r="E571" t="inlineStr">
        <is>
          <t>KRISTIANSTAD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28607-2023</t>
        </is>
      </c>
      <c r="B572" s="1" t="n">
        <v>45103</v>
      </c>
      <c r="C572" s="1" t="n">
        <v>46196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46095-2023</t>
        </is>
      </c>
      <c r="B573" s="1" t="n">
        <v>45190</v>
      </c>
      <c r="C573" s="1" t="n">
        <v>46196</v>
      </c>
      <c r="D573" t="inlineStr">
        <is>
          <t>SKÅNE LÄN</t>
        </is>
      </c>
      <c r="E573" t="inlineStr">
        <is>
          <t>KRISTIANSTAD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10748-2023</t>
        </is>
      </c>
      <c r="B574" s="1" t="n">
        <v>44984</v>
      </c>
      <c r="C574" s="1" t="n">
        <v>46196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49239-2022</t>
        </is>
      </c>
      <c r="B575" s="1" t="n">
        <v>44858</v>
      </c>
      <c r="C575" s="1" t="n">
        <v>46196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54392-2023</t>
        </is>
      </c>
      <c r="B576" s="1" t="n">
        <v>45226</v>
      </c>
      <c r="C576" s="1" t="n">
        <v>46196</v>
      </c>
      <c r="D576" t="inlineStr">
        <is>
          <t>SKÅNE LÄN</t>
        </is>
      </c>
      <c r="E576" t="inlineStr">
        <is>
          <t>KRISTIANSTAD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5987-2022</t>
        </is>
      </c>
      <c r="B577" s="1" t="n">
        <v>44599</v>
      </c>
      <c r="C577" s="1" t="n">
        <v>46196</v>
      </c>
      <c r="D577" t="inlineStr">
        <is>
          <t>SKÅNE LÄN</t>
        </is>
      </c>
      <c r="E577" t="inlineStr">
        <is>
          <t>KRISTIANSTAD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33988-2023</t>
        </is>
      </c>
      <c r="B578" s="1" t="n">
        <v>45134</v>
      </c>
      <c r="C578" s="1" t="n">
        <v>46196</v>
      </c>
      <c r="D578" t="inlineStr">
        <is>
          <t>SKÅNE LÄN</t>
        </is>
      </c>
      <c r="E578" t="inlineStr">
        <is>
          <t>KRISTIANSTAD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53982-2022</t>
        </is>
      </c>
      <c r="B579" s="1" t="n">
        <v>44876</v>
      </c>
      <c r="C579" s="1" t="n">
        <v>46196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62156-2022</t>
        </is>
      </c>
      <c r="B580" s="1" t="n">
        <v>44915</v>
      </c>
      <c r="C580" s="1" t="n">
        <v>46196</v>
      </c>
      <c r="D580" t="inlineStr">
        <is>
          <t>SKÅNE LÄN</t>
        </is>
      </c>
      <c r="E580" t="inlineStr">
        <is>
          <t>KRISTIANSTAD</t>
        </is>
      </c>
      <c r="F580" t="inlineStr">
        <is>
          <t>Kyrkan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10464-2024</t>
        </is>
      </c>
      <c r="B581" s="1" t="n">
        <v>45366</v>
      </c>
      <c r="C581" s="1" t="n">
        <v>46196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2891-2024</t>
        </is>
      </c>
      <c r="B582" s="1" t="n">
        <v>45315</v>
      </c>
      <c r="C582" s="1" t="n">
        <v>46196</v>
      </c>
      <c r="D582" t="inlineStr">
        <is>
          <t>SKÅNE LÄN</t>
        </is>
      </c>
      <c r="E582" t="inlineStr">
        <is>
          <t>KRISTIANSTAD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25803-2024</t>
        </is>
      </c>
      <c r="B583" s="1" t="n">
        <v>45467</v>
      </c>
      <c r="C583" s="1" t="n">
        <v>46196</v>
      </c>
      <c r="D583" t="inlineStr">
        <is>
          <t>SKÅNE LÄN</t>
        </is>
      </c>
      <c r="E583" t="inlineStr">
        <is>
          <t>KRISTIANSTAD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57979-2023</t>
        </is>
      </c>
      <c r="B584" s="1" t="n">
        <v>45247</v>
      </c>
      <c r="C584" s="1" t="n">
        <v>46196</v>
      </c>
      <c r="D584" t="inlineStr">
        <is>
          <t>SKÅNE LÄN</t>
        </is>
      </c>
      <c r="E584" t="inlineStr">
        <is>
          <t>KRISTIANSTAD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11997-2023</t>
        </is>
      </c>
      <c r="B585" s="1" t="n">
        <v>44995</v>
      </c>
      <c r="C585" s="1" t="n">
        <v>46196</v>
      </c>
      <c r="D585" t="inlineStr">
        <is>
          <t>SKÅNE LÄN</t>
        </is>
      </c>
      <c r="E585" t="inlineStr">
        <is>
          <t>KRISTIANSTAD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34719-2022</t>
        </is>
      </c>
      <c r="B586" s="1" t="n">
        <v>44795</v>
      </c>
      <c r="C586" s="1" t="n">
        <v>46196</v>
      </c>
      <c r="D586" t="inlineStr">
        <is>
          <t>SKÅNE LÄN</t>
        </is>
      </c>
      <c r="E586" t="inlineStr">
        <is>
          <t>KRISTIANSTAD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13211-2023</t>
        </is>
      </c>
      <c r="B587" s="1" t="n">
        <v>45002</v>
      </c>
      <c r="C587" s="1" t="n">
        <v>46196</v>
      </c>
      <c r="D587" t="inlineStr">
        <is>
          <t>SKÅNE LÄN</t>
        </is>
      </c>
      <c r="E587" t="inlineStr">
        <is>
          <t>KRISTIANSTAD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17025-2025</t>
        </is>
      </c>
      <c r="B588" s="1" t="n">
        <v>45755</v>
      </c>
      <c r="C588" s="1" t="n">
        <v>46196</v>
      </c>
      <c r="D588" t="inlineStr">
        <is>
          <t>SKÅNE LÄN</t>
        </is>
      </c>
      <c r="E588" t="inlineStr">
        <is>
          <t>KRISTIANSTAD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4610-2024</t>
        </is>
      </c>
      <c r="B589" s="1" t="n">
        <v>45328</v>
      </c>
      <c r="C589" s="1" t="n">
        <v>46196</v>
      </c>
      <c r="D589" t="inlineStr">
        <is>
          <t>SKÅNE LÄN</t>
        </is>
      </c>
      <c r="E589" t="inlineStr">
        <is>
          <t>KRISTIANSTAD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60474-2022</t>
        </is>
      </c>
      <c r="B590" s="1" t="n">
        <v>44904</v>
      </c>
      <c r="C590" s="1" t="n">
        <v>46196</v>
      </c>
      <c r="D590" t="inlineStr">
        <is>
          <t>SKÅNE LÄN</t>
        </is>
      </c>
      <c r="E590" t="inlineStr">
        <is>
          <t>KRISTIANSTAD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46504-2022</t>
        </is>
      </c>
      <c r="B591" s="1" t="n">
        <v>44847</v>
      </c>
      <c r="C591" s="1" t="n">
        <v>46196</v>
      </c>
      <c r="D591" t="inlineStr">
        <is>
          <t>SKÅNE LÄN</t>
        </is>
      </c>
      <c r="E591" t="inlineStr">
        <is>
          <t>KRISTIANSTAD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18735-2024</t>
        </is>
      </c>
      <c r="B592" s="1" t="n">
        <v>45426</v>
      </c>
      <c r="C592" s="1" t="n">
        <v>46196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62066-2022</t>
        </is>
      </c>
      <c r="B593" s="1" t="n">
        <v>44918</v>
      </c>
      <c r="C593" s="1" t="n">
        <v>46196</v>
      </c>
      <c r="D593" t="inlineStr">
        <is>
          <t>SKÅNE LÄN</t>
        </is>
      </c>
      <c r="E593" t="inlineStr">
        <is>
          <t>KRISTIANSTAD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18744-2025</t>
        </is>
      </c>
      <c r="B594" s="1" t="n">
        <v>45763</v>
      </c>
      <c r="C594" s="1" t="n">
        <v>46196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19532-2023</t>
        </is>
      </c>
      <c r="B595" s="1" t="n">
        <v>45049</v>
      </c>
      <c r="C595" s="1" t="n">
        <v>46196</v>
      </c>
      <c r="D595" t="inlineStr">
        <is>
          <t>SKÅNE LÄN</t>
        </is>
      </c>
      <c r="E595" t="inlineStr">
        <is>
          <t>KRISTIANSTAD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13263-2024</t>
        </is>
      </c>
      <c r="B596" s="1" t="n">
        <v>45386</v>
      </c>
      <c r="C596" s="1" t="n">
        <v>46196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12134-2024</t>
        </is>
      </c>
      <c r="B597" s="1" t="n">
        <v>45377</v>
      </c>
      <c r="C597" s="1" t="n">
        <v>46196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13952-2025</t>
        </is>
      </c>
      <c r="B598" s="1" t="n">
        <v>45737</v>
      </c>
      <c r="C598" s="1" t="n">
        <v>46196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13972-2025</t>
        </is>
      </c>
      <c r="B599" s="1" t="n">
        <v>45738</v>
      </c>
      <c r="C599" s="1" t="n">
        <v>46196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50516-2022</t>
        </is>
      </c>
      <c r="B600" s="1" t="n">
        <v>44866</v>
      </c>
      <c r="C600" s="1" t="n">
        <v>46196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11010-2024</t>
        </is>
      </c>
      <c r="B601" s="1" t="n">
        <v>45370</v>
      </c>
      <c r="C601" s="1" t="n">
        <v>46196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11012-2024</t>
        </is>
      </c>
      <c r="B602" s="1" t="n">
        <v>45370</v>
      </c>
      <c r="C602" s="1" t="n">
        <v>46196</v>
      </c>
      <c r="D602" t="inlineStr">
        <is>
          <t>SKÅNE LÄN</t>
        </is>
      </c>
      <c r="E602" t="inlineStr">
        <is>
          <t>KRISTIANSTAD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429-2023</t>
        </is>
      </c>
      <c r="B603" s="1" t="n">
        <v>44923</v>
      </c>
      <c r="C603" s="1" t="n">
        <v>46196</v>
      </c>
      <c r="D603" t="inlineStr">
        <is>
          <t>SKÅNE LÄN</t>
        </is>
      </c>
      <c r="E603" t="inlineStr">
        <is>
          <t>KRISTIANSTAD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43871-2023</t>
        </is>
      </c>
      <c r="B604" s="1" t="n">
        <v>45187</v>
      </c>
      <c r="C604" s="1" t="n">
        <v>46196</v>
      </c>
      <c r="D604" t="inlineStr">
        <is>
          <t>SKÅNE LÄN</t>
        </is>
      </c>
      <c r="E604" t="inlineStr">
        <is>
          <t>KRISTIANSTAD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11505-2023</t>
        </is>
      </c>
      <c r="B605" s="1" t="n">
        <v>44993</v>
      </c>
      <c r="C605" s="1" t="n">
        <v>46196</v>
      </c>
      <c r="D605" t="inlineStr">
        <is>
          <t>SKÅNE LÄN</t>
        </is>
      </c>
      <c r="E605" t="inlineStr">
        <is>
          <t>KRISTIANSTAD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50294-2024</t>
        </is>
      </c>
      <c r="B606" s="1" t="n">
        <v>45600</v>
      </c>
      <c r="C606" s="1" t="n">
        <v>46196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6955-2024</t>
        </is>
      </c>
      <c r="B607" s="1" t="n">
        <v>45343</v>
      </c>
      <c r="C607" s="1" t="n">
        <v>46196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61147-2021</t>
        </is>
      </c>
      <c r="B608" s="1" t="n">
        <v>44497</v>
      </c>
      <c r="C608" s="1" t="n">
        <v>46196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6241-2024</t>
        </is>
      </c>
      <c r="B609" s="1" t="n">
        <v>45337</v>
      </c>
      <c r="C609" s="1" t="n">
        <v>46196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40037-2022</t>
        </is>
      </c>
      <c r="B610" s="1" t="n">
        <v>44818</v>
      </c>
      <c r="C610" s="1" t="n">
        <v>46196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18146-2022</t>
        </is>
      </c>
      <c r="B611" s="1" t="n">
        <v>44684</v>
      </c>
      <c r="C611" s="1" t="n">
        <v>46196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6245-2024</t>
        </is>
      </c>
      <c r="B612" s="1" t="n">
        <v>45337</v>
      </c>
      <c r="C612" s="1" t="n">
        <v>46196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28654-2024</t>
        </is>
      </c>
      <c r="B613" s="1" t="n">
        <v>45478</v>
      </c>
      <c r="C613" s="1" t="n">
        <v>46196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42248-2023</t>
        </is>
      </c>
      <c r="B614" s="1" t="n">
        <v>45180</v>
      </c>
      <c r="C614" s="1" t="n">
        <v>46196</v>
      </c>
      <c r="D614" t="inlineStr">
        <is>
          <t>SKÅNE LÄN</t>
        </is>
      </c>
      <c r="E614" t="inlineStr">
        <is>
          <t>KRISTIANSTAD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1872-2024</t>
        </is>
      </c>
      <c r="B615" s="1" t="n">
        <v>45307</v>
      </c>
      <c r="C615" s="1" t="n">
        <v>46196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46196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53466-2022</t>
        </is>
      </c>
      <c r="B617" s="1" t="n">
        <v>44879</v>
      </c>
      <c r="C617" s="1" t="n">
        <v>46196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61356-2023</t>
        </is>
      </c>
      <c r="B618" s="1" t="n">
        <v>45260</v>
      </c>
      <c r="C618" s="1" t="n">
        <v>46196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14441-2023</t>
        </is>
      </c>
      <c r="B619" s="1" t="n">
        <v>45012</v>
      </c>
      <c r="C619" s="1" t="n">
        <v>46196</v>
      </c>
      <c r="D619" t="inlineStr">
        <is>
          <t>SKÅNE LÄN</t>
        </is>
      </c>
      <c r="E619" t="inlineStr">
        <is>
          <t>KRISTIANSTAD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6597-2025</t>
        </is>
      </c>
      <c r="B620" s="1" t="n">
        <v>45700</v>
      </c>
      <c r="C620" s="1" t="n">
        <v>46196</v>
      </c>
      <c r="D620" t="inlineStr">
        <is>
          <t>SKÅNE LÄN</t>
        </is>
      </c>
      <c r="E620" t="inlineStr">
        <is>
          <t>KRISTIANSTAD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62365-2023</t>
        </is>
      </c>
      <c r="B621" s="1" t="n">
        <v>45267</v>
      </c>
      <c r="C621" s="1" t="n">
        <v>46196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61701-2024</t>
        </is>
      </c>
      <c r="B622" s="1" t="n">
        <v>45648</v>
      </c>
      <c r="C622" s="1" t="n">
        <v>46196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38778-2022</t>
        </is>
      </c>
      <c r="B623" s="1" t="n">
        <v>44816</v>
      </c>
      <c r="C623" s="1" t="n">
        <v>46196</v>
      </c>
      <c r="D623" t="inlineStr">
        <is>
          <t>SKÅNE LÄN</t>
        </is>
      </c>
      <c r="E623" t="inlineStr">
        <is>
          <t>KRISTIANSTAD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</v>
      </c>
      <c r="C624" s="1" t="n">
        <v>46196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23850-2024</t>
        </is>
      </c>
      <c r="B625" s="1" t="n">
        <v>45455</v>
      </c>
      <c r="C625" s="1" t="n">
        <v>46196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7056-2024</t>
        </is>
      </c>
      <c r="B626" s="1" t="n">
        <v>45343</v>
      </c>
      <c r="C626" s="1" t="n">
        <v>46196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36158-2023</t>
        </is>
      </c>
      <c r="B627" s="1" t="n">
        <v>45149</v>
      </c>
      <c r="C627" s="1" t="n">
        <v>46196</v>
      </c>
      <c r="D627" t="inlineStr">
        <is>
          <t>SKÅNE LÄN</t>
        </is>
      </c>
      <c r="E627" t="inlineStr">
        <is>
          <t>KRISTIANSTAD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54308-2023</t>
        </is>
      </c>
      <c r="B628" s="1" t="n">
        <v>45232</v>
      </c>
      <c r="C628" s="1" t="n">
        <v>46196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2437-2024</t>
        </is>
      </c>
      <c r="B629" s="1" t="n">
        <v>45311</v>
      </c>
      <c r="C629" s="1" t="n">
        <v>46196</v>
      </c>
      <c r="D629" t="inlineStr">
        <is>
          <t>SKÅNE LÄN</t>
        </is>
      </c>
      <c r="E629" t="inlineStr">
        <is>
          <t>KRISTIANSTAD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22815-2023</t>
        </is>
      </c>
      <c r="B630" s="1" t="n">
        <v>45072</v>
      </c>
      <c r="C630" s="1" t="n">
        <v>46196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44363-2024</t>
        </is>
      </c>
      <c r="B631" s="1" t="n">
        <v>45573</v>
      </c>
      <c r="C631" s="1" t="n">
        <v>46196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35024-2023</t>
        </is>
      </c>
      <c r="B632" s="1" t="n">
        <v>45144</v>
      </c>
      <c r="C632" s="1" t="n">
        <v>46196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47231-2024</t>
        </is>
      </c>
      <c r="B633" s="1" t="n">
        <v>45586</v>
      </c>
      <c r="C633" s="1" t="n">
        <v>46196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34688-2024</t>
        </is>
      </c>
      <c r="B634" s="1" t="n">
        <v>45526</v>
      </c>
      <c r="C634" s="1" t="n">
        <v>46196</v>
      </c>
      <c r="D634" t="inlineStr">
        <is>
          <t>SKÅNE LÄN</t>
        </is>
      </c>
      <c r="E634" t="inlineStr">
        <is>
          <t>KRISTIANSTAD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8455-2025</t>
        </is>
      </c>
      <c r="B635" s="1" t="n">
        <v>45709</v>
      </c>
      <c r="C635" s="1" t="n">
        <v>46196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11067-2022</t>
        </is>
      </c>
      <c r="B636" s="1" t="n">
        <v>44628</v>
      </c>
      <c r="C636" s="1" t="n">
        <v>46196</v>
      </c>
      <c r="D636" t="inlineStr">
        <is>
          <t>SKÅNE LÄN</t>
        </is>
      </c>
      <c r="E636" t="inlineStr">
        <is>
          <t>KRISTIANSTAD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8807-2025</t>
        </is>
      </c>
      <c r="B637" s="1" t="n">
        <v>45712</v>
      </c>
      <c r="C637" s="1" t="n">
        <v>46196</v>
      </c>
      <c r="D637" t="inlineStr">
        <is>
          <t>SKÅNE LÄN</t>
        </is>
      </c>
      <c r="E637" t="inlineStr">
        <is>
          <t>KRISTIANSTAD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1426-2025</t>
        </is>
      </c>
      <c r="B638" s="1" t="n">
        <v>45668</v>
      </c>
      <c r="C638" s="1" t="n">
        <v>46196</v>
      </c>
      <c r="D638" t="inlineStr">
        <is>
          <t>SKÅNE LÄN</t>
        </is>
      </c>
      <c r="E638" t="inlineStr">
        <is>
          <t>KRISTIANSTAD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16565-2024</t>
        </is>
      </c>
      <c r="B639" s="1" t="n">
        <v>45408</v>
      </c>
      <c r="C639" s="1" t="n">
        <v>46196</v>
      </c>
      <c r="D639" t="inlineStr">
        <is>
          <t>SKÅNE LÄN</t>
        </is>
      </c>
      <c r="E639" t="inlineStr">
        <is>
          <t>KRISTIANSTAD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44378-2024</t>
        </is>
      </c>
      <c r="B640" s="1" t="n">
        <v>45573</v>
      </c>
      <c r="C640" s="1" t="n">
        <v>46196</v>
      </c>
      <c r="D640" t="inlineStr">
        <is>
          <t>SKÅNE LÄN</t>
        </is>
      </c>
      <c r="E640" t="inlineStr">
        <is>
          <t>KRISTIANSTAD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23497-2024</t>
        </is>
      </c>
      <c r="B641" s="1" t="n">
        <v>45453</v>
      </c>
      <c r="C641" s="1" t="n">
        <v>46196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14965-2024</t>
        </is>
      </c>
      <c r="B642" s="1" t="n">
        <v>45398</v>
      </c>
      <c r="C642" s="1" t="n">
        <v>46196</v>
      </c>
      <c r="D642" t="inlineStr">
        <is>
          <t>SKÅNE LÄN</t>
        </is>
      </c>
      <c r="E642" t="inlineStr">
        <is>
          <t>KRISTIANSTAD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19880-2023</t>
        </is>
      </c>
      <c r="B643" s="1" t="n">
        <v>45054</v>
      </c>
      <c r="C643" s="1" t="n">
        <v>46196</v>
      </c>
      <c r="D643" t="inlineStr">
        <is>
          <t>SKÅNE LÄN</t>
        </is>
      </c>
      <c r="E643" t="inlineStr">
        <is>
          <t>KRISTIANSTAD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45609-2023</t>
        </is>
      </c>
      <c r="B644" s="1" t="n">
        <v>45194</v>
      </c>
      <c r="C644" s="1" t="n">
        <v>46196</v>
      </c>
      <c r="D644" t="inlineStr">
        <is>
          <t>SKÅNE LÄN</t>
        </is>
      </c>
      <c r="E644" t="inlineStr">
        <is>
          <t>KRISTIANSTAD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24952-2023</t>
        </is>
      </c>
      <c r="B645" s="1" t="n">
        <v>45085</v>
      </c>
      <c r="C645" s="1" t="n">
        <v>46196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11150-2023</t>
        </is>
      </c>
      <c r="B646" s="1" t="n">
        <v>44992</v>
      </c>
      <c r="C646" s="1" t="n">
        <v>46196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1668-2024</t>
        </is>
      </c>
      <c r="B647" s="1" t="n">
        <v>45306</v>
      </c>
      <c r="C647" s="1" t="n">
        <v>46196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1736-2024</t>
        </is>
      </c>
      <c r="B648" s="1" t="n">
        <v>45307</v>
      </c>
      <c r="C648" s="1" t="n">
        <v>46196</v>
      </c>
      <c r="D648" t="inlineStr">
        <is>
          <t>SKÅNE LÄN</t>
        </is>
      </c>
      <c r="E648" t="inlineStr">
        <is>
          <t>KRISTIANSTAD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30601-2024</t>
        </is>
      </c>
      <c r="B649" s="1" t="n">
        <v>45493</v>
      </c>
      <c r="C649" s="1" t="n">
        <v>46196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13523-2024</t>
        </is>
      </c>
      <c r="B650" s="1" t="n">
        <v>45387</v>
      </c>
      <c r="C650" s="1" t="n">
        <v>46196</v>
      </c>
      <c r="D650" t="inlineStr">
        <is>
          <t>SKÅNE LÄN</t>
        </is>
      </c>
      <c r="E650" t="inlineStr">
        <is>
          <t>KRISTIANSTAD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52057-2021</t>
        </is>
      </c>
      <c r="B651" s="1" t="n">
        <v>44463</v>
      </c>
      <c r="C651" s="1" t="n">
        <v>46196</v>
      </c>
      <c r="D651" t="inlineStr">
        <is>
          <t>SKÅNE LÄN</t>
        </is>
      </c>
      <c r="E651" t="inlineStr">
        <is>
          <t>KRISTIANSTAD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27590-2024</t>
        </is>
      </c>
      <c r="B652" s="1" t="n">
        <v>45474</v>
      </c>
      <c r="C652" s="1" t="n">
        <v>46196</v>
      </c>
      <c r="D652" t="inlineStr">
        <is>
          <t>SKÅNE LÄN</t>
        </is>
      </c>
      <c r="E652" t="inlineStr">
        <is>
          <t>KRISTIANSTAD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44579-2023</t>
        </is>
      </c>
      <c r="B653" s="1" t="n">
        <v>45189</v>
      </c>
      <c r="C653" s="1" t="n">
        <v>46196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64835-2023</t>
        </is>
      </c>
      <c r="B654" s="1" t="n">
        <v>45282</v>
      </c>
      <c r="C654" s="1" t="n">
        <v>46196</v>
      </c>
      <c r="D654" t="inlineStr">
        <is>
          <t>SKÅNE LÄN</t>
        </is>
      </c>
      <c r="E654" t="inlineStr">
        <is>
          <t>KRISTIANSTAD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46196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13954-2025</t>
        </is>
      </c>
      <c r="B656" s="1" t="n">
        <v>45737</v>
      </c>
      <c r="C656" s="1" t="n">
        <v>46196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46196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56633-2022</t>
        </is>
      </c>
      <c r="B658" s="1" t="n">
        <v>44893</v>
      </c>
      <c r="C658" s="1" t="n">
        <v>46196</v>
      </c>
      <c r="D658" t="inlineStr">
        <is>
          <t>SKÅNE LÄN</t>
        </is>
      </c>
      <c r="E658" t="inlineStr">
        <is>
          <t>KRISTIANSTAD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25249-2022</t>
        </is>
      </c>
      <c r="B659" s="1" t="n">
        <v>44729</v>
      </c>
      <c r="C659" s="1" t="n">
        <v>46196</v>
      </c>
      <c r="D659" t="inlineStr">
        <is>
          <t>SKÅNE LÄN</t>
        </is>
      </c>
      <c r="E659" t="inlineStr">
        <is>
          <t>KRISTIANSTAD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5958-2024</t>
        </is>
      </c>
      <c r="B660" s="1" t="n">
        <v>45336</v>
      </c>
      <c r="C660" s="1" t="n">
        <v>46196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18046-2024</t>
        </is>
      </c>
      <c r="B661" s="1" t="n">
        <v>45420</v>
      </c>
      <c r="C661" s="1" t="n">
        <v>46196</v>
      </c>
      <c r="D661" t="inlineStr">
        <is>
          <t>SKÅNE LÄN</t>
        </is>
      </c>
      <c r="E661" t="inlineStr">
        <is>
          <t>KRISTIANSTAD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24164-2023</t>
        </is>
      </c>
      <c r="B662" s="1" t="n">
        <v>45079</v>
      </c>
      <c r="C662" s="1" t="n">
        <v>46196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2974-2024</t>
        </is>
      </c>
      <c r="B663" s="1" t="n">
        <v>45315</v>
      </c>
      <c r="C663" s="1" t="n">
        <v>46196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32397-2023</t>
        </is>
      </c>
      <c r="B664" s="1" t="n">
        <v>45120</v>
      </c>
      <c r="C664" s="1" t="n">
        <v>46196</v>
      </c>
      <c r="D664" t="inlineStr">
        <is>
          <t>SKÅNE LÄN</t>
        </is>
      </c>
      <c r="E664" t="inlineStr">
        <is>
          <t>KRISTIANSTAD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1871-2024</t>
        </is>
      </c>
      <c r="B665" s="1" t="n">
        <v>45307</v>
      </c>
      <c r="C665" s="1" t="n">
        <v>46196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13070-2023</t>
        </is>
      </c>
      <c r="B666" s="1" t="n">
        <v>45002</v>
      </c>
      <c r="C666" s="1" t="n">
        <v>46196</v>
      </c>
      <c r="D666" t="inlineStr">
        <is>
          <t>SKÅNE LÄN</t>
        </is>
      </c>
      <c r="E666" t="inlineStr">
        <is>
          <t>KRISTIANSTAD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25759-2024</t>
        </is>
      </c>
      <c r="B667" s="1" t="n">
        <v>45465</v>
      </c>
      <c r="C667" s="1" t="n">
        <v>46196</v>
      </c>
      <c r="D667" t="inlineStr">
        <is>
          <t>SKÅNE LÄN</t>
        </is>
      </c>
      <c r="E667" t="inlineStr">
        <is>
          <t>KRISTIANSTAD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14442-2023</t>
        </is>
      </c>
      <c r="B668" s="1" t="n">
        <v>45012</v>
      </c>
      <c r="C668" s="1" t="n">
        <v>46196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54631-2023</t>
        </is>
      </c>
      <c r="B669" s="1" t="n">
        <v>45228</v>
      </c>
      <c r="C669" s="1" t="n">
        <v>46196</v>
      </c>
      <c r="D669" t="inlineStr">
        <is>
          <t>SKÅNE LÄN</t>
        </is>
      </c>
      <c r="E669" t="inlineStr">
        <is>
          <t>KRISTIANSTAD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8750-2024</t>
        </is>
      </c>
      <c r="B670" s="1" t="n">
        <v>45343</v>
      </c>
      <c r="C670" s="1" t="n">
        <v>46196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18524-2023</t>
        </is>
      </c>
      <c r="B671" s="1" t="n">
        <v>45042</v>
      </c>
      <c r="C671" s="1" t="n">
        <v>46196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1943-2025</t>
        </is>
      </c>
      <c r="B672" s="1" t="n">
        <v>45672</v>
      </c>
      <c r="C672" s="1" t="n">
        <v>46196</v>
      </c>
      <c r="D672" t="inlineStr">
        <is>
          <t>SKÅNE LÄN</t>
        </is>
      </c>
      <c r="E672" t="inlineStr">
        <is>
          <t>KRISTIANSTAD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6451-2024</t>
        </is>
      </c>
      <c r="B673" s="1" t="n">
        <v>45338</v>
      </c>
      <c r="C673" s="1" t="n">
        <v>46196</v>
      </c>
      <c r="D673" t="inlineStr">
        <is>
          <t>SKÅNE LÄN</t>
        </is>
      </c>
      <c r="E673" t="inlineStr">
        <is>
          <t>KRISTIANSTAD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14837-2023</t>
        </is>
      </c>
      <c r="B674" s="1" t="n">
        <v>45014</v>
      </c>
      <c r="C674" s="1" t="n">
        <v>46196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10580-2023</t>
        </is>
      </c>
      <c r="B675" s="1" t="n">
        <v>44988</v>
      </c>
      <c r="C675" s="1" t="n">
        <v>46196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17571-2024</t>
        </is>
      </c>
      <c r="B676" s="1" t="n">
        <v>45415</v>
      </c>
      <c r="C676" s="1" t="n">
        <v>46196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46196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15322-2023</t>
        </is>
      </c>
      <c r="B678" s="1" t="n">
        <v>45019</v>
      </c>
      <c r="C678" s="1" t="n">
        <v>46196</v>
      </c>
      <c r="D678" t="inlineStr">
        <is>
          <t>SKÅNE LÄN</t>
        </is>
      </c>
      <c r="E678" t="inlineStr">
        <is>
          <t>KRISTIANSTAD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32814-2023</t>
        </is>
      </c>
      <c r="B679" s="1" t="n">
        <v>45124</v>
      </c>
      <c r="C679" s="1" t="n">
        <v>46196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61198-2021</t>
        </is>
      </c>
      <c r="B680" s="1" t="n">
        <v>44497</v>
      </c>
      <c r="C680" s="1" t="n">
        <v>46196</v>
      </c>
      <c r="D680" t="inlineStr">
        <is>
          <t>SKÅNE LÄN</t>
        </is>
      </c>
      <c r="E680" t="inlineStr">
        <is>
          <t>KRISTIANSTAD</t>
        </is>
      </c>
      <c r="G680" t="n">
        <v>13.8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1733-2024</t>
        </is>
      </c>
      <c r="B681" s="1" t="n">
        <v>45307</v>
      </c>
      <c r="C681" s="1" t="n">
        <v>46196</v>
      </c>
      <c r="D681" t="inlineStr">
        <is>
          <t>SKÅNE LÄN</t>
        </is>
      </c>
      <c r="E681" t="inlineStr">
        <is>
          <t>KRISTIANSTAD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58269-2022</t>
        </is>
      </c>
      <c r="B682" s="1" t="n">
        <v>44894</v>
      </c>
      <c r="C682" s="1" t="n">
        <v>46196</v>
      </c>
      <c r="D682" t="inlineStr">
        <is>
          <t>SKÅNE LÄN</t>
        </is>
      </c>
      <c r="E682" t="inlineStr">
        <is>
          <t>KRISTIANSTAD</t>
        </is>
      </c>
      <c r="G682" t="n">
        <v>14.9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40330-2021</t>
        </is>
      </c>
      <c r="B683" s="1" t="n">
        <v>44419</v>
      </c>
      <c r="C683" s="1" t="n">
        <v>46196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25766-2024</t>
        </is>
      </c>
      <c r="B684" s="1" t="n">
        <v>45465</v>
      </c>
      <c r="C684" s="1" t="n">
        <v>46196</v>
      </c>
      <c r="D684" t="inlineStr">
        <is>
          <t>SKÅNE LÄN</t>
        </is>
      </c>
      <c r="E684" t="inlineStr">
        <is>
          <t>KRISTIANSTAD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45348-2023</t>
        </is>
      </c>
      <c r="B685" s="1" t="n">
        <v>45191</v>
      </c>
      <c r="C685" s="1" t="n">
        <v>46196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826-2024</t>
        </is>
      </c>
      <c r="B686" s="1" t="n">
        <v>45300</v>
      </c>
      <c r="C686" s="1" t="n">
        <v>46196</v>
      </c>
      <c r="D686" t="inlineStr">
        <is>
          <t>SKÅNE LÄN</t>
        </is>
      </c>
      <c r="E686" t="inlineStr">
        <is>
          <t>KRISTIANSTAD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885-2024</t>
        </is>
      </c>
      <c r="B687" s="1" t="n">
        <v>45301</v>
      </c>
      <c r="C687" s="1" t="n">
        <v>46196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26827-2024</t>
        </is>
      </c>
      <c r="B688" s="1" t="n">
        <v>45470</v>
      </c>
      <c r="C688" s="1" t="n">
        <v>46196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10478-2025</t>
        </is>
      </c>
      <c r="B689" s="1" t="n">
        <v>45721</v>
      </c>
      <c r="C689" s="1" t="n">
        <v>46196</v>
      </c>
      <c r="D689" t="inlineStr">
        <is>
          <t>SKÅNE LÄN</t>
        </is>
      </c>
      <c r="E689" t="inlineStr">
        <is>
          <t>KRISTIANSTAD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27932-2023</t>
        </is>
      </c>
      <c r="B690" s="1" t="n">
        <v>45098</v>
      </c>
      <c r="C690" s="1" t="n">
        <v>46196</v>
      </c>
      <c r="D690" t="inlineStr">
        <is>
          <t>SKÅNE LÄN</t>
        </is>
      </c>
      <c r="E690" t="inlineStr">
        <is>
          <t>KRISTIANSTAD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52064-2024</t>
        </is>
      </c>
      <c r="B691" s="1" t="n">
        <v>45608</v>
      </c>
      <c r="C691" s="1" t="n">
        <v>46196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56930-2022</t>
        </is>
      </c>
      <c r="B692" s="1" t="n">
        <v>44894</v>
      </c>
      <c r="C692" s="1" t="n">
        <v>46196</v>
      </c>
      <c r="D692" t="inlineStr">
        <is>
          <t>SKÅNE LÄN</t>
        </is>
      </c>
      <c r="E692" t="inlineStr">
        <is>
          <t>KRISTIANSTAD</t>
        </is>
      </c>
      <c r="F692" t="inlineStr">
        <is>
          <t>Kyrkan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3796-2024</t>
        </is>
      </c>
      <c r="B693" s="1" t="n">
        <v>45321</v>
      </c>
      <c r="C693" s="1" t="n">
        <v>46196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10044-2025</t>
        </is>
      </c>
      <c r="B694" s="1" t="n">
        <v>45719</v>
      </c>
      <c r="C694" s="1" t="n">
        <v>46196</v>
      </c>
      <c r="D694" t="inlineStr">
        <is>
          <t>SKÅNE LÄN</t>
        </is>
      </c>
      <c r="E694" t="inlineStr">
        <is>
          <t>KRISTIANSTAD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46196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23673-2023</t>
        </is>
      </c>
      <c r="B696" s="1" t="n">
        <v>45077</v>
      </c>
      <c r="C696" s="1" t="n">
        <v>46196</v>
      </c>
      <c r="D696" t="inlineStr">
        <is>
          <t>SKÅNE LÄN</t>
        </is>
      </c>
      <c r="E696" t="inlineStr">
        <is>
          <t>KRISTIANSTAD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23674-2023</t>
        </is>
      </c>
      <c r="B697" s="1" t="n">
        <v>45077</v>
      </c>
      <c r="C697" s="1" t="n">
        <v>46196</v>
      </c>
      <c r="D697" t="inlineStr">
        <is>
          <t>SKÅNE LÄN</t>
        </is>
      </c>
      <c r="E697" t="inlineStr">
        <is>
          <t>KRISTIANSTAD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42919-2024</t>
        </is>
      </c>
      <c r="B698" s="1" t="n">
        <v>45566</v>
      </c>
      <c r="C698" s="1" t="n">
        <v>46196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10988-2023</t>
        </is>
      </c>
      <c r="B699" s="1" t="n">
        <v>44991</v>
      </c>
      <c r="C699" s="1" t="n">
        <v>46196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15957-2023</t>
        </is>
      </c>
      <c r="B700" s="1" t="n">
        <v>45022</v>
      </c>
      <c r="C700" s="1" t="n">
        <v>46196</v>
      </c>
      <c r="D700" t="inlineStr">
        <is>
          <t>SKÅNE LÄN</t>
        </is>
      </c>
      <c r="E700" t="inlineStr">
        <is>
          <t>KRISTIANSTAD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59597-2023</t>
        </is>
      </c>
      <c r="B701" s="1" t="n">
        <v>45254</v>
      </c>
      <c r="C701" s="1" t="n">
        <v>46196</v>
      </c>
      <c r="D701" t="inlineStr">
        <is>
          <t>SKÅNE LÄN</t>
        </is>
      </c>
      <c r="E701" t="inlineStr">
        <is>
          <t>KRISTIANSTAD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5939-2023</t>
        </is>
      </c>
      <c r="B702" s="1" t="n">
        <v>44963</v>
      </c>
      <c r="C702" s="1" t="n">
        <v>46196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8876-2024</t>
        </is>
      </c>
      <c r="B703" s="1" t="n">
        <v>45356</v>
      </c>
      <c r="C703" s="1" t="n">
        <v>46196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11721-2025</t>
        </is>
      </c>
      <c r="B704" s="1" t="n">
        <v>45727</v>
      </c>
      <c r="C704" s="1" t="n">
        <v>46196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62350-2023</t>
        </is>
      </c>
      <c r="B705" s="1" t="n">
        <v>45267</v>
      </c>
      <c r="C705" s="1" t="n">
        <v>46196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14471-2024</t>
        </is>
      </c>
      <c r="B706" s="1" t="n">
        <v>45394</v>
      </c>
      <c r="C706" s="1" t="n">
        <v>46196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42293-2023</t>
        </is>
      </c>
      <c r="B707" s="1" t="n">
        <v>45180</v>
      </c>
      <c r="C707" s="1" t="n">
        <v>46196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12404-2024</t>
        </is>
      </c>
      <c r="B708" s="1" t="n">
        <v>45379</v>
      </c>
      <c r="C708" s="1" t="n">
        <v>46196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64844-2023</t>
        </is>
      </c>
      <c r="B709" s="1" t="n">
        <v>45282</v>
      </c>
      <c r="C709" s="1" t="n">
        <v>46196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25764-2024</t>
        </is>
      </c>
      <c r="B710" s="1" t="n">
        <v>45465</v>
      </c>
      <c r="C710" s="1" t="n">
        <v>46196</v>
      </c>
      <c r="D710" t="inlineStr">
        <is>
          <t>SKÅNE LÄN</t>
        </is>
      </c>
      <c r="E710" t="inlineStr">
        <is>
          <t>KRISTIANSTAD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37983-2024</t>
        </is>
      </c>
      <c r="B711" s="1" t="n">
        <v>45544</v>
      </c>
      <c r="C711" s="1" t="n">
        <v>46196</v>
      </c>
      <c r="D711" t="inlineStr">
        <is>
          <t>SKÅNE LÄN</t>
        </is>
      </c>
      <c r="E711" t="inlineStr">
        <is>
          <t>KRISTIANSTAD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32021-2023</t>
        </is>
      </c>
      <c r="B712" s="1" t="n">
        <v>45119</v>
      </c>
      <c r="C712" s="1" t="n">
        <v>46196</v>
      </c>
      <c r="D712" t="inlineStr">
        <is>
          <t>SKÅNE LÄN</t>
        </is>
      </c>
      <c r="E712" t="inlineStr">
        <is>
          <t>KRISTIANSTAD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49520-2021</t>
        </is>
      </c>
      <c r="B713" s="1" t="n">
        <v>44455</v>
      </c>
      <c r="C713" s="1" t="n">
        <v>46196</v>
      </c>
      <c r="D713" t="inlineStr">
        <is>
          <t>SKÅNE LÄN</t>
        </is>
      </c>
      <c r="E713" t="inlineStr">
        <is>
          <t>KRISTIANSTAD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7055-2024</t>
        </is>
      </c>
      <c r="B714" s="1" t="n">
        <v>45343</v>
      </c>
      <c r="C714" s="1" t="n">
        <v>46196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47232-2024</t>
        </is>
      </c>
      <c r="B715" s="1" t="n">
        <v>45586</v>
      </c>
      <c r="C715" s="1" t="n">
        <v>46196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62397-2022</t>
        </is>
      </c>
      <c r="B716" s="1" t="n">
        <v>44923</v>
      </c>
      <c r="C716" s="1" t="n">
        <v>46196</v>
      </c>
      <c r="D716" t="inlineStr">
        <is>
          <t>SKÅNE LÄN</t>
        </is>
      </c>
      <c r="E716" t="inlineStr">
        <is>
          <t>KRISTIANSTAD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17371-2024</t>
        </is>
      </c>
      <c r="B717" s="1" t="n">
        <v>45414</v>
      </c>
      <c r="C717" s="1" t="n">
        <v>46196</v>
      </c>
      <c r="D717" t="inlineStr">
        <is>
          <t>SKÅNE LÄN</t>
        </is>
      </c>
      <c r="E717" t="inlineStr">
        <is>
          <t>KRISTIANSTAD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46196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61348-2024</t>
        </is>
      </c>
      <c r="B719" s="1" t="n">
        <v>45646</v>
      </c>
      <c r="C719" s="1" t="n">
        <v>46196</v>
      </c>
      <c r="D719" t="inlineStr">
        <is>
          <t>SKÅNE LÄN</t>
        </is>
      </c>
      <c r="E719" t="inlineStr">
        <is>
          <t>KRISTIANSTAD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5622-2024</t>
        </is>
      </c>
      <c r="B720" s="1" t="n">
        <v>45334</v>
      </c>
      <c r="C720" s="1" t="n">
        <v>46196</v>
      </c>
      <c r="D720" t="inlineStr">
        <is>
          <t>SKÅNE LÄN</t>
        </is>
      </c>
      <c r="E720" t="inlineStr">
        <is>
          <t>KRISTIANSTAD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7565-2023</t>
        </is>
      </c>
      <c r="B721" s="1" t="n">
        <v>44972</v>
      </c>
      <c r="C721" s="1" t="n">
        <v>46196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1421-2024</t>
        </is>
      </c>
      <c r="B722" s="1" t="n">
        <v>45303</v>
      </c>
      <c r="C722" s="1" t="n">
        <v>46196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19.7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15111-2023</t>
        </is>
      </c>
      <c r="B723" s="1" t="n">
        <v>45015</v>
      </c>
      <c r="C723" s="1" t="n">
        <v>46196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27979-2024</t>
        </is>
      </c>
      <c r="B724" s="1" t="n">
        <v>45476</v>
      </c>
      <c r="C724" s="1" t="n">
        <v>46196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34348-2024</t>
        </is>
      </c>
      <c r="B725" s="1" t="n">
        <v>45525</v>
      </c>
      <c r="C725" s="1" t="n">
        <v>46196</v>
      </c>
      <c r="D725" t="inlineStr">
        <is>
          <t>SKÅNE LÄN</t>
        </is>
      </c>
      <c r="E725" t="inlineStr">
        <is>
          <t>KRISTIANSTAD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9899-2025</t>
        </is>
      </c>
      <c r="B726" s="1" t="n">
        <v>45716</v>
      </c>
      <c r="C726" s="1" t="n">
        <v>46196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18752-2023</t>
        </is>
      </c>
      <c r="B727" s="1" t="n">
        <v>45043</v>
      </c>
      <c r="C727" s="1" t="n">
        <v>46196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46523-2023</t>
        </is>
      </c>
      <c r="B728" s="1" t="n">
        <v>45197</v>
      </c>
      <c r="C728" s="1" t="n">
        <v>46196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27613-2024</t>
        </is>
      </c>
      <c r="B729" s="1" t="n">
        <v>45474</v>
      </c>
      <c r="C729" s="1" t="n">
        <v>46196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59302-2023</t>
        </is>
      </c>
      <c r="B730" s="1" t="n">
        <v>45253</v>
      </c>
      <c r="C730" s="1" t="n">
        <v>46196</v>
      </c>
      <c r="D730" t="inlineStr">
        <is>
          <t>SKÅNE LÄN</t>
        </is>
      </c>
      <c r="E730" t="inlineStr">
        <is>
          <t>KRISTIANSTAD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24887-2024</t>
        </is>
      </c>
      <c r="B731" s="1" t="n">
        <v>45461</v>
      </c>
      <c r="C731" s="1" t="n">
        <v>46196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30845-2022</t>
        </is>
      </c>
      <c r="B732" s="1" t="n">
        <v>44767</v>
      </c>
      <c r="C732" s="1" t="n">
        <v>46196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25450-2022</t>
        </is>
      </c>
      <c r="B733" s="1" t="n">
        <v>44732</v>
      </c>
      <c r="C733" s="1" t="n">
        <v>46196</v>
      </c>
      <c r="D733" t="inlineStr">
        <is>
          <t>SKÅNE LÄN</t>
        </is>
      </c>
      <c r="E733" t="inlineStr">
        <is>
          <t>KRISTIANSTAD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11970-2023</t>
        </is>
      </c>
      <c r="B734" s="1" t="n">
        <v>44995</v>
      </c>
      <c r="C734" s="1" t="n">
        <v>46196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32156-2023</t>
        </is>
      </c>
      <c r="B735" s="1" t="n">
        <v>45106</v>
      </c>
      <c r="C735" s="1" t="n">
        <v>46196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5853-2022</t>
        </is>
      </c>
      <c r="B736" s="1" t="n">
        <v>44596</v>
      </c>
      <c r="C736" s="1" t="n">
        <v>46196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11272-2023</t>
        </is>
      </c>
      <c r="B737" s="1" t="n">
        <v>44992</v>
      </c>
      <c r="C737" s="1" t="n">
        <v>46196</v>
      </c>
      <c r="D737" t="inlineStr">
        <is>
          <t>SKÅNE LÄN</t>
        </is>
      </c>
      <c r="E737" t="inlineStr">
        <is>
          <t>KRISTIANSTAD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39117-2023</t>
        </is>
      </c>
      <c r="B738" s="1" t="n">
        <v>45165</v>
      </c>
      <c r="C738" s="1" t="n">
        <v>46196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36160-2023</t>
        </is>
      </c>
      <c r="B739" s="1" t="n">
        <v>45149</v>
      </c>
      <c r="C739" s="1" t="n">
        <v>46196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42898-2023</t>
        </is>
      </c>
      <c r="B740" s="1" t="n">
        <v>45182</v>
      </c>
      <c r="C740" s="1" t="n">
        <v>46196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57976-2023</t>
        </is>
      </c>
      <c r="B741" s="1" t="n">
        <v>45247</v>
      </c>
      <c r="C741" s="1" t="n">
        <v>46196</v>
      </c>
      <c r="D741" t="inlineStr">
        <is>
          <t>SKÅNE LÄN</t>
        </is>
      </c>
      <c r="E741" t="inlineStr">
        <is>
          <t>KRISTIANSTAD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2316-2024</t>
        </is>
      </c>
      <c r="B742" s="1" t="n">
        <v>45310</v>
      </c>
      <c r="C742" s="1" t="n">
        <v>46196</v>
      </c>
      <c r="D742" t="inlineStr">
        <is>
          <t>SKÅNE LÄN</t>
        </is>
      </c>
      <c r="E742" t="inlineStr">
        <is>
          <t>KRISTIANSTAD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30065-2023</t>
        </is>
      </c>
      <c r="B743" s="1" t="n">
        <v>45110</v>
      </c>
      <c r="C743" s="1" t="n">
        <v>46196</v>
      </c>
      <c r="D743" t="inlineStr">
        <is>
          <t>SKÅNE LÄN</t>
        </is>
      </c>
      <c r="E743" t="inlineStr">
        <is>
          <t>KRISTIANSTAD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941-2023</t>
        </is>
      </c>
      <c r="B744" s="1" t="n">
        <v>44933</v>
      </c>
      <c r="C744" s="1" t="n">
        <v>46196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4248-2025</t>
        </is>
      </c>
      <c r="B745" s="1" t="n">
        <v>45685</v>
      </c>
      <c r="C745" s="1" t="n">
        <v>46196</v>
      </c>
      <c r="D745" t="inlineStr">
        <is>
          <t>SKÅNE LÄN</t>
        </is>
      </c>
      <c r="E745" t="inlineStr">
        <is>
          <t>KRISTIANSTAD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63931-2023</t>
        </is>
      </c>
      <c r="B746" s="1" t="n">
        <v>45278</v>
      </c>
      <c r="C746" s="1" t="n">
        <v>46196</v>
      </c>
      <c r="D746" t="inlineStr">
        <is>
          <t>SKÅNE LÄN</t>
        </is>
      </c>
      <c r="E746" t="inlineStr">
        <is>
          <t>KRISTIANSTAD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63942-2023</t>
        </is>
      </c>
      <c r="B747" s="1" t="n">
        <v>45278</v>
      </c>
      <c r="C747" s="1" t="n">
        <v>46196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31619-2024</t>
        </is>
      </c>
      <c r="B748" s="1" t="n">
        <v>45506</v>
      </c>
      <c r="C748" s="1" t="n">
        <v>46196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32106-2023</t>
        </is>
      </c>
      <c r="B749" s="1" t="n">
        <v>45119</v>
      </c>
      <c r="C749" s="1" t="n">
        <v>46196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34723-2023</t>
        </is>
      </c>
      <c r="B750" s="1" t="n">
        <v>45141</v>
      </c>
      <c r="C750" s="1" t="n">
        <v>46196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34730-2023</t>
        </is>
      </c>
      <c r="B751" s="1" t="n">
        <v>45141</v>
      </c>
      <c r="C751" s="1" t="n">
        <v>46196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49233-2022</t>
        </is>
      </c>
      <c r="B752" s="1" t="n">
        <v>44858</v>
      </c>
      <c r="C752" s="1" t="n">
        <v>46196</v>
      </c>
      <c r="D752" t="inlineStr">
        <is>
          <t>SKÅNE LÄN</t>
        </is>
      </c>
      <c r="E752" t="inlineStr">
        <is>
          <t>KRISTIANSTAD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53491-2021</t>
        </is>
      </c>
      <c r="B753" s="1" t="n">
        <v>44468</v>
      </c>
      <c r="C753" s="1" t="n">
        <v>46196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13974-2025</t>
        </is>
      </c>
      <c r="B754" s="1" t="n">
        <v>45738</v>
      </c>
      <c r="C754" s="1" t="n">
        <v>46196</v>
      </c>
      <c r="D754" t="inlineStr">
        <is>
          <t>SKÅNE LÄN</t>
        </is>
      </c>
      <c r="E754" t="inlineStr">
        <is>
          <t>KRISTIANSTAD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25839-2023</t>
        </is>
      </c>
      <c r="B755" s="1" t="n">
        <v>45090</v>
      </c>
      <c r="C755" s="1" t="n">
        <v>46196</v>
      </c>
      <c r="D755" t="inlineStr">
        <is>
          <t>SKÅNE LÄN</t>
        </is>
      </c>
      <c r="E755" t="inlineStr">
        <is>
          <t>KRISTIANSTAD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32702-2023</t>
        </is>
      </c>
      <c r="B756" s="1" t="n">
        <v>45121</v>
      </c>
      <c r="C756" s="1" t="n">
        <v>46196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13975-2025</t>
        </is>
      </c>
      <c r="B757" s="1" t="n">
        <v>45738</v>
      </c>
      <c r="C757" s="1" t="n">
        <v>46196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13976-2025</t>
        </is>
      </c>
      <c r="B758" s="1" t="n">
        <v>45738</v>
      </c>
      <c r="C758" s="1" t="n">
        <v>46196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42916-2024</t>
        </is>
      </c>
      <c r="B759" s="1" t="n">
        <v>45566</v>
      </c>
      <c r="C759" s="1" t="n">
        <v>46196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9020-2024</t>
        </is>
      </c>
      <c r="B760" s="1" t="n">
        <v>45357</v>
      </c>
      <c r="C760" s="1" t="n">
        <v>46196</v>
      </c>
      <c r="D760" t="inlineStr">
        <is>
          <t>SKÅNE LÄN</t>
        </is>
      </c>
      <c r="E760" t="inlineStr">
        <is>
          <t>KRISTIANSTAD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55469-2024</t>
        </is>
      </c>
      <c r="B761" s="1" t="n">
        <v>45622</v>
      </c>
      <c r="C761" s="1" t="n">
        <v>46196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44442-2023</t>
        </is>
      </c>
      <c r="B762" s="1" t="n">
        <v>45189</v>
      </c>
      <c r="C762" s="1" t="n">
        <v>46196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46196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36412-2021</t>
        </is>
      </c>
      <c r="B764" s="1" t="n">
        <v>44390</v>
      </c>
      <c r="C764" s="1" t="n">
        <v>46196</v>
      </c>
      <c r="D764" t="inlineStr">
        <is>
          <t>SKÅNE LÄN</t>
        </is>
      </c>
      <c r="E764" t="inlineStr">
        <is>
          <t>KRISTIANSTAD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10971-2023</t>
        </is>
      </c>
      <c r="B765" s="1" t="n">
        <v>44991</v>
      </c>
      <c r="C765" s="1" t="n">
        <v>46196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59625-2022</t>
        </is>
      </c>
      <c r="B766" s="1" t="n">
        <v>44907</v>
      </c>
      <c r="C766" s="1" t="n">
        <v>46196</v>
      </c>
      <c r="D766" t="inlineStr">
        <is>
          <t>SKÅNE LÄN</t>
        </is>
      </c>
      <c r="E766" t="inlineStr">
        <is>
          <t>KRISTIANSTAD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63681-2023</t>
        </is>
      </c>
      <c r="B767" s="1" t="n">
        <v>45275</v>
      </c>
      <c r="C767" s="1" t="n">
        <v>46196</v>
      </c>
      <c r="D767" t="inlineStr">
        <is>
          <t>SKÅNE LÄN</t>
        </is>
      </c>
      <c r="E767" t="inlineStr">
        <is>
          <t>KRISTIANSTAD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32013-2023</t>
        </is>
      </c>
      <c r="B768" s="1" t="n">
        <v>45119</v>
      </c>
      <c r="C768" s="1" t="n">
        <v>46196</v>
      </c>
      <c r="D768" t="inlineStr">
        <is>
          <t>SKÅNE LÄN</t>
        </is>
      </c>
      <c r="E768" t="inlineStr">
        <is>
          <t>KRISTIANSTAD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19642-2022</t>
        </is>
      </c>
      <c r="B769" s="1" t="n">
        <v>44694</v>
      </c>
      <c r="C769" s="1" t="n">
        <v>46196</v>
      </c>
      <c r="D769" t="inlineStr">
        <is>
          <t>SKÅNE LÄN</t>
        </is>
      </c>
      <c r="E769" t="inlineStr">
        <is>
          <t>KRISTIANSTAD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3608-2023</t>
        </is>
      </c>
      <c r="B770" s="1" t="n">
        <v>44946</v>
      </c>
      <c r="C770" s="1" t="n">
        <v>46196</v>
      </c>
      <c r="D770" t="inlineStr">
        <is>
          <t>SKÅNE LÄN</t>
        </is>
      </c>
      <c r="E770" t="inlineStr">
        <is>
          <t>KRISTIANSTAD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13953-2025</t>
        </is>
      </c>
      <c r="B771" s="1" t="n">
        <v>45737</v>
      </c>
      <c r="C771" s="1" t="n">
        <v>46196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20714-2025</t>
        </is>
      </c>
      <c r="B772" s="1" t="n">
        <v>45776</v>
      </c>
      <c r="C772" s="1" t="n">
        <v>46196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21992-2024</t>
        </is>
      </c>
      <c r="B773" s="1" t="n">
        <v>45443</v>
      </c>
      <c r="C773" s="1" t="n">
        <v>46196</v>
      </c>
      <c r="D773" t="inlineStr">
        <is>
          <t>SKÅNE LÄN</t>
        </is>
      </c>
      <c r="E773" t="inlineStr">
        <is>
          <t>KRISTIANSTAD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2026-06-23T04:34:23Z</dcterms:created>
  <dcterms:modified xmlns:dcterms="http://purl.org/dc/terms/" xmlns:xsi="http://www.w3.org/2001/XMLSchema-instance" xsi:type="dcterms:W3CDTF">2026-06-23T04:34:24Z</dcterms:modified>
</cp:coreProperties>
</file>