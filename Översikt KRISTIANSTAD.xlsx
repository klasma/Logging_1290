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46270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46270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46270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46270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46270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46270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46270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46270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46270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46270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46270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46270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46270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46270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46270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46270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46270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46270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46270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2</v>
      </c>
      <c r="V27" s="2" t="inlineStr">
        <is>
          <t>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46270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46270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46270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46270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46270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46270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46270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46270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46270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46270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46270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46270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46270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46270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46270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46270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46270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46270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46270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52039-2021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46270</v>
      </c>
      <c r="F48" t="inlineStr">
        <is>
          <t>SKÅNE LÄN</t>
        </is>
      </c>
      <c r="G48" t="inlineStr">
        <is>
          <t>KRISTIANSTAD</t>
        </is>
      </c>
      <c r="I48" t="n">
        <v>3.1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Entita
Järnsparv
Gullviva</t>
        </is>
      </c>
      <c r="W48">
        <f>HYPERLINK("https://klasma.github.io/Logging_1290/artfynd/A 52039-2021 artfynd.xlsx", "A 52039-2021")</f>
        <v/>
      </c>
      <c r="X48">
        <f>HYPERLINK("https://klasma.github.io/Logging_1290/kartor/A 52039-2021 karta.png", "A 52039-2021")</f>
        <v/>
      </c>
      <c r="Y48">
        <f>HYPERLINK("https://klasma.github.io/Logging_1290/kartor_geotiff/A 52039-2021 georefererad karta.tif", "A 52039-2021")</f>
        <v/>
      </c>
      <c r="AA48">
        <f>HYPERLINK("https://klasma.github.io/Logging_1290/klagomål/A 52039-2021 FSC-klagomål.docx", "A 52039-2021")</f>
        <v/>
      </c>
      <c r="AB48">
        <f>HYPERLINK("https://klasma.github.io/Logging_1290/klagomålsmail/A 52039-2021 FSC-klagomål mail.docx", "A 52039-2021")</f>
        <v/>
      </c>
      <c r="AC48">
        <f>HYPERLINK("https://klasma.github.io/Logging_1290/tillsyn/A 52039-2021 tillsynsbegäran.docx", "A 52039-2021")</f>
        <v/>
      </c>
      <c r="AD48">
        <f>HYPERLINK("https://klasma.github.io/Logging_1290/tillsynsmail/A 52039-2021 tillsynsbegäran mail.docx", "A 52039-2021")</f>
        <v/>
      </c>
      <c r="AE48">
        <f>HYPERLINK("https://klasma.github.io/Logging_1290/fåglar/A 52039-2021 prioriterade fågelarter.docx", "A 52039-2021")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46270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46270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46270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46270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46270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46270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46270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46270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46270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46270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46270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46270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46270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46270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46270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46270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46270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46270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46270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46270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46270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46270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46270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46270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46270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46270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46270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46270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46270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46270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46270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46270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46270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46270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46270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46270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46270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28425-2024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46270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Missne</t>
        </is>
      </c>
      <c r="W86">
        <f>HYPERLINK("https://klasma.github.io/Logging_1290/artfynd/A 28425-2024 artfynd.xlsx", "A 28425-2024")</f>
        <v/>
      </c>
      <c r="X86">
        <f>HYPERLINK("https://klasma.github.io/Logging_1290/kartor/A 28425-2024 karta.png", "A 28425-2024")</f>
        <v/>
      </c>
      <c r="Y86">
        <f>HYPERLINK("https://klasma.github.io/Logging_1290/kartor_geotiff/A 28425-2024 georefererad karta.tif", "A 28425-2024")</f>
        <v/>
      </c>
      <c r="AA86">
        <f>HYPERLINK("https://klasma.github.io/Logging_1290/klagomål/A 28425-2024 FSC-klagomål.docx", "A 28425-2024")</f>
        <v/>
      </c>
      <c r="AB86">
        <f>HYPERLINK("https://klasma.github.io/Logging_1290/klagomålsmail/A 28425-2024 FSC-klagomål mail.docx", "A 28425-2024")</f>
        <v/>
      </c>
      <c r="AC86">
        <f>HYPERLINK("https://klasma.github.io/Logging_1290/tillsyn/A 28425-2024 tillsynsbegäran.docx", "A 28425-2024")</f>
        <v/>
      </c>
      <c r="AD86">
        <f>HYPERLINK("https://klasma.github.io/Logging_1290/tillsynsmail/A 28425-2024 tillsynsbegäran mail.docx", "A 28425-2024")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46270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13977-2025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45738</v>
      </c>
      <c r="E88" s="1" t="n">
        <v>46270</v>
      </c>
      <c r="F88" t="inlineStr">
        <is>
          <t>SKÅNE LÄN</t>
        </is>
      </c>
      <c r="G88" t="inlineStr">
        <is>
          <t>KRISTIANSTAD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Rostfläck</t>
        </is>
      </c>
      <c r="W88">
        <f>HYPERLINK("https://klasma.github.io/Logging_1290/artfynd/A 13977-2025 artfynd.xlsx", "A 13977-2025")</f>
        <v/>
      </c>
      <c r="X88">
        <f>HYPERLINK("https://klasma.github.io/Logging_1290/kartor/A 13977-2025 karta.png", "A 13977-2025")</f>
        <v/>
      </c>
      <c r="Y88">
        <f>HYPERLINK("https://klasma.github.io/Logging_1290/kartor_geotiff/A 13977-2025 georefererad karta.tif", "A 13977-2025")</f>
        <v/>
      </c>
      <c r="AA88">
        <f>HYPERLINK("https://klasma.github.io/Logging_1290/klagomål/A 13977-2025 FSC-klagomål.docx", "A 13977-2025")</f>
        <v/>
      </c>
      <c r="AB88">
        <f>HYPERLINK("https://klasma.github.io/Logging_1290/klagomålsmail/A 13977-2025 FSC-klagomål mail.docx", "A 13977-2025")</f>
        <v/>
      </c>
      <c r="AC88">
        <f>HYPERLINK("https://klasma.github.io/Logging_1290/tillsyn/A 13977-2025 tillsynsbegäran.docx", "A 13977-2025")</f>
        <v/>
      </c>
      <c r="AD88">
        <f>HYPERLINK("https://klasma.github.io/Logging_1290/tillsynsmail/A 13977-2025 tillsynsbegäran mail.docx", "A 13977-2025")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46270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46270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46270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46270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46270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46270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46270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46270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46270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46270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46270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46270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46270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50702-2025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46270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Guldlockmossa</t>
        </is>
      </c>
      <c r="W102">
        <f>HYPERLINK("https://klasma.github.io/Logging_1290/artfynd/A 50702-2025 artfynd.xlsx", "A 50702-2025")</f>
        <v/>
      </c>
      <c r="X102">
        <f>HYPERLINK("https://klasma.github.io/Logging_1290/kartor/A 50702-2025 karta.png", "A 50702-2025")</f>
        <v/>
      </c>
      <c r="Y102">
        <f>HYPERLINK("https://klasma.github.io/Logging_1290/kartor_geotiff/A 50702-2025 georefererad karta.tif", "A 50702-2025")</f>
        <v/>
      </c>
      <c r="AA102">
        <f>HYPERLINK("https://klasma.github.io/Logging_1290/klagomål/A 50702-2025 FSC-klagomål.docx", "A 50702-2025")</f>
        <v/>
      </c>
      <c r="AB102">
        <f>HYPERLINK("https://klasma.github.io/Logging_1290/klagomålsmail/A 50702-2025 FSC-klagomål mail.docx", "A 50702-2025")</f>
        <v/>
      </c>
      <c r="AC102">
        <f>HYPERLINK("https://klasma.github.io/Logging_1290/tillsyn/A 50702-2025 tillsynsbegäran.docx", "A 50702-2025")</f>
        <v/>
      </c>
      <c r="AD102">
        <f>HYPERLINK("https://klasma.github.io/Logging_1290/tillsynsmail/A 50702-2025 tillsynsbegäran mail.docx", "A 50702-2025")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46270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17023-2025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46270</v>
      </c>
      <c r="F104" t="inlineStr">
        <is>
          <t>SKÅNE LÄN</t>
        </is>
      </c>
      <c r="G104" t="inlineStr">
        <is>
          <t>KRISTIANSTAD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Ekskinn</t>
        </is>
      </c>
      <c r="W104">
        <f>HYPERLINK("https://klasma.github.io/Logging_1290/artfynd/A 17023-2025 artfynd.xlsx", "A 17023-2025")</f>
        <v/>
      </c>
      <c r="X104">
        <f>HYPERLINK("https://klasma.github.io/Logging_1290/kartor/A 17023-2025 karta.png", "A 17023-2025")</f>
        <v/>
      </c>
      <c r="Y104">
        <f>HYPERLINK("https://klasma.github.io/Logging_1290/kartor_geotiff/A 17023-2025 georefererad karta.tif", "A 17023-2025")</f>
        <v/>
      </c>
      <c r="AA104">
        <f>HYPERLINK("https://klasma.github.io/Logging_1290/klagomål/A 17023-2025 FSC-klagomål.docx", "A 17023-2025")</f>
        <v/>
      </c>
      <c r="AB104">
        <f>HYPERLINK("https://klasma.github.io/Logging_1290/klagomålsmail/A 17023-2025 FSC-klagomål mail.docx", "A 17023-2025")</f>
        <v/>
      </c>
      <c r="AC104">
        <f>HYPERLINK("https://klasma.github.io/Logging_1290/tillsyn/A 17023-2025 tillsynsbegäran.docx", "A 17023-2025")</f>
        <v/>
      </c>
      <c r="AD104">
        <f>HYPERLINK("https://klasma.github.io/Logging_1290/tillsynsmail/A 17023-2025 tillsynsbegäran mail.docx", "A 17023-2025")</f>
        <v/>
      </c>
    </row>
    <row r="105" ht="15" customHeight="1">
      <c r="A105" t="inlineStr">
        <is>
          <t>A 44582-2022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46270</v>
      </c>
      <c r="F105" t="inlineStr">
        <is>
          <t>SKÅNE LÄN</t>
        </is>
      </c>
      <c r="G105" t="inlineStr">
        <is>
          <t>KRISTIANSTAD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Orangepudrad klotterlav</t>
        </is>
      </c>
      <c r="W105">
        <f>HYPERLINK("https://klasma.github.io/Logging_1290/artfynd/A 44582-2022 artfynd.xlsx", "A 44582-2022")</f>
        <v/>
      </c>
      <c r="X105">
        <f>HYPERLINK("https://klasma.github.io/Logging_1290/kartor/A 44582-2022 karta.png", "A 44582-2022")</f>
        <v/>
      </c>
      <c r="Y105">
        <f>HYPERLINK("https://klasma.github.io/Logging_1290/kartor_geotiff/A 44582-2022 georefererad karta.tif", "A 44582-2022")</f>
        <v/>
      </c>
      <c r="AA105">
        <f>HYPERLINK("https://klasma.github.io/Logging_1290/klagomål/A 44582-2022 FSC-klagomål.docx", "A 44582-2022")</f>
        <v/>
      </c>
      <c r="AB105">
        <f>HYPERLINK("https://klasma.github.io/Logging_1290/klagomålsmail/A 44582-2022 FSC-klagomål mail.docx", "A 44582-2022")</f>
        <v/>
      </c>
      <c r="AC105">
        <f>HYPERLINK("https://klasma.github.io/Logging_1290/tillsyn/A 44582-2022 tillsynsbegäran.docx", "A 44582-2022")</f>
        <v/>
      </c>
      <c r="AD105">
        <f>HYPERLINK("https://klasma.github.io/Logging_1290/tillsynsmail/A 44582-2022 tillsynsbegäran mail.docx", "A 44582-2022")</f>
        <v/>
      </c>
    </row>
    <row r="106" ht="15" customHeight="1">
      <c r="A106" t="inlineStr">
        <is>
          <t>A 52014-2024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46270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Luddfingerört</t>
        </is>
      </c>
      <c r="W106">
        <f>HYPERLINK("https://klasma.github.io/Logging_1290/artfynd/A 52014-2024 artfynd.xlsx", "A 52014-2024")</f>
        <v/>
      </c>
      <c r="X106">
        <f>HYPERLINK("https://klasma.github.io/Logging_1290/kartor/A 52014-2024 karta.png", "A 52014-2024")</f>
        <v/>
      </c>
      <c r="Y106">
        <f>HYPERLINK("https://klasma.github.io/Logging_1290/kartor_geotiff/A 52014-2024 georefererad karta.tif", "A 52014-2024")</f>
        <v/>
      </c>
      <c r="AA106">
        <f>HYPERLINK("https://klasma.github.io/Logging_1290/klagomål/A 52014-2024 FSC-klagomål.docx", "A 52014-2024")</f>
        <v/>
      </c>
      <c r="AB106">
        <f>HYPERLINK("https://klasma.github.io/Logging_1290/klagomålsmail/A 52014-2024 FSC-klagomål mail.docx", "A 52014-2024")</f>
        <v/>
      </c>
      <c r="AC106">
        <f>HYPERLINK("https://klasma.github.io/Logging_1290/tillsyn/A 52014-2024 tillsynsbegäran.docx", "A 52014-2024")</f>
        <v/>
      </c>
      <c r="AD106">
        <f>HYPERLINK("https://klasma.github.io/Logging_1290/tillsynsmail/A 52014-2024 tillsynsbegäran mail.docx", "A 52014-2024")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46270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46270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15706-2025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46270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HYPERLINK("https://klasma.github.io/Logging_1290/artfynd/A 15706-2025 artfynd.xlsx", "A 15706-2025")</f>
        <v/>
      </c>
      <c r="X109">
        <f>HYPERLINK("https://klasma.github.io/Logging_1290/kartor/A 15706-2025 karta.png", "A 15706-2025")</f>
        <v/>
      </c>
      <c r="Y109">
        <f>HYPERLINK("https://klasma.github.io/Logging_1290/kartor_geotiff/A 15706-2025 georefererad karta.tif", "A 15706-2025")</f>
        <v/>
      </c>
      <c r="AA109">
        <f>HYPERLINK("https://klasma.github.io/Logging_1290/klagomål/A 15706-2025 FSC-klagomål.docx", "A 15706-2025")</f>
        <v/>
      </c>
      <c r="AB109">
        <f>HYPERLINK("https://klasma.github.io/Logging_1290/klagomålsmail/A 15706-2025 FSC-klagomål mail.docx", "A 15706-2025")</f>
        <v/>
      </c>
      <c r="AC109">
        <f>HYPERLINK("https://klasma.github.io/Logging_1290/tillsyn/A 15706-2025 tillsynsbegäran.docx", "A 15706-2025")</f>
        <v/>
      </c>
      <c r="AD109">
        <f>HYPERLINK("https://klasma.github.io/Logging_1290/tillsynsmail/A 15706-2025 tillsynsbegäran mail.docx", "A 15706-2025")</f>
        <v/>
      </c>
    </row>
    <row r="110" ht="15" customHeight="1">
      <c r="A110" t="inlineStr">
        <is>
          <t>A 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45328</v>
      </c>
      <c r="E110" s="1" t="n">
        <v>46270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Skogslysing</t>
        </is>
      </c>
      <c r="W110">
        <f>HYPERLINK("https://klasma.github.io/Logging_1290/artfynd/A 4615-2024 artfynd.xlsx", "A 4615-2024")</f>
        <v/>
      </c>
      <c r="X110">
        <f>HYPERLINK("https://klasma.github.io/Logging_1290/kartor/A 4615-2024 karta.png", "A 4615-2024")</f>
        <v/>
      </c>
      <c r="Y110">
        <f>HYPERLINK("https://klasma.github.io/Logging_1290/kartor_geotiff/A 4615-2024 georefererad karta.tif", "A 4615-2024")</f>
        <v/>
      </c>
      <c r="AA110">
        <f>HYPERLINK("https://klasma.github.io/Logging_1290/klagomål/A 4615-2024 FSC-klagomål.docx", "A 4615-2024")</f>
        <v/>
      </c>
      <c r="AB110">
        <f>HYPERLINK("https://klasma.github.io/Logging_1290/klagomålsmail/A 4615-2024 FSC-klagomål mail.docx", "A 4615-2024")</f>
        <v/>
      </c>
      <c r="AC110">
        <f>HYPERLINK("https://klasma.github.io/Logging_1290/tillsyn/A 4615-2024 tillsynsbegäran.docx", "A 4615-2024")</f>
        <v/>
      </c>
      <c r="AD110">
        <f>HYPERLINK("https://klasma.github.io/Logging_1290/tillsynsmail/A 4615-2024 tillsynsbegäran mail.docx", "A 4615-2024")</f>
        <v/>
      </c>
    </row>
    <row r="111" ht="15" customHeight="1">
      <c r="A111" t="inlineStr">
        <is>
          <t>A 30925-2022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44767</v>
      </c>
      <c r="E111" s="1" t="n">
        <v>46270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30925-2022 artfynd.xlsx", "A 30925-2022")</f>
        <v/>
      </c>
      <c r="X111">
        <f>HYPERLINK("https://klasma.github.io/Logging_1290/kartor/A 30925-2022 karta.png", "A 30925-2022")</f>
        <v/>
      </c>
      <c r="Y111">
        <f>HYPERLINK("https://klasma.github.io/Logging_1290/kartor_geotiff/A 30925-2022 georefererad karta.tif", "A 30925-2022")</f>
        <v/>
      </c>
      <c r="AA111">
        <f>HYPERLINK("https://klasma.github.io/Logging_1290/klagomål/A 30925-2022 FSC-klagomål.docx", "A 30925-2022")</f>
        <v/>
      </c>
      <c r="AB111">
        <f>HYPERLINK("https://klasma.github.io/Logging_1290/klagomålsmail/A 30925-2022 FSC-klagomål mail.docx", "A 30925-2022")</f>
        <v/>
      </c>
      <c r="AC111">
        <f>HYPERLINK("https://klasma.github.io/Logging_1290/tillsyn/A 30925-2022 tillsynsbegäran.docx", "A 30925-2022")</f>
        <v/>
      </c>
      <c r="AD111">
        <f>HYPERLINK("https://klasma.github.io/Logging_1290/tillsynsmail/A 30925-2022 tillsynsbegäran mail.docx", "A 30925-2022")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46270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34360-2023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45139</v>
      </c>
      <c r="E113" s="1" t="n">
        <v>46270</v>
      </c>
      <c r="F113" t="inlineStr">
        <is>
          <t>SKÅNE LÄN</t>
        </is>
      </c>
      <c r="G113" t="inlineStr">
        <is>
          <t>KRISTIANSTAD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Småvänderot</t>
        </is>
      </c>
      <c r="W113">
        <f>HYPERLINK("https://klasma.github.io/Logging_1290/artfynd/A 34360-2023 artfynd.xlsx", "A 34360-2023")</f>
        <v/>
      </c>
      <c r="X113">
        <f>HYPERLINK("https://klasma.github.io/Logging_1290/kartor/A 34360-2023 karta.png", "A 34360-2023")</f>
        <v/>
      </c>
      <c r="Y113">
        <f>HYPERLINK("https://klasma.github.io/Logging_1290/kartor_geotiff/A 34360-2023 georefererad karta.tif", "A 34360-2023")</f>
        <v/>
      </c>
      <c r="AA113">
        <f>HYPERLINK("https://klasma.github.io/Logging_1290/klagomål/A 34360-2023 FSC-klagomål.docx", "A 34360-2023")</f>
        <v/>
      </c>
      <c r="AB113">
        <f>HYPERLINK("https://klasma.github.io/Logging_1290/klagomålsmail/A 34360-2023 FSC-klagomål mail.docx", "A 34360-2023")</f>
        <v/>
      </c>
      <c r="AC113">
        <f>HYPERLINK("https://klasma.github.io/Logging_1290/tillsyn/A 34360-2023 tillsynsbegäran.docx", "A 34360-2023")</f>
        <v/>
      </c>
      <c r="AD113">
        <f>HYPERLINK("https://klasma.github.io/Logging_1290/tillsynsmail/A 34360-2023 tillsynsbegäran mail.docx", "A 34360-2023")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46270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46270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16079-2026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46270</v>
      </c>
      <c r="F116" t="inlineStr">
        <is>
          <t>SKÅNE LÄN</t>
        </is>
      </c>
      <c r="G116" t="inlineStr">
        <is>
          <t>KRISTIANSTAD</t>
        </is>
      </c>
      <c r="I116" t="n">
        <v>13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2</v>
      </c>
      <c r="V116" s="2" t="inlineStr">
        <is>
          <t>Småvänderot</t>
        </is>
      </c>
      <c r="W116">
        <f>HYPERLINK("https://klasma.github.io/Logging_1290/artfynd/A 16079-2026 artfynd.xlsx", "A 16079-2026")</f>
        <v/>
      </c>
      <c r="X116">
        <f>HYPERLINK("https://klasma.github.io/Logging_1290/kartor/A 16079-2026 karta.png", "A 16079-2026")</f>
        <v/>
      </c>
      <c r="Y116">
        <f>HYPERLINK("https://klasma.github.io/Logging_1290/kartor_geotiff/A 16079-2026 georefererad karta.tif", "A 16079-2026")</f>
        <v/>
      </c>
      <c r="AA116">
        <f>HYPERLINK("https://klasma.github.io/Logging_1290/klagomål/A 16079-2026 FSC-klagomål.docx", "A 16079-2026")</f>
        <v/>
      </c>
      <c r="AB116">
        <f>HYPERLINK("https://klasma.github.io/Logging_1290/klagomålsmail/A 16079-2026 FSC-klagomål mail.docx", "A 16079-2026")</f>
        <v/>
      </c>
      <c r="AC116">
        <f>HYPERLINK("https://klasma.github.io/Logging_1290/tillsyn/A 16079-2026 tillsynsbegäran.docx", "A 16079-2026")</f>
        <v/>
      </c>
      <c r="AD116">
        <f>HYPERLINK("https://klasma.github.io/Logging_1290/tillsynsmail/A 16079-2026 tillsynsbegäran mail.docx", "A 16079-2026")</f>
        <v/>
      </c>
    </row>
    <row r="117" ht="15" customHeight="1">
      <c r="A117" t="inlineStr">
        <is>
          <t>A 33362-2023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46270</v>
      </c>
      <c r="F117" t="inlineStr">
        <is>
          <t>SKÅNE LÄN</t>
        </is>
      </c>
      <c r="G117" t="inlineStr">
        <is>
          <t>KRISTIANSTAD</t>
        </is>
      </c>
      <c r="I117" t="n">
        <v>4.9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Rostfläck</t>
        </is>
      </c>
      <c r="W117">
        <f>HYPERLINK("https://klasma.github.io/Logging_1290/artfynd/A 33362-2023 artfynd.xlsx", "A 33362-2023")</f>
        <v/>
      </c>
      <c r="X117">
        <f>HYPERLINK("https://klasma.github.io/Logging_1290/kartor/A 33362-2023 karta.png", "A 33362-2023")</f>
        <v/>
      </c>
      <c r="Y117">
        <f>HYPERLINK("https://klasma.github.io/Logging_1290/kartor_geotiff/A 33362-2023 georefererad karta.tif", "A 33362-2023")</f>
        <v/>
      </c>
      <c r="AA117">
        <f>HYPERLINK("https://klasma.github.io/Logging_1290/klagomål/A 33362-2023 FSC-klagomål.docx", "A 33362-2023")</f>
        <v/>
      </c>
      <c r="AB117">
        <f>HYPERLINK("https://klasma.github.io/Logging_1290/klagomålsmail/A 33362-2023 FSC-klagomål mail.docx", "A 33362-2023")</f>
        <v/>
      </c>
      <c r="AC117">
        <f>HYPERLINK("https://klasma.github.io/Logging_1290/tillsyn/A 33362-2023 tillsynsbegäran.docx", "A 33362-2023")</f>
        <v/>
      </c>
      <c r="AD117">
        <f>HYPERLINK("https://klasma.github.io/Logging_1290/tillsynsmail/A 33362-2023 tillsynsbegäran mail.docx", "A 33362-2023")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46270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46270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46270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19704-2026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46270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Desmeknopp</t>
        </is>
      </c>
      <c r="W121">
        <f>HYPERLINK("https://klasma.github.io/Logging_1290/artfynd/A 19704-2026 artfynd.xlsx", "A 19704-2026")</f>
        <v/>
      </c>
      <c r="X121">
        <f>HYPERLINK("https://klasma.github.io/Logging_1290/kartor/A 19704-2026 karta.png", "A 19704-2026")</f>
        <v/>
      </c>
      <c r="Y121">
        <f>HYPERLINK("https://klasma.github.io/Logging_1290/kartor_geotiff/A 19704-2026 georefererad karta.tif", "A 19704-2026")</f>
        <v/>
      </c>
      <c r="AA121">
        <f>HYPERLINK("https://klasma.github.io/Logging_1290/klagomål/A 19704-2026 FSC-klagomål.docx", "A 19704-2026")</f>
        <v/>
      </c>
      <c r="AB121">
        <f>HYPERLINK("https://klasma.github.io/Logging_1290/klagomålsmail/A 19704-2026 FSC-klagomål mail.docx", "A 19704-2026")</f>
        <v/>
      </c>
      <c r="AC121">
        <f>HYPERLINK("https://klasma.github.io/Logging_1290/tillsyn/A 19704-2026 tillsynsbegäran.docx", "A 19704-2026")</f>
        <v/>
      </c>
      <c r="AD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46270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46270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46270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46270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8208-2023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44971</v>
      </c>
      <c r="E126" s="1" t="n">
        <v>46270</v>
      </c>
      <c r="F126" t="inlineStr">
        <is>
          <t>SKÅNE LÄN</t>
        </is>
      </c>
      <c r="G126" t="inlineStr">
        <is>
          <t>KRISTIANSTAD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Flodpärlmussla</t>
        </is>
      </c>
      <c r="W126">
        <f>HYPERLINK("https://klasma.github.io/Logging_1290/artfynd/A 8208-2023 artfynd.xlsx", "A 8208-2023")</f>
        <v/>
      </c>
      <c r="X126">
        <f>HYPERLINK("https://klasma.github.io/Logging_1290/kartor/A 8208-2023 karta.png", "A 8208-2023")</f>
        <v/>
      </c>
      <c r="Y126">
        <f>HYPERLINK("https://klasma.github.io/Logging_1290/kartor_geotiff/A 8208-2023 georefererad karta.tif", "A 8208-2023")</f>
        <v/>
      </c>
      <c r="AA126">
        <f>HYPERLINK("https://klasma.github.io/Logging_1290/klagomål/A 8208-2023 FSC-klagomål.docx", "A 8208-2023")</f>
        <v/>
      </c>
      <c r="AB126">
        <f>HYPERLINK("https://klasma.github.io/Logging_1290/klagomålsmail/A 8208-2023 FSC-klagomål mail.docx", "A 8208-2023")</f>
        <v/>
      </c>
      <c r="AC126">
        <f>HYPERLINK("https://klasma.github.io/Logging_1290/tillsyn/A 8208-2023 tillsynsbegäran.docx", "A 8208-2023")</f>
        <v/>
      </c>
      <c r="AD126">
        <f>HYPERLINK("https://klasma.github.io/Logging_1290/tillsynsmail/A 8208-2023 tillsynsbegäran mail.docx", "A 8208-2023")</f>
        <v/>
      </c>
    </row>
    <row r="127" ht="15" customHeight="1">
      <c r="A127" t="inlineStr">
        <is>
          <t>A 50699-2025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46270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Guldlockmossa</t>
        </is>
      </c>
      <c r="W127">
        <f>HYPERLINK("https://klasma.github.io/Logging_1290/artfynd/A 50699-2025 artfynd.xlsx", "A 50699-2025")</f>
        <v/>
      </c>
      <c r="X127">
        <f>HYPERLINK("https://klasma.github.io/Logging_1290/kartor/A 50699-2025 karta.png", "A 50699-2025")</f>
        <v/>
      </c>
      <c r="Y127">
        <f>HYPERLINK("https://klasma.github.io/Logging_1290/kartor_geotiff/A 50699-2025 georefererad karta.tif", "A 50699-2025")</f>
        <v/>
      </c>
      <c r="AA127">
        <f>HYPERLINK("https://klasma.github.io/Logging_1290/klagomål/A 50699-2025 FSC-klagomål.docx", "A 50699-2025")</f>
        <v/>
      </c>
      <c r="AB127">
        <f>HYPERLINK("https://klasma.github.io/Logging_1290/klagomålsmail/A 50699-2025 FSC-klagomål mail.docx", "A 50699-2025")</f>
        <v/>
      </c>
      <c r="AC127">
        <f>HYPERLINK("https://klasma.github.io/Logging_1290/tillsyn/A 50699-2025 tillsynsbegäran.docx", "A 50699-2025")</f>
        <v/>
      </c>
      <c r="AD127">
        <f>HYPERLINK("https://klasma.github.io/Logging_1290/tillsynsmail/A 50699-2025 tillsynsbegäran mail.docx", "A 50699-2025")</f>
        <v/>
      </c>
    </row>
    <row r="128" ht="15" customHeight="1">
      <c r="A128" t="inlineStr">
        <is>
          <t>A 21835-2026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46270</v>
      </c>
      <c r="F128" t="inlineStr">
        <is>
          <t>SKÅNE LÄN</t>
        </is>
      </c>
      <c r="G128" t="inlineStr">
        <is>
          <t>KRISTIANSTAD</t>
        </is>
      </c>
      <c r="I128" t="n">
        <v>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Skogsbräsma</t>
        </is>
      </c>
      <c r="W128">
        <f>HYPERLINK("https://klasma.github.io/Logging_1290/artfynd/A 21835-2026 artfynd.xlsx", "A 21835-2026")</f>
        <v/>
      </c>
      <c r="X128">
        <f>HYPERLINK("https://klasma.github.io/Logging_1290/kartor/A 21835-2026 karta.png", "A 21835-2026")</f>
        <v/>
      </c>
      <c r="Y128">
        <f>HYPERLINK("https://klasma.github.io/Logging_1290/kartor_geotiff/A 21835-2026 georefererad karta.tif", "A 21835-2026")</f>
        <v/>
      </c>
      <c r="AA128">
        <f>HYPERLINK("https://klasma.github.io/Logging_1290/klagomål/A 21835-2026 FSC-klagomål.docx", "A 21835-2026")</f>
        <v/>
      </c>
      <c r="AB128">
        <f>HYPERLINK("https://klasma.github.io/Logging_1290/klagomålsmail/A 21835-2026 FSC-klagomål mail.docx", "A 21835-2026")</f>
        <v/>
      </c>
      <c r="AC128">
        <f>HYPERLINK("https://klasma.github.io/Logging_1290/tillsyn/A 21835-2026 tillsynsbegäran.docx", "A 21835-2026")</f>
        <v/>
      </c>
      <c r="AD128">
        <f>HYPERLINK("https://klasma.github.io/Logging_1290/tillsynsmail/A 21835-2026 tillsynsbegäran mail.docx", "A 21835-2026")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46270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46270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46270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46270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46270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46270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46270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46270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46270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46270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46270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46270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46270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46270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46270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46270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46270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46270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46270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46270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46270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46270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46270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46270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46270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46270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46270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46270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46270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46270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46270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46270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46270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46270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46270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46270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46270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46270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46270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46270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46270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46270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46270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46270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46270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46270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46270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46270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46270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46270</v>
      </c>
      <c r="F178" t="inlineStr">
        <is>
          <t>SKÅNE LÄN</t>
        </is>
      </c>
      <c r="G178" t="inlineStr">
        <is>
          <t>KRISTIANSTAD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46270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46270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46270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46270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48173-2021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44449</v>
      </c>
      <c r="E183" s="1" t="n">
        <v>46270</v>
      </c>
      <c r="F183" t="inlineStr">
        <is>
          <t>SKÅNE LÄN</t>
        </is>
      </c>
      <c r="G183" t="inlineStr">
        <is>
          <t>KRISTIANSTAD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46270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46270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46270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28853-2022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46270</v>
      </c>
      <c r="F187" t="inlineStr">
        <is>
          <t>SKÅNE LÄN</t>
        </is>
      </c>
      <c r="G187" t="inlineStr">
        <is>
          <t>KRISTIANSTAD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44518</v>
      </c>
      <c r="E188" s="1" t="n">
        <v>46270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46270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46270</v>
      </c>
      <c r="F190" t="inlineStr">
        <is>
          <t>SKÅNE LÄN</t>
        </is>
      </c>
      <c r="G190" t="inlineStr">
        <is>
          <t>KRISTIANSTAD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46270</v>
      </c>
      <c r="F191" t="inlineStr">
        <is>
          <t>SKÅNE LÄN</t>
        </is>
      </c>
      <c r="G191" t="inlineStr">
        <is>
          <t>KRISTIANSTAD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46270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46270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46270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46270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45416</v>
      </c>
      <c r="E196" s="1" t="n">
        <v>46270</v>
      </c>
      <c r="F196" t="inlineStr">
        <is>
          <t>SKÅNE LÄN</t>
        </is>
      </c>
      <c r="G196" t="inlineStr">
        <is>
          <t>KRISTIANSTAD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46270</v>
      </c>
      <c r="F197" t="inlineStr">
        <is>
          <t>SKÅNE LÄN</t>
        </is>
      </c>
      <c r="G197" t="inlineStr">
        <is>
          <t>KRISTIANSTAD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46270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46270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46270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46270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46270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46270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46270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46270</v>
      </c>
      <c r="F205" t="inlineStr">
        <is>
          <t>SKÅNE LÄN</t>
        </is>
      </c>
      <c r="G205" t="inlineStr">
        <is>
          <t>KRISTIANSTAD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46270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46270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44824</v>
      </c>
      <c r="E208" s="1" t="n">
        <v>46270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46270</v>
      </c>
      <c r="F209" t="inlineStr">
        <is>
          <t>SKÅNE LÄN</t>
        </is>
      </c>
      <c r="G209" t="inlineStr">
        <is>
          <t>KRISTIANSTAD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46270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46270</v>
      </c>
      <c r="F211" t="inlineStr">
        <is>
          <t>SKÅNE LÄN</t>
        </is>
      </c>
      <c r="G211" t="inlineStr">
        <is>
          <t>KRISTIANSTAD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46270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44744</v>
      </c>
      <c r="E213" s="1" t="n">
        <v>46270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45577</v>
      </c>
      <c r="E214" s="1" t="n">
        <v>46270</v>
      </c>
      <c r="F214" t="inlineStr">
        <is>
          <t>SKÅNE LÄN</t>
        </is>
      </c>
      <c r="G214" t="inlineStr">
        <is>
          <t>KRISTIANSTAD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46270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46270</v>
      </c>
      <c r="F216" t="inlineStr">
        <is>
          <t>SKÅNE LÄN</t>
        </is>
      </c>
      <c r="G216" t="inlineStr">
        <is>
          <t>KRISTIANSTAD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46270</v>
      </c>
      <c r="F217" t="inlineStr">
        <is>
          <t>SKÅNE LÄN</t>
        </is>
      </c>
      <c r="G217" t="inlineStr">
        <is>
          <t>KRISTIANSTAD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46270</v>
      </c>
      <c r="F218" t="inlineStr">
        <is>
          <t>SKÅNE LÄN</t>
        </is>
      </c>
      <c r="G218" t="inlineStr">
        <is>
          <t>KRISTIANSTAD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46270</v>
      </c>
      <c r="F219" t="inlineStr">
        <is>
          <t>SKÅNE LÄN</t>
        </is>
      </c>
      <c r="G219" t="inlineStr">
        <is>
          <t>KRISTIANSTAD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33592-2023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45132</v>
      </c>
      <c r="E220" s="1" t="n">
        <v>46270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46270</v>
      </c>
      <c r="F221" t="inlineStr">
        <is>
          <t>SKÅNE LÄN</t>
        </is>
      </c>
      <c r="G221" t="inlineStr">
        <is>
          <t>KRISTIANSTAD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46270</v>
      </c>
      <c r="F222" t="inlineStr">
        <is>
          <t>SKÅNE LÄN</t>
        </is>
      </c>
      <c r="G222" t="inlineStr">
        <is>
          <t>KRISTIANSTAD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46270</v>
      </c>
      <c r="F223" t="inlineStr">
        <is>
          <t>SKÅNE LÄN</t>
        </is>
      </c>
      <c r="G223" t="inlineStr">
        <is>
          <t>KRISTIANSTAD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46270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46270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46270</v>
      </c>
      <c r="F226" t="inlineStr">
        <is>
          <t>SKÅNE LÄN</t>
        </is>
      </c>
      <c r="G226" t="inlineStr">
        <is>
          <t>KRISTIANSTAD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46270</v>
      </c>
      <c r="F227" t="inlineStr">
        <is>
          <t>SKÅNE LÄN</t>
        </is>
      </c>
      <c r="G227" t="inlineStr">
        <is>
          <t>KRISTIANSTAD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46270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46270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44961</v>
      </c>
      <c r="E230" s="1" t="n">
        <v>46270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46270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46270</v>
      </c>
      <c r="F232" t="inlineStr">
        <is>
          <t>SKÅNE LÄN</t>
        </is>
      </c>
      <c r="G232" t="inlineStr">
        <is>
          <t>KRISTIANSTAD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46270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45465</v>
      </c>
      <c r="E234" s="1" t="n">
        <v>46270</v>
      </c>
      <c r="F234" t="inlineStr">
        <is>
          <t>SKÅNE LÄN</t>
        </is>
      </c>
      <c r="G234" t="inlineStr">
        <is>
          <t>KRISTIANSTAD</t>
        </is>
      </c>
      <c r="I234" t="n">
        <v>16.6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46270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46270</v>
      </c>
      <c r="F236" t="inlineStr">
        <is>
          <t>SKÅNE LÄN</t>
        </is>
      </c>
      <c r="G236" t="inlineStr">
        <is>
          <t>KRISTIANSTAD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46270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46270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25671-2023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45089</v>
      </c>
      <c r="E239" s="1" t="n">
        <v>46270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46270</v>
      </c>
      <c r="F240" t="inlineStr">
        <is>
          <t>SKÅNE LÄN</t>
        </is>
      </c>
      <c r="G240" t="inlineStr">
        <is>
          <t>KRISTIANSTAD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46270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46270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46270</v>
      </c>
      <c r="F243" t="inlineStr">
        <is>
          <t>SKÅNE LÄN</t>
        </is>
      </c>
      <c r="G243" t="inlineStr">
        <is>
          <t>KRISTIANSTAD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46270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46270</v>
      </c>
      <c r="F245" t="inlineStr">
        <is>
          <t>SKÅNE LÄN</t>
        </is>
      </c>
      <c r="G245" t="inlineStr">
        <is>
          <t>KRISTIANSTAD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46270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46270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46270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46270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46270</v>
      </c>
      <c r="F250" t="inlineStr">
        <is>
          <t>SKÅNE LÄN</t>
        </is>
      </c>
      <c r="G250" t="inlineStr">
        <is>
          <t>KRISTIANSTAD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45648</v>
      </c>
      <c r="E251" s="1" t="n">
        <v>46270</v>
      </c>
      <c r="F251" t="inlineStr">
        <is>
          <t>SKÅNE LÄN</t>
        </is>
      </c>
      <c r="G251" t="inlineStr">
        <is>
          <t>KRISTIANSTAD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46270</v>
      </c>
      <c r="F252" t="inlineStr">
        <is>
          <t>SKÅNE LÄN</t>
        </is>
      </c>
      <c r="G252" t="inlineStr">
        <is>
          <t>KRISTIANSTAD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46270</v>
      </c>
      <c r="F253" t="inlineStr">
        <is>
          <t>SKÅNE LÄN</t>
        </is>
      </c>
      <c r="G253" t="inlineStr">
        <is>
          <t>KRISTIANSTAD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46270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45233</v>
      </c>
      <c r="E255" s="1" t="n">
        <v>46270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46270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46270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46270</v>
      </c>
      <c r="F258" t="inlineStr">
        <is>
          <t>SKÅNE LÄN</t>
        </is>
      </c>
      <c r="G258" t="inlineStr">
        <is>
          <t>KRISTIANSTAD</t>
        </is>
      </c>
      <c r="I258" t="n">
        <v>18.8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46270</v>
      </c>
      <c r="F259" t="inlineStr">
        <is>
          <t>SKÅNE LÄN</t>
        </is>
      </c>
      <c r="G259" t="inlineStr">
        <is>
          <t>KRISTIANSTAD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46270</v>
      </c>
      <c r="F260" t="inlineStr">
        <is>
          <t>SKÅNE LÄN</t>
        </is>
      </c>
      <c r="G260" t="inlineStr">
        <is>
          <t>KRISTIANSTAD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46270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46270</v>
      </c>
      <c r="F262" t="inlineStr">
        <is>
          <t>SKÅNE LÄN</t>
        </is>
      </c>
      <c r="G262" t="inlineStr">
        <is>
          <t>KRISTIANSTAD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45804</v>
      </c>
      <c r="E263" s="1" t="n">
        <v>46270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58175-2021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46270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46270</v>
      </c>
      <c r="F265" t="inlineStr">
        <is>
          <t>SKÅNE LÄN</t>
        </is>
      </c>
      <c r="G265" t="inlineStr">
        <is>
          <t>KRISTIANSTAD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46270</v>
      </c>
      <c r="F266" t="inlineStr">
        <is>
          <t>SKÅNE LÄN</t>
        </is>
      </c>
      <c r="G266" t="inlineStr">
        <is>
          <t>KRISTIANSTAD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46270</v>
      </c>
      <c r="F267" t="inlineStr">
        <is>
          <t>SKÅNE LÄN</t>
        </is>
      </c>
      <c r="G267" t="inlineStr">
        <is>
          <t>KRISTIANSTAD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46270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45396</v>
      </c>
      <c r="E269" s="1" t="n">
        <v>46270</v>
      </c>
      <c r="F269" t="inlineStr">
        <is>
          <t>SKÅNE LÄN</t>
        </is>
      </c>
      <c r="G269" t="inlineStr">
        <is>
          <t>KRISTIANSTAD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46270</v>
      </c>
      <c r="F270" t="inlineStr">
        <is>
          <t>SKÅNE LÄN</t>
        </is>
      </c>
      <c r="G270" t="inlineStr">
        <is>
          <t>KRISTIANSTAD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46270</v>
      </c>
      <c r="F271" t="inlineStr">
        <is>
          <t>SKÅNE LÄN</t>
        </is>
      </c>
      <c r="G271" t="inlineStr">
        <is>
          <t>KRISTIANSTAD</t>
        </is>
      </c>
      <c r="I271" t="n">
        <v>9.5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46270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46270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46270</v>
      </c>
      <c r="F274" t="inlineStr">
        <is>
          <t>SKÅNE LÄN</t>
        </is>
      </c>
      <c r="G274" t="inlineStr">
        <is>
          <t>KRISTIANSTAD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46270</v>
      </c>
      <c r="F275" t="inlineStr">
        <is>
          <t>SKÅNE LÄN</t>
        </is>
      </c>
      <c r="G275" t="inlineStr">
        <is>
          <t>KRISTIANSTAD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70705-2021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44537</v>
      </c>
      <c r="E276" s="1" t="n">
        <v>46270</v>
      </c>
      <c r="F276" t="inlineStr">
        <is>
          <t>SKÅNE LÄN</t>
        </is>
      </c>
      <c r="G276" t="inlineStr">
        <is>
          <t>KRISTIANSTAD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46270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45420</v>
      </c>
      <c r="E278" s="1" t="n">
        <v>46270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46270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44627</v>
      </c>
      <c r="E280" s="1" t="n">
        <v>46270</v>
      </c>
      <c r="F280" t="inlineStr">
        <is>
          <t>SKÅNE LÄN</t>
        </is>
      </c>
      <c r="G280" t="inlineStr">
        <is>
          <t>KRISTIANSTAD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46270</v>
      </c>
      <c r="F281" t="inlineStr">
        <is>
          <t>SKÅNE LÄN</t>
        </is>
      </c>
      <c r="G281" t="inlineStr">
        <is>
          <t>KRISTIANSTAD</t>
        </is>
      </c>
      <c r="H281" t="inlineStr">
        <is>
          <t>Övriga Aktiebolag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46270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45229</v>
      </c>
      <c r="E283" s="1" t="n">
        <v>46270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46270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46270</v>
      </c>
      <c r="F285" t="inlineStr">
        <is>
          <t>SKÅNE LÄN</t>
        </is>
      </c>
      <c r="G285" t="inlineStr">
        <is>
          <t>KRISTIANSTAD</t>
        </is>
      </c>
      <c r="I285" t="n">
        <v>12.8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45326</v>
      </c>
      <c r="E286" s="1" t="n">
        <v>46270</v>
      </c>
      <c r="F286" t="inlineStr">
        <is>
          <t>SKÅNE LÄN</t>
        </is>
      </c>
      <c r="G286" t="inlineStr">
        <is>
          <t>KRISTIANSTAD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45496</v>
      </c>
      <c r="E287" s="1" t="n">
        <v>46270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46270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46270</v>
      </c>
      <c r="F289" t="inlineStr">
        <is>
          <t>SKÅNE LÄN</t>
        </is>
      </c>
      <c r="G289" t="inlineStr">
        <is>
          <t>KRISTIANSTAD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46270</v>
      </c>
      <c r="F290" t="inlineStr">
        <is>
          <t>SKÅNE LÄN</t>
        </is>
      </c>
      <c r="G290" t="inlineStr">
        <is>
          <t>KRISTIANSTAD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46270</v>
      </c>
      <c r="F291" t="inlineStr">
        <is>
          <t>SKÅNE LÄN</t>
        </is>
      </c>
      <c r="G291" t="inlineStr">
        <is>
          <t>KRISTIANSTAD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46270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44513</v>
      </c>
      <c r="E293" s="1" t="n">
        <v>46270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44984</v>
      </c>
      <c r="E294" s="1" t="n">
        <v>46270</v>
      </c>
      <c r="F294" t="inlineStr">
        <is>
          <t>SKÅNE LÄN</t>
        </is>
      </c>
      <c r="G294" t="inlineStr">
        <is>
          <t>KRISTIANSTAD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46270</v>
      </c>
      <c r="F295" t="inlineStr">
        <is>
          <t>SKÅNE LÄN</t>
        </is>
      </c>
      <c r="G295" t="inlineStr">
        <is>
          <t>KRISTIANSTAD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46270</v>
      </c>
      <c r="F296" t="inlineStr">
        <is>
          <t>SKÅNE LÄN</t>
        </is>
      </c>
      <c r="G296" t="inlineStr">
        <is>
          <t>KRISTIANSTAD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33984-2025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45843</v>
      </c>
      <c r="E297" s="1" t="n">
        <v>46270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46270</v>
      </c>
      <c r="F298" t="inlineStr">
        <is>
          <t>SKÅNE LÄN</t>
        </is>
      </c>
      <c r="G298" t="inlineStr">
        <is>
          <t>KRISTIANSTAD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46270</v>
      </c>
      <c r="F299" t="inlineStr">
        <is>
          <t>SKÅNE LÄN</t>
        </is>
      </c>
      <c r="G299" t="inlineStr">
        <is>
          <t>KRISTIANSTAD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46270</v>
      </c>
      <c r="F300" t="inlineStr">
        <is>
          <t>SKÅNE LÄN</t>
        </is>
      </c>
      <c r="G300" t="inlineStr">
        <is>
          <t>KRISTIANSTAD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46270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46270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46270</v>
      </c>
      <c r="F303" t="inlineStr">
        <is>
          <t>SKÅNE LÄN</t>
        </is>
      </c>
      <c r="G303" t="inlineStr">
        <is>
          <t>KRISTIANSTAD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45577</v>
      </c>
      <c r="E304" s="1" t="n">
        <v>46270</v>
      </c>
      <c r="F304" t="inlineStr">
        <is>
          <t>SKÅNE LÄN</t>
        </is>
      </c>
      <c r="G304" t="inlineStr">
        <is>
          <t>KRISTIANSTAD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46270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46270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46270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46270</v>
      </c>
      <c r="F308" t="inlineStr">
        <is>
          <t>SKÅNE LÄN</t>
        </is>
      </c>
      <c r="G308" t="inlineStr">
        <is>
          <t>KRISTIANSTAD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46270</v>
      </c>
      <c r="F309" t="inlineStr">
        <is>
          <t>SKÅNE LÄN</t>
        </is>
      </c>
      <c r="G309" t="inlineStr">
        <is>
          <t>KRISTIANSTAD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46270</v>
      </c>
      <c r="F310" t="inlineStr">
        <is>
          <t>SKÅNE LÄN</t>
        </is>
      </c>
      <c r="G310" t="inlineStr">
        <is>
          <t>KRISTIANSTAD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46270</v>
      </c>
      <c r="F311" t="inlineStr">
        <is>
          <t>SKÅNE LÄN</t>
        </is>
      </c>
      <c r="G311" t="inlineStr">
        <is>
          <t>KRISTIANSTAD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45323</v>
      </c>
      <c r="E312" s="1" t="n">
        <v>46270</v>
      </c>
      <c r="F312" t="inlineStr">
        <is>
          <t>SKÅNE LÄN</t>
        </is>
      </c>
      <c r="G312" t="inlineStr">
        <is>
          <t>KRISTIANSTAD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46270</v>
      </c>
      <c r="F313" t="inlineStr">
        <is>
          <t>SKÅNE LÄN</t>
        </is>
      </c>
      <c r="G313" t="inlineStr">
        <is>
          <t>KRISTIANSTAD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46270</v>
      </c>
      <c r="F314" t="inlineStr">
        <is>
          <t>SKÅNE LÄN</t>
        </is>
      </c>
      <c r="G314" t="inlineStr">
        <is>
          <t>KRISTIANSTAD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46270</v>
      </c>
      <c r="F315" t="inlineStr">
        <is>
          <t>SKÅNE LÄN</t>
        </is>
      </c>
      <c r="G315" t="inlineStr">
        <is>
          <t>KRISTIANSTAD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46270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31105-2025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45832</v>
      </c>
      <c r="E317" s="1" t="n">
        <v>46270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46270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46270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46270</v>
      </c>
      <c r="F320" t="inlineStr">
        <is>
          <t>SKÅNE LÄN</t>
        </is>
      </c>
      <c r="G320" t="inlineStr">
        <is>
          <t>KRISTIANSTAD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46270</v>
      </c>
      <c r="F321" t="inlineStr">
        <is>
          <t>SKÅNE LÄN</t>
        </is>
      </c>
      <c r="G321" t="inlineStr">
        <is>
          <t>KRISTIANSTAD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46270</v>
      </c>
      <c r="F322" t="inlineStr">
        <is>
          <t>SKÅNE LÄN</t>
        </is>
      </c>
      <c r="G322" t="inlineStr">
        <is>
          <t>KRISTIANSTAD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46270</v>
      </c>
      <c r="F323" t="inlineStr">
        <is>
          <t>SKÅNE LÄN</t>
        </is>
      </c>
      <c r="G323" t="inlineStr">
        <is>
          <t>KRISTIANSTAD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46270</v>
      </c>
      <c r="F324" t="inlineStr">
        <is>
          <t>SKÅNE LÄN</t>
        </is>
      </c>
      <c r="G324" t="inlineStr">
        <is>
          <t>KRISTIANSTAD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46270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46270</v>
      </c>
      <c r="F326" t="inlineStr">
        <is>
          <t>SKÅNE LÄN</t>
        </is>
      </c>
      <c r="G326" t="inlineStr">
        <is>
          <t>KRISTIANSTAD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46270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45477</v>
      </c>
      <c r="E328" s="1" t="n">
        <v>46270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46270</v>
      </c>
      <c r="F329" t="inlineStr">
        <is>
          <t>SKÅNE LÄN</t>
        </is>
      </c>
      <c r="G329" t="inlineStr">
        <is>
          <t>KRISTIANSTAD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46270</v>
      </c>
      <c r="F330" t="inlineStr">
        <is>
          <t>SKÅNE LÄN</t>
        </is>
      </c>
      <c r="G330" t="inlineStr">
        <is>
          <t>KRISTIANSTAD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45321</v>
      </c>
      <c r="E331" s="1" t="n">
        <v>46270</v>
      </c>
      <c r="F331" t="inlineStr">
        <is>
          <t>SKÅNE LÄN</t>
        </is>
      </c>
      <c r="G331" t="inlineStr">
        <is>
          <t>KRISTIANSTAD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46270</v>
      </c>
      <c r="F332" t="inlineStr">
        <is>
          <t>SKÅNE LÄN</t>
        </is>
      </c>
      <c r="G332" t="inlineStr">
        <is>
          <t>KRISTIANSTAD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46270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45736</v>
      </c>
      <c r="E334" s="1" t="n">
        <v>46270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46270</v>
      </c>
      <c r="F335" t="inlineStr">
        <is>
          <t>SKÅNE LÄN</t>
        </is>
      </c>
      <c r="G335" t="inlineStr">
        <is>
          <t>KRISTIANSTAD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45014</v>
      </c>
      <c r="E336" s="1" t="n">
        <v>46270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46270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46270</v>
      </c>
      <c r="F338" t="inlineStr">
        <is>
          <t>SKÅNE LÄN</t>
        </is>
      </c>
      <c r="G338" t="inlineStr">
        <is>
          <t>KRISTIANSTAD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46270</v>
      </c>
      <c r="F339" t="inlineStr">
        <is>
          <t>SKÅNE LÄN</t>
        </is>
      </c>
      <c r="G339" t="inlineStr">
        <is>
          <t>KRISTIANSTAD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24947-2023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45085</v>
      </c>
      <c r="E340" s="1" t="n">
        <v>46270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46270</v>
      </c>
      <c r="F341" t="inlineStr">
        <is>
          <t>SKÅNE LÄN</t>
        </is>
      </c>
      <c r="G341" t="inlineStr">
        <is>
          <t>KRISTIANSTAD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46270</v>
      </c>
      <c r="F342" t="inlineStr">
        <is>
          <t>SKÅNE LÄN</t>
        </is>
      </c>
      <c r="G342" t="inlineStr">
        <is>
          <t>KRISTIANSTAD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46270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46270</v>
      </c>
      <c r="F344" t="inlineStr">
        <is>
          <t>SKÅNE LÄN</t>
        </is>
      </c>
      <c r="G344" t="inlineStr">
        <is>
          <t>KRISTIANSTAD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44587</v>
      </c>
      <c r="E345" s="1" t="n">
        <v>46270</v>
      </c>
      <c r="F345" t="inlineStr">
        <is>
          <t>SKÅNE LÄN</t>
        </is>
      </c>
      <c r="G345" t="inlineStr">
        <is>
          <t>KRISTIANSTAD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45069</v>
      </c>
      <c r="E346" s="1" t="n">
        <v>46270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46270</v>
      </c>
      <c r="F347" t="inlineStr">
        <is>
          <t>SKÅNE LÄN</t>
        </is>
      </c>
      <c r="G347" t="inlineStr">
        <is>
          <t>KRISTIANSTAD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46270</v>
      </c>
      <c r="F348" t="inlineStr">
        <is>
          <t>SKÅNE LÄN</t>
        </is>
      </c>
      <c r="G348" t="inlineStr">
        <is>
          <t>KRISTIANSTAD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46270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46270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10062-2024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45364</v>
      </c>
      <c r="E351" s="1" t="n">
        <v>46270</v>
      </c>
      <c r="F351" t="inlineStr">
        <is>
          <t>SKÅNE LÄN</t>
        </is>
      </c>
      <c r="G351" t="inlineStr">
        <is>
          <t>KRISTIANSTAD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45933</v>
      </c>
      <c r="E352" s="1" t="n">
        <v>46270</v>
      </c>
      <c r="F352" t="inlineStr">
        <is>
          <t>SKÅNE LÄN</t>
        </is>
      </c>
      <c r="G352" t="inlineStr">
        <is>
          <t>KRISTIANSTAD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43966-2025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45915</v>
      </c>
      <c r="E353" s="1" t="n">
        <v>46270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44774</v>
      </c>
      <c r="E354" s="1" t="n">
        <v>46270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46270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46270</v>
      </c>
      <c r="F356" t="inlineStr">
        <is>
          <t>SKÅNE LÄN</t>
        </is>
      </c>
      <c r="G356" t="inlineStr">
        <is>
          <t>KRISTIANSTAD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46270</v>
      </c>
      <c r="F357" t="inlineStr">
        <is>
          <t>SKÅNE LÄN</t>
        </is>
      </c>
      <c r="G357" t="inlineStr">
        <is>
          <t>KRISTIANSTAD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46270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46270</v>
      </c>
      <c r="F359" t="inlineStr">
        <is>
          <t>SKÅNE LÄN</t>
        </is>
      </c>
      <c r="G359" t="inlineStr">
        <is>
          <t>KRISTIANSTAD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46270</v>
      </c>
      <c r="F360" t="inlineStr">
        <is>
          <t>SKÅNE LÄN</t>
        </is>
      </c>
      <c r="G360" t="inlineStr">
        <is>
          <t>KRISTIANSTAD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46270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46270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46270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46270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46270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46270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46031</v>
      </c>
      <c r="E367" s="1" t="n">
        <v>46270</v>
      </c>
      <c r="F367" t="inlineStr">
        <is>
          <t>SKÅNE LÄN</t>
        </is>
      </c>
      <c r="G367" t="inlineStr">
        <is>
          <t>KRISTIANSTAD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46270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46270</v>
      </c>
      <c r="F369" t="inlineStr">
        <is>
          <t>SKÅNE LÄN</t>
        </is>
      </c>
      <c r="G369" t="inlineStr">
        <is>
          <t>KRISTIANSTAD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46270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46270</v>
      </c>
      <c r="F371" t="inlineStr">
        <is>
          <t>SKÅNE LÄN</t>
        </is>
      </c>
      <c r="G371" t="inlineStr">
        <is>
          <t>KRISTIANSTAD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46270</v>
      </c>
      <c r="F372" t="inlineStr">
        <is>
          <t>SKÅNE LÄN</t>
        </is>
      </c>
      <c r="G372" t="inlineStr">
        <is>
          <t>KRISTIANSTAD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46270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46270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46270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46270</v>
      </c>
      <c r="F376" t="inlineStr">
        <is>
          <t>SKÅNE LÄN</t>
        </is>
      </c>
      <c r="G376" t="inlineStr">
        <is>
          <t>KRISTIANSTAD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45583</v>
      </c>
      <c r="E377" s="1" t="n">
        <v>46270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44847</v>
      </c>
      <c r="E378" s="1" t="n">
        <v>46270</v>
      </c>
      <c r="F378" t="inlineStr">
        <is>
          <t>SKÅNE LÄN</t>
        </is>
      </c>
      <c r="G378" t="inlineStr">
        <is>
          <t>KRISTIANSTAD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46270</v>
      </c>
      <c r="F379" t="inlineStr">
        <is>
          <t>SKÅNE LÄN</t>
        </is>
      </c>
      <c r="G379" t="inlineStr">
        <is>
          <t>KRISTIANSTAD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46270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46270</v>
      </c>
      <c r="F381" t="inlineStr">
        <is>
          <t>SKÅNE LÄN</t>
        </is>
      </c>
      <c r="G381" t="inlineStr">
        <is>
          <t>KRISTIANSTAD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64626-2023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46270</v>
      </c>
      <c r="F382" t="inlineStr">
        <is>
          <t>SKÅNE LÄN</t>
        </is>
      </c>
      <c r="G382" t="inlineStr">
        <is>
          <t>KRISTIANSTAD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46270</v>
      </c>
      <c r="F383" t="inlineStr">
        <is>
          <t>SKÅNE LÄN</t>
        </is>
      </c>
      <c r="G383" t="inlineStr">
        <is>
          <t>KRISTIANSTAD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46270</v>
      </c>
      <c r="F384" t="inlineStr">
        <is>
          <t>SKÅNE LÄN</t>
        </is>
      </c>
      <c r="G384" t="inlineStr">
        <is>
          <t>KRISTIANSTAD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46270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46270</v>
      </c>
      <c r="F386" t="inlineStr">
        <is>
          <t>SKÅNE LÄN</t>
        </is>
      </c>
      <c r="G386" t="inlineStr">
        <is>
          <t>KRISTIANSTAD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46270</v>
      </c>
      <c r="F387" t="inlineStr">
        <is>
          <t>SKÅNE LÄN</t>
        </is>
      </c>
      <c r="G387" t="inlineStr">
        <is>
          <t>KRISTIANSTAD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46270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46270</v>
      </c>
      <c r="F389" t="inlineStr">
        <is>
          <t>SKÅNE LÄN</t>
        </is>
      </c>
      <c r="G389" t="inlineStr">
        <is>
          <t>KRISTIANSTAD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46270</v>
      </c>
      <c r="F390" t="inlineStr">
        <is>
          <t>SKÅNE LÄN</t>
        </is>
      </c>
      <c r="G390" t="inlineStr">
        <is>
          <t>KRISTIANSTAD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46270</v>
      </c>
      <c r="F391" t="inlineStr">
        <is>
          <t>SKÅNE LÄN</t>
        </is>
      </c>
      <c r="G391" t="inlineStr">
        <is>
          <t>KRISTIANSTAD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46270</v>
      </c>
      <c r="F392" t="inlineStr">
        <is>
          <t>SKÅNE LÄN</t>
        </is>
      </c>
      <c r="G392" t="inlineStr">
        <is>
          <t>KRISTIANSTAD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44713</v>
      </c>
      <c r="E393" s="1" t="n">
        <v>46270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45607</v>
      </c>
      <c r="E394" s="1" t="n">
        <v>46270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46270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46270</v>
      </c>
      <c r="F396" t="inlineStr">
        <is>
          <t>SKÅNE LÄN</t>
        </is>
      </c>
      <c r="G396" t="inlineStr">
        <is>
          <t>KRISTIANSTAD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46270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19.8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45558</v>
      </c>
      <c r="E398" s="1" t="n">
        <v>46270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46270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46270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46270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46270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45954</v>
      </c>
      <c r="E403" s="1" t="n">
        <v>46270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46270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45226</v>
      </c>
      <c r="E405" s="1" t="n">
        <v>46270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46270</v>
      </c>
      <c r="F406" t="inlineStr">
        <is>
          <t>SKÅNE LÄN</t>
        </is>
      </c>
      <c r="G406" t="inlineStr">
        <is>
          <t>KRISTIANSTAD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45668</v>
      </c>
      <c r="E407" s="1" t="n">
        <v>46270</v>
      </c>
      <c r="F407" t="inlineStr">
        <is>
          <t>SKÅNE LÄN</t>
        </is>
      </c>
      <c r="G407" t="inlineStr">
        <is>
          <t>KRISTIANSTAD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46270</v>
      </c>
      <c r="F408" t="inlineStr">
        <is>
          <t>SKÅNE LÄN</t>
        </is>
      </c>
      <c r="G408" t="inlineStr">
        <is>
          <t>KRISTIANSTAD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46270</v>
      </c>
      <c r="F409" t="inlineStr">
        <is>
          <t>SKÅNE LÄN</t>
        </is>
      </c>
      <c r="G409" t="inlineStr">
        <is>
          <t>KRISTIANSTAD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46270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46270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46270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46270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46270</v>
      </c>
      <c r="F414" t="inlineStr">
        <is>
          <t>SKÅNE LÄN</t>
        </is>
      </c>
      <c r="G414" t="inlineStr">
        <is>
          <t>KRISTIANSTAD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46270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46270</v>
      </c>
      <c r="F416" t="inlineStr">
        <is>
          <t>SKÅNE LÄN</t>
        </is>
      </c>
      <c r="G416" t="inlineStr">
        <is>
          <t>KRISTIANSTAD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44595</v>
      </c>
      <c r="E417" s="1" t="n">
        <v>46270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45470</v>
      </c>
      <c r="E418" s="1" t="n">
        <v>46270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46270</v>
      </c>
      <c r="F419" t="inlineStr">
        <is>
          <t>SKÅNE LÄN</t>
        </is>
      </c>
      <c r="G419" t="inlineStr">
        <is>
          <t>KRISTIANSTAD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45027</v>
      </c>
      <c r="E420" s="1" t="n">
        <v>46270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45144</v>
      </c>
      <c r="E421" s="1" t="n">
        <v>46270</v>
      </c>
      <c r="F421" t="inlineStr">
        <is>
          <t>SKÅNE LÄN</t>
        </is>
      </c>
      <c r="G421" t="inlineStr">
        <is>
          <t>KRISTIANSTAD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45144</v>
      </c>
      <c r="E422" s="1" t="n">
        <v>46270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45331</v>
      </c>
      <c r="E423" s="1" t="n">
        <v>46270</v>
      </c>
      <c r="F423" t="inlineStr">
        <is>
          <t>SKÅNE LÄN</t>
        </is>
      </c>
      <c r="G423" t="inlineStr">
        <is>
          <t>KRISTIANSTAD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46270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46270</v>
      </c>
      <c r="F425" t="inlineStr">
        <is>
          <t>SKÅNE LÄN</t>
        </is>
      </c>
      <c r="G425" t="inlineStr">
        <is>
          <t>KRISTIANSTAD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46270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46270</v>
      </c>
      <c r="F427" t="inlineStr">
        <is>
          <t>SKÅNE LÄN</t>
        </is>
      </c>
      <c r="G427" t="inlineStr">
        <is>
          <t>KRISTIANSTAD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46270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46270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45972</v>
      </c>
      <c r="E430" s="1" t="n">
        <v>46270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46270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38021-2023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45159</v>
      </c>
      <c r="E432" s="1" t="n">
        <v>46270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45355</v>
      </c>
      <c r="E433" s="1" t="n">
        <v>46270</v>
      </c>
      <c r="F433" t="inlineStr">
        <is>
          <t>SKÅNE LÄN</t>
        </is>
      </c>
      <c r="G433" t="inlineStr">
        <is>
          <t>KRISTIANSTAD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46270</v>
      </c>
      <c r="F434" t="inlineStr">
        <is>
          <t>SKÅNE LÄN</t>
        </is>
      </c>
      <c r="G434" t="inlineStr">
        <is>
          <t>KRISTIANSTAD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46270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47652-2023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45198</v>
      </c>
      <c r="E436" s="1" t="n">
        <v>46270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72100-2021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44544</v>
      </c>
      <c r="E437" s="1" t="n">
        <v>46270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45511</v>
      </c>
      <c r="E438" s="1" t="n">
        <v>46270</v>
      </c>
      <c r="F438" t="inlineStr">
        <is>
          <t>SKÅNE LÄN</t>
        </is>
      </c>
      <c r="G438" t="inlineStr">
        <is>
          <t>KRISTIANSTAD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46270</v>
      </c>
      <c r="F439" t="inlineStr">
        <is>
          <t>SKÅNE LÄN</t>
        </is>
      </c>
      <c r="G439" t="inlineStr">
        <is>
          <t>KRISTIANSTAD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46270</v>
      </c>
      <c r="F440" t="inlineStr">
        <is>
          <t>SKÅNE LÄN</t>
        </is>
      </c>
      <c r="G440" t="inlineStr">
        <is>
          <t>KRISTIANSTAD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46270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46270</v>
      </c>
      <c r="F442" t="inlineStr">
        <is>
          <t>SKÅNE LÄN</t>
        </is>
      </c>
      <c r="G442" t="inlineStr">
        <is>
          <t>KRISTIANSTAD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45577</v>
      </c>
      <c r="E443" s="1" t="n">
        <v>46270</v>
      </c>
      <c r="F443" t="inlineStr">
        <is>
          <t>SKÅNE LÄN</t>
        </is>
      </c>
      <c r="G443" t="inlineStr">
        <is>
          <t>KRISTIANSTAD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46270</v>
      </c>
      <c r="F444" t="inlineStr">
        <is>
          <t>SKÅNE LÄN</t>
        </is>
      </c>
      <c r="G444" t="inlineStr">
        <is>
          <t>KRISTIANSTAD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45533</v>
      </c>
      <c r="E445" s="1" t="n">
        <v>46270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58477-2025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46270</v>
      </c>
      <c r="F446" t="inlineStr">
        <is>
          <t>SKÅNE LÄN</t>
        </is>
      </c>
      <c r="G446" t="inlineStr">
        <is>
          <t>KRISTIANSTAD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12315-2025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45729</v>
      </c>
      <c r="E447" s="1" t="n">
        <v>46270</v>
      </c>
      <c r="F447" t="inlineStr">
        <is>
          <t>SKÅNE LÄN</t>
        </is>
      </c>
      <c r="G447" t="inlineStr">
        <is>
          <t>KRISTIANSTAD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46270</v>
      </c>
      <c r="F448" t="inlineStr">
        <is>
          <t>SKÅNE LÄN</t>
        </is>
      </c>
      <c r="G448" t="inlineStr">
        <is>
          <t>KRISTIANSTAD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45197</v>
      </c>
      <c r="E449" s="1" t="n">
        <v>46270</v>
      </c>
      <c r="F449" t="inlineStr">
        <is>
          <t>SKÅNE LÄN</t>
        </is>
      </c>
      <c r="G449" t="inlineStr">
        <is>
          <t>KRISTIANSTAD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46270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46270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46270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46270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46095-2023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45190</v>
      </c>
      <c r="E454" s="1" t="n">
        <v>46270</v>
      </c>
      <c r="F454" t="inlineStr">
        <is>
          <t>SKÅNE LÄN</t>
        </is>
      </c>
      <c r="G454" t="inlineStr">
        <is>
          <t>KRISTIANSTAD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46270</v>
      </c>
      <c r="F455" t="inlineStr">
        <is>
          <t>SKÅNE LÄN</t>
        </is>
      </c>
      <c r="G455" t="inlineStr">
        <is>
          <t>KRISTIANSTAD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46270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45226</v>
      </c>
      <c r="E457" s="1" t="n">
        <v>46270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46270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46270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46270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45989</v>
      </c>
      <c r="E461" s="1" t="n">
        <v>46270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44599</v>
      </c>
      <c r="E462" s="1" t="n">
        <v>46270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45134</v>
      </c>
      <c r="E463" s="1" t="n">
        <v>46270</v>
      </c>
      <c r="F463" t="inlineStr">
        <is>
          <t>SKÅNE LÄN</t>
        </is>
      </c>
      <c r="G463" t="inlineStr">
        <is>
          <t>KRISTIANSTAD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46270</v>
      </c>
      <c r="F464" t="inlineStr">
        <is>
          <t>SKÅNE LÄN</t>
        </is>
      </c>
      <c r="G464" t="inlineStr">
        <is>
          <t>KRISTIANSTAD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44915</v>
      </c>
      <c r="E465" s="1" t="n">
        <v>46270</v>
      </c>
      <c r="F465" t="inlineStr">
        <is>
          <t>SKÅNE LÄN</t>
        </is>
      </c>
      <c r="G465" t="inlineStr">
        <is>
          <t>KRISTIANSTAD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46270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46270</v>
      </c>
      <c r="F467" t="inlineStr">
        <is>
          <t>SKÅNE LÄN</t>
        </is>
      </c>
      <c r="G467" t="inlineStr">
        <is>
          <t>KRISTIANSTAD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46270</v>
      </c>
      <c r="F468" t="inlineStr">
        <is>
          <t>SKÅNE LÄN</t>
        </is>
      </c>
      <c r="G468" t="inlineStr">
        <is>
          <t>KRISTIANSTAD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45247</v>
      </c>
      <c r="E469" s="1" t="n">
        <v>46270</v>
      </c>
      <c r="F469" t="inlineStr">
        <is>
          <t>SKÅNE LÄN</t>
        </is>
      </c>
      <c r="G469" t="inlineStr">
        <is>
          <t>KRISTIANSTAD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46270</v>
      </c>
      <c r="F470" t="inlineStr">
        <is>
          <t>SKÅNE LÄN</t>
        </is>
      </c>
      <c r="G470" t="inlineStr">
        <is>
          <t>KRISTIANSTAD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40000-2025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45894</v>
      </c>
      <c r="E471" s="1" t="n">
        <v>46270</v>
      </c>
      <c r="F471" t="inlineStr">
        <is>
          <t>SKÅNE LÄN</t>
        </is>
      </c>
      <c r="G471" t="inlineStr">
        <is>
          <t>KRISTIANSTAD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45831</v>
      </c>
      <c r="E472" s="1" t="n">
        <v>46270</v>
      </c>
      <c r="F472" t="inlineStr">
        <is>
          <t>SKÅNE LÄN</t>
        </is>
      </c>
      <c r="G472" t="inlineStr">
        <is>
          <t>KRISTIANSTAD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46270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45894</v>
      </c>
      <c r="E474" s="1" t="n">
        <v>46270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45894</v>
      </c>
      <c r="E475" s="1" t="n">
        <v>46270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44795</v>
      </c>
      <c r="E476" s="1" t="n">
        <v>46270</v>
      </c>
      <c r="F476" t="inlineStr">
        <is>
          <t>SKÅNE LÄN</t>
        </is>
      </c>
      <c r="G476" t="inlineStr">
        <is>
          <t>KRISTIANSTAD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45882</v>
      </c>
      <c r="E477" s="1" t="n">
        <v>46270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61557-2025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46001</v>
      </c>
      <c r="E478" s="1" t="n">
        <v>46270</v>
      </c>
      <c r="F478" t="inlineStr">
        <is>
          <t>SKÅNE LÄN</t>
        </is>
      </c>
      <c r="G478" t="inlineStr">
        <is>
          <t>KRISTIANSTAD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45002</v>
      </c>
      <c r="E479" s="1" t="n">
        <v>46270</v>
      </c>
      <c r="F479" t="inlineStr">
        <is>
          <t>SKÅNE LÄN</t>
        </is>
      </c>
      <c r="G479" t="inlineStr">
        <is>
          <t>KRISTIANSTAD</t>
        </is>
      </c>
      <c r="H479" t="inlineStr">
        <is>
          <t>Kyrkan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46270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17025-2025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45755</v>
      </c>
      <c r="E481" s="1" t="n">
        <v>46270</v>
      </c>
      <c r="F481" t="inlineStr">
        <is>
          <t>SKÅNE LÄN</t>
        </is>
      </c>
      <c r="G481" t="inlineStr">
        <is>
          <t>KRISTIANSTAD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46270</v>
      </c>
      <c r="F482" t="inlineStr">
        <is>
          <t>SKÅNE LÄN</t>
        </is>
      </c>
      <c r="G482" t="inlineStr">
        <is>
          <t>KRISTIANSTAD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46270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46270</v>
      </c>
      <c r="F484" t="inlineStr">
        <is>
          <t>SKÅNE LÄN</t>
        </is>
      </c>
      <c r="G484" t="inlineStr">
        <is>
          <t>KRISTIANSTAD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46270</v>
      </c>
      <c r="F485" t="inlineStr">
        <is>
          <t>SKÅNE LÄN</t>
        </is>
      </c>
      <c r="G485" t="inlineStr">
        <is>
          <t>KRISTIANSTAD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44847</v>
      </c>
      <c r="E486" s="1" t="n">
        <v>46270</v>
      </c>
      <c r="F486" t="inlineStr">
        <is>
          <t>SKÅNE LÄN</t>
        </is>
      </c>
      <c r="G486" t="inlineStr">
        <is>
          <t>KRISTIANSTAD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46270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46270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46270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62066-2022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44918</v>
      </c>
      <c r="E490" s="1" t="n">
        <v>46270</v>
      </c>
      <c r="F490" t="inlineStr">
        <is>
          <t>SKÅNE LÄN</t>
        </is>
      </c>
      <c r="G490" t="inlineStr">
        <is>
          <t>KRISTIANSTAD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46092</v>
      </c>
      <c r="E491" s="1" t="n">
        <v>46270</v>
      </c>
      <c r="F491" t="inlineStr">
        <is>
          <t>SKÅNE LÄN</t>
        </is>
      </c>
      <c r="G491" t="inlineStr">
        <is>
          <t>KRISTIANSTAD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46270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46270</v>
      </c>
      <c r="F493" t="inlineStr">
        <is>
          <t>SKÅNE LÄN</t>
        </is>
      </c>
      <c r="G493" t="inlineStr">
        <is>
          <t>KRISTIANSTAD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46270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46270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46270</v>
      </c>
      <c r="F496" t="inlineStr">
        <is>
          <t>SKÅNE LÄN</t>
        </is>
      </c>
      <c r="G496" t="inlineStr">
        <is>
          <t>KRISTIANSTAD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46270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13952-2025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45737</v>
      </c>
      <c r="E498" s="1" t="n">
        <v>46270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45738</v>
      </c>
      <c r="E499" s="1" t="n">
        <v>46270</v>
      </c>
      <c r="F499" t="inlineStr">
        <is>
          <t>SKÅNE LÄN</t>
        </is>
      </c>
      <c r="G499" t="inlineStr">
        <is>
          <t>KRISTIANSTAD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46095</v>
      </c>
      <c r="E500" s="1" t="n">
        <v>46270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44866</v>
      </c>
      <c r="E501" s="1" t="n">
        <v>46270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46270</v>
      </c>
      <c r="F502" t="inlineStr">
        <is>
          <t>SKÅNE LÄN</t>
        </is>
      </c>
      <c r="G502" t="inlineStr">
        <is>
          <t>KRISTIANSTAD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46270</v>
      </c>
      <c r="F503" t="inlineStr">
        <is>
          <t>SKÅNE LÄN</t>
        </is>
      </c>
      <c r="G503" t="inlineStr">
        <is>
          <t>KRISTIANSTAD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44923</v>
      </c>
      <c r="E504" s="1" t="n">
        <v>46270</v>
      </c>
      <c r="F504" t="inlineStr">
        <is>
          <t>SKÅNE LÄN</t>
        </is>
      </c>
      <c r="G504" t="inlineStr">
        <is>
          <t>KRISTIANSTAD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46270</v>
      </c>
      <c r="F505" t="inlineStr">
        <is>
          <t>SKÅNE LÄN</t>
        </is>
      </c>
      <c r="G505" t="inlineStr">
        <is>
          <t>KRISTIANSTAD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46270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46270</v>
      </c>
      <c r="F507" t="inlineStr">
        <is>
          <t>SKÅNE LÄN</t>
        </is>
      </c>
      <c r="G507" t="inlineStr">
        <is>
          <t>KRISTIANSTAD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46270</v>
      </c>
      <c r="F508" t="inlineStr">
        <is>
          <t>SKÅNE LÄN</t>
        </is>
      </c>
      <c r="G508" t="inlineStr">
        <is>
          <t>KRISTIANSTAD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61147-2021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44497</v>
      </c>
      <c r="E509" s="1" t="n">
        <v>46270</v>
      </c>
      <c r="F509" t="inlineStr">
        <is>
          <t>SKÅNE LÄN</t>
        </is>
      </c>
      <c r="G509" t="inlineStr">
        <is>
          <t>KRISTIANSTAD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46270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44818</v>
      </c>
      <c r="E511" s="1" t="n">
        <v>46270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44684</v>
      </c>
      <c r="E512" s="1" t="n">
        <v>46270</v>
      </c>
      <c r="F512" t="inlineStr">
        <is>
          <t>SKÅNE LÄN</t>
        </is>
      </c>
      <c r="G512" t="inlineStr">
        <is>
          <t>KRISTIANSTAD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46270</v>
      </c>
      <c r="F513" t="inlineStr">
        <is>
          <t>SKÅNE LÄN</t>
        </is>
      </c>
      <c r="G513" t="inlineStr">
        <is>
          <t>KRISTIANSTAD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45337</v>
      </c>
      <c r="E514" s="1" t="n">
        <v>46270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46270</v>
      </c>
      <c r="F515" t="inlineStr">
        <is>
          <t>SKÅNE LÄN</t>
        </is>
      </c>
      <c r="G515" t="inlineStr">
        <is>
          <t>KRISTIANSTAD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46270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46270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46270</v>
      </c>
      <c r="F518" t="inlineStr">
        <is>
          <t>SKÅNE LÄN</t>
        </is>
      </c>
      <c r="G518" t="inlineStr">
        <is>
          <t>KRISTIANSTAD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46270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46270</v>
      </c>
      <c r="F520" t="inlineStr">
        <is>
          <t>SKÅNE LÄN</t>
        </is>
      </c>
      <c r="G520" t="inlineStr">
        <is>
          <t>KRISTIANSTAD</t>
        </is>
      </c>
      <c r="H520" t="inlineStr">
        <is>
          <t>Sveaskog</t>
        </is>
      </c>
      <c r="I520" t="n">
        <v>9.199999999999999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46270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45307</v>
      </c>
      <c r="E522" s="1" t="n">
        <v>46270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46270</v>
      </c>
      <c r="F523" t="inlineStr">
        <is>
          <t>SKÅNE LÄN</t>
        </is>
      </c>
      <c r="G523" t="inlineStr">
        <is>
          <t>KRISTIANSTAD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53466-2022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44879</v>
      </c>
      <c r="E524" s="1" t="n">
        <v>46270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46270</v>
      </c>
      <c r="F525" t="inlineStr">
        <is>
          <t>SKÅNE LÄN</t>
        </is>
      </c>
      <c r="G525" t="inlineStr">
        <is>
          <t>KRISTIANSTAD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46270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46270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6597-2025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45700</v>
      </c>
      <c r="E528" s="1" t="n">
        <v>46270</v>
      </c>
      <c r="F528" t="inlineStr">
        <is>
          <t>SKÅNE LÄN</t>
        </is>
      </c>
      <c r="G528" t="inlineStr">
        <is>
          <t>KRISTIANSTAD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45648</v>
      </c>
      <c r="E529" s="1" t="n">
        <v>46270</v>
      </c>
      <c r="F529" t="inlineStr">
        <is>
          <t>SKÅNE LÄN</t>
        </is>
      </c>
      <c r="G529" t="inlineStr">
        <is>
          <t>KRISTIANSTAD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46270</v>
      </c>
      <c r="F530" t="inlineStr">
        <is>
          <t>SKÅNE LÄN</t>
        </is>
      </c>
      <c r="G530" t="inlineStr">
        <is>
          <t>KRISTIANSTAD</t>
        </is>
      </c>
      <c r="I530" t="n">
        <v>17.1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45664</v>
      </c>
      <c r="E531" s="1" t="n">
        <v>46270</v>
      </c>
      <c r="F531" t="inlineStr">
        <is>
          <t>SKÅNE LÄN</t>
        </is>
      </c>
      <c r="G531" t="inlineStr">
        <is>
          <t>KRISTIANSTAD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45455</v>
      </c>
      <c r="E532" s="1" t="n">
        <v>46270</v>
      </c>
      <c r="F532" t="inlineStr">
        <is>
          <t>SKÅNE LÄN</t>
        </is>
      </c>
      <c r="G532" t="inlineStr">
        <is>
          <t>KRISTIANSTAD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46270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45149</v>
      </c>
      <c r="E534" s="1" t="n">
        <v>46270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46270</v>
      </c>
      <c r="F535" t="inlineStr">
        <is>
          <t>SKÅNE LÄN</t>
        </is>
      </c>
      <c r="G535" t="inlineStr">
        <is>
          <t>KRISTIANSTAD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45311</v>
      </c>
      <c r="E536" s="1" t="n">
        <v>46270</v>
      </c>
      <c r="F536" t="inlineStr">
        <is>
          <t>SKÅNE LÄN</t>
        </is>
      </c>
      <c r="G536" t="inlineStr">
        <is>
          <t>KRISTIANSTAD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46270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44363-2024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45573</v>
      </c>
      <c r="E538" s="1" t="n">
        <v>46270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45144</v>
      </c>
      <c r="E539" s="1" t="n">
        <v>46270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46270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45526</v>
      </c>
      <c r="E541" s="1" t="n">
        <v>46270</v>
      </c>
      <c r="F541" t="inlineStr">
        <is>
          <t>SKÅNE LÄN</t>
        </is>
      </c>
      <c r="G541" t="inlineStr">
        <is>
          <t>KRISTIANSTAD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46270</v>
      </c>
      <c r="F542" t="inlineStr">
        <is>
          <t>SKÅNE LÄN</t>
        </is>
      </c>
      <c r="G542" t="inlineStr">
        <is>
          <t>KRISTIANSTAD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8455-2025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45709</v>
      </c>
      <c r="E543" s="1" t="n">
        <v>46270</v>
      </c>
      <c r="F543" t="inlineStr">
        <is>
          <t>SKÅNE LÄN</t>
        </is>
      </c>
      <c r="G543" t="inlineStr">
        <is>
          <t>KRISTIANSTAD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45461</v>
      </c>
      <c r="E544" s="1" t="n">
        <v>46270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44628</v>
      </c>
      <c r="E545" s="1" t="n">
        <v>46270</v>
      </c>
      <c r="F545" t="inlineStr">
        <is>
          <t>SKÅNE LÄN</t>
        </is>
      </c>
      <c r="G545" t="inlineStr">
        <is>
          <t>KRISTIANSTAD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45712</v>
      </c>
      <c r="E546" s="1" t="n">
        <v>46270</v>
      </c>
      <c r="F546" t="inlineStr">
        <is>
          <t>SKÅNE LÄN</t>
        </is>
      </c>
      <c r="G546" t="inlineStr">
        <is>
          <t>KRISTIANSTAD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20302-2026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46136</v>
      </c>
      <c r="E547" s="1" t="n">
        <v>46270</v>
      </c>
      <c r="F547" t="inlineStr">
        <is>
          <t>SKÅNE LÄN</t>
        </is>
      </c>
      <c r="G547" t="inlineStr">
        <is>
          <t>KRISTIANSTAD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45408</v>
      </c>
      <c r="E548" s="1" t="n">
        <v>46270</v>
      </c>
      <c r="F548" t="inlineStr">
        <is>
          <t>SKÅNE LÄN</t>
        </is>
      </c>
      <c r="G548" t="inlineStr">
        <is>
          <t>KRISTIANSTAD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45573</v>
      </c>
      <c r="E549" s="1" t="n">
        <v>46270</v>
      </c>
      <c r="F549" t="inlineStr">
        <is>
          <t>SKÅNE LÄN</t>
        </is>
      </c>
      <c r="G549" t="inlineStr">
        <is>
          <t>KRISTIANSTAD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44853</v>
      </c>
      <c r="E550" s="1" t="n">
        <v>46270</v>
      </c>
      <c r="F550" t="inlineStr">
        <is>
          <t>SKÅNE LÄN</t>
        </is>
      </c>
      <c r="G550" t="inlineStr">
        <is>
          <t>KRISTIANSTAD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45398</v>
      </c>
      <c r="E551" s="1" t="n">
        <v>46270</v>
      </c>
      <c r="F551" t="inlineStr">
        <is>
          <t>SKÅNE LÄN</t>
        </is>
      </c>
      <c r="G551" t="inlineStr">
        <is>
          <t>KRISTIANSTAD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44853</v>
      </c>
      <c r="E552" s="1" t="n">
        <v>46270</v>
      </c>
      <c r="F552" t="inlineStr">
        <is>
          <t>SKÅNE LÄN</t>
        </is>
      </c>
      <c r="G552" t="inlineStr">
        <is>
          <t>KRISTIANSTAD</t>
        </is>
      </c>
      <c r="H552" t="inlineStr">
        <is>
          <t>Kyrkan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45054</v>
      </c>
      <c r="E553" s="1" t="n">
        <v>46270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45777</v>
      </c>
      <c r="E554" s="1" t="n">
        <v>46270</v>
      </c>
      <c r="F554" t="inlineStr">
        <is>
          <t>SKÅNE LÄN</t>
        </is>
      </c>
      <c r="G554" t="inlineStr">
        <is>
          <t>KRISTIANSTAD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46270</v>
      </c>
      <c r="F555" t="inlineStr">
        <is>
          <t>SKÅNE LÄN</t>
        </is>
      </c>
      <c r="G555" t="inlineStr">
        <is>
          <t>KRISTIANSTAD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45085</v>
      </c>
      <c r="E556" s="1" t="n">
        <v>46270</v>
      </c>
      <c r="F556" t="inlineStr">
        <is>
          <t>SKÅNE LÄN</t>
        </is>
      </c>
      <c r="G556" t="inlineStr">
        <is>
          <t>KRISTIANSTAD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45749</v>
      </c>
      <c r="E557" s="1" t="n">
        <v>46270</v>
      </c>
      <c r="F557" t="inlineStr">
        <is>
          <t>SKÅNE LÄN</t>
        </is>
      </c>
      <c r="G557" t="inlineStr">
        <is>
          <t>KRISTIANSTAD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44992</v>
      </c>
      <c r="E558" s="1" t="n">
        <v>46270</v>
      </c>
      <c r="F558" t="inlineStr">
        <is>
          <t>SKÅNE LÄN</t>
        </is>
      </c>
      <c r="G558" t="inlineStr">
        <is>
          <t>KRISTIANSTAD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45306</v>
      </c>
      <c r="E559" s="1" t="n">
        <v>46270</v>
      </c>
      <c r="F559" t="inlineStr">
        <is>
          <t>SKÅNE LÄN</t>
        </is>
      </c>
      <c r="G559" t="inlineStr">
        <is>
          <t>KRISTIANSTAD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45307</v>
      </c>
      <c r="E560" s="1" t="n">
        <v>46270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45493</v>
      </c>
      <c r="E561" s="1" t="n">
        <v>46270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46270</v>
      </c>
      <c r="F562" t="inlineStr">
        <is>
          <t>SKÅNE LÄN</t>
        </is>
      </c>
      <c r="G562" t="inlineStr">
        <is>
          <t>KRISTIANSTAD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44463</v>
      </c>
      <c r="E563" s="1" t="n">
        <v>46270</v>
      </c>
      <c r="F563" t="inlineStr">
        <is>
          <t>SKÅNE LÄN</t>
        </is>
      </c>
      <c r="G563" t="inlineStr">
        <is>
          <t>KRISTIANSTAD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27590-2024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45474</v>
      </c>
      <c r="E564" s="1" t="n">
        <v>46270</v>
      </c>
      <c r="F564" t="inlineStr">
        <is>
          <t>SKÅNE LÄN</t>
        </is>
      </c>
      <c r="G564" t="inlineStr">
        <is>
          <t>KRISTIANSTAD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46270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46270</v>
      </c>
      <c r="F566" t="inlineStr">
        <is>
          <t>SKÅNE LÄN</t>
        </is>
      </c>
      <c r="G566" t="inlineStr">
        <is>
          <t>KRISTIANSTAD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45282</v>
      </c>
      <c r="E567" s="1" t="n">
        <v>46270</v>
      </c>
      <c r="F567" t="inlineStr">
        <is>
          <t>SKÅNE LÄN</t>
        </is>
      </c>
      <c r="G567" t="inlineStr">
        <is>
          <t>KRISTIANSTAD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63561-2023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45274</v>
      </c>
      <c r="E568" s="1" t="n">
        <v>46270</v>
      </c>
      <c r="F568" t="inlineStr">
        <is>
          <t>SKÅNE LÄN</t>
        </is>
      </c>
      <c r="G568" t="inlineStr">
        <is>
          <t>KRISTIANSTAD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13954-2025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45737</v>
      </c>
      <c r="E569" s="1" t="n">
        <v>46270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61550-2023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45265</v>
      </c>
      <c r="E570" s="1" t="n">
        <v>46270</v>
      </c>
      <c r="F570" t="inlineStr">
        <is>
          <t>SKÅNE LÄN</t>
        </is>
      </c>
      <c r="G570" t="inlineStr">
        <is>
          <t>KRISTIANSTAD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20651-2026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46141</v>
      </c>
      <c r="E571" s="1" t="n">
        <v>46270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46270</v>
      </c>
      <c r="F572" t="inlineStr">
        <is>
          <t>SKÅNE LÄN</t>
        </is>
      </c>
      <c r="G572" t="inlineStr">
        <is>
          <t>KRISTIANSTAD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25249-2022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46270</v>
      </c>
      <c r="F573" t="inlineStr">
        <is>
          <t>SKÅNE LÄN</t>
        </is>
      </c>
      <c r="G573" t="inlineStr">
        <is>
          <t>KRISTIANSTAD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45412</v>
      </c>
      <c r="E574" s="1" t="n">
        <v>46270</v>
      </c>
      <c r="F574" t="inlineStr">
        <is>
          <t>SKÅNE LÄN</t>
        </is>
      </c>
      <c r="G574" t="inlineStr">
        <is>
          <t>KRISTIANSTAD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45336</v>
      </c>
      <c r="E575" s="1" t="n">
        <v>46270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45420</v>
      </c>
      <c r="E576" s="1" t="n">
        <v>46270</v>
      </c>
      <c r="F576" t="inlineStr">
        <is>
          <t>SKÅNE LÄN</t>
        </is>
      </c>
      <c r="G576" t="inlineStr">
        <is>
          <t>KRISTIANSTAD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45079</v>
      </c>
      <c r="E577" s="1" t="n">
        <v>46270</v>
      </c>
      <c r="F577" t="inlineStr">
        <is>
          <t>SKÅNE LÄN</t>
        </is>
      </c>
      <c r="G577" t="inlineStr">
        <is>
          <t>KRISTIANSTAD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46270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45120</v>
      </c>
      <c r="E579" s="1" t="n">
        <v>46270</v>
      </c>
      <c r="F579" t="inlineStr">
        <is>
          <t>SKÅNE LÄN</t>
        </is>
      </c>
      <c r="G579" t="inlineStr">
        <is>
          <t>KRISTIANSTAD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46270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13070-2023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45002</v>
      </c>
      <c r="E581" s="1" t="n">
        <v>46270</v>
      </c>
      <c r="F581" t="inlineStr">
        <is>
          <t>SKÅNE LÄN</t>
        </is>
      </c>
      <c r="G581" t="inlineStr">
        <is>
          <t>KRISTIANSTAD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45465</v>
      </c>
      <c r="E582" s="1" t="n">
        <v>46270</v>
      </c>
      <c r="F582" t="inlineStr">
        <is>
          <t>SKÅNE LÄN</t>
        </is>
      </c>
      <c r="G582" t="inlineStr">
        <is>
          <t>KRISTIANSTAD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46270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46270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46270</v>
      </c>
      <c r="F585" t="inlineStr">
        <is>
          <t>SKÅNE LÄN</t>
        </is>
      </c>
      <c r="G585" t="inlineStr">
        <is>
          <t>KRISTIANSTAD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45228</v>
      </c>
      <c r="E586" s="1" t="n">
        <v>46270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46270</v>
      </c>
      <c r="F587" t="inlineStr">
        <is>
          <t>SKÅNE LÄN</t>
        </is>
      </c>
      <c r="G587" t="inlineStr">
        <is>
          <t>KRISTIANSTAD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21851-2026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46270</v>
      </c>
      <c r="F588" t="inlineStr">
        <is>
          <t>SKÅNE LÄN</t>
        </is>
      </c>
      <c r="G588" t="inlineStr">
        <is>
          <t>KRISTIANSTAD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45343</v>
      </c>
      <c r="E589" s="1" t="n">
        <v>46270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46270</v>
      </c>
      <c r="F590" t="inlineStr">
        <is>
          <t>SKÅNE LÄN</t>
        </is>
      </c>
      <c r="G590" t="inlineStr">
        <is>
          <t>KRISTIANSTAD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46270</v>
      </c>
      <c r="F591" t="inlineStr">
        <is>
          <t>SKÅNE LÄN</t>
        </is>
      </c>
      <c r="G591" t="inlineStr">
        <is>
          <t>KRISTIANSTAD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46270</v>
      </c>
      <c r="F592" t="inlineStr">
        <is>
          <t>SKÅNE LÄN</t>
        </is>
      </c>
      <c r="G592" t="inlineStr">
        <is>
          <t>KRISTIANSTAD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45338</v>
      </c>
      <c r="E593" s="1" t="n">
        <v>46270</v>
      </c>
      <c r="F593" t="inlineStr">
        <is>
          <t>SKÅNE LÄN</t>
        </is>
      </c>
      <c r="G593" t="inlineStr">
        <is>
          <t>KRISTIANSTAD</t>
        </is>
      </c>
      <c r="I593" t="n">
        <v>15.8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14837-2023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45014</v>
      </c>
      <c r="E594" s="1" t="n">
        <v>46270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45874</v>
      </c>
      <c r="E595" s="1" t="n">
        <v>46270</v>
      </c>
      <c r="F595" t="inlineStr">
        <is>
          <t>SKÅNE LÄN</t>
        </is>
      </c>
      <c r="G595" t="inlineStr">
        <is>
          <t>KRISTIANSTAD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46270</v>
      </c>
      <c r="F596" t="inlineStr">
        <is>
          <t>SKÅNE LÄN</t>
        </is>
      </c>
      <c r="G596" t="inlineStr">
        <is>
          <t>KRISTIANSTAD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45453</v>
      </c>
      <c r="E597" s="1" t="n">
        <v>46270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46270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45415</v>
      </c>
      <c r="E599" s="1" t="n">
        <v>46270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12235-2023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46270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46270</v>
      </c>
      <c r="F601" t="inlineStr">
        <is>
          <t>SKÅNE LÄN</t>
        </is>
      </c>
      <c r="G601" t="inlineStr">
        <is>
          <t>KRISTIANSTAD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45887</v>
      </c>
      <c r="E602" s="1" t="n">
        <v>46270</v>
      </c>
      <c r="F602" t="inlineStr">
        <is>
          <t>SKÅNE LÄN</t>
        </is>
      </c>
      <c r="G602" t="inlineStr">
        <is>
          <t>KRISTIANSTAD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45124</v>
      </c>
      <c r="E603" s="1" t="n">
        <v>46270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61198-2021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46270</v>
      </c>
      <c r="F604" t="inlineStr">
        <is>
          <t>SKÅNE LÄN</t>
        </is>
      </c>
      <c r="G604" t="inlineStr">
        <is>
          <t>KRISTIANSTAD</t>
        </is>
      </c>
      <c r="I604" t="n">
        <v>13.8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46030</v>
      </c>
      <c r="E605" s="1" t="n">
        <v>46270</v>
      </c>
      <c r="F605" t="inlineStr">
        <is>
          <t>SKÅNE LÄN</t>
        </is>
      </c>
      <c r="G605" t="inlineStr">
        <is>
          <t>KRISTIANSTAD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2472-2022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44579</v>
      </c>
      <c r="E606" s="1" t="n">
        <v>46270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58269-2022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44894</v>
      </c>
      <c r="E607" s="1" t="n">
        <v>46270</v>
      </c>
      <c r="F607" t="inlineStr">
        <is>
          <t>SKÅNE LÄN</t>
        </is>
      </c>
      <c r="G607" t="inlineStr">
        <is>
          <t>KRISTIANSTAD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45465</v>
      </c>
      <c r="E608" s="1" t="n">
        <v>46270</v>
      </c>
      <c r="F608" t="inlineStr">
        <is>
          <t>SKÅNE LÄN</t>
        </is>
      </c>
      <c r="G608" t="inlineStr">
        <is>
          <t>KRISTIANSTAD</t>
        </is>
      </c>
      <c r="I608" t="n">
        <v>7.3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46270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45300</v>
      </c>
      <c r="E610" s="1" t="n">
        <v>46270</v>
      </c>
      <c r="F610" t="inlineStr">
        <is>
          <t>SKÅNE LÄN</t>
        </is>
      </c>
      <c r="G610" t="inlineStr">
        <is>
          <t>KRISTIANSTAD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45301</v>
      </c>
      <c r="E611" s="1" t="n">
        <v>46270</v>
      </c>
      <c r="F611" t="inlineStr">
        <is>
          <t>SKÅNE LÄN</t>
        </is>
      </c>
      <c r="G611" t="inlineStr">
        <is>
          <t>KRISTIANSTAD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26827-2024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45470</v>
      </c>
      <c r="E612" s="1" t="n">
        <v>46270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46270</v>
      </c>
      <c r="F613" t="inlineStr">
        <is>
          <t>SKÅNE LÄN</t>
        </is>
      </c>
      <c r="G613" t="inlineStr">
        <is>
          <t>KRISTIANSTAD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45608</v>
      </c>
      <c r="E614" s="1" t="n">
        <v>46270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56930-2022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46270</v>
      </c>
      <c r="F615" t="inlineStr">
        <is>
          <t>SKÅNE LÄN</t>
        </is>
      </c>
      <c r="G615" t="inlineStr">
        <is>
          <t>KRISTIANSTAD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45321</v>
      </c>
      <c r="E616" s="1" t="n">
        <v>46270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46270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45903</v>
      </c>
      <c r="E618" s="1" t="n">
        <v>46270</v>
      </c>
      <c r="F618" t="inlineStr">
        <is>
          <t>SKÅNE LÄN</t>
        </is>
      </c>
      <c r="G618" t="inlineStr">
        <is>
          <t>KRISTIANSTAD</t>
        </is>
      </c>
      <c r="I618" t="n">
        <v>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46270</v>
      </c>
      <c r="F619" t="inlineStr">
        <is>
          <t>SKÅNE LÄN</t>
        </is>
      </c>
      <c r="G619" t="inlineStr">
        <is>
          <t>KRISTIANSTAD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46270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45077</v>
      </c>
      <c r="E621" s="1" t="n">
        <v>46270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18744-2025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46270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45566</v>
      </c>
      <c r="E623" s="1" t="n">
        <v>46270</v>
      </c>
      <c r="F623" t="inlineStr">
        <is>
          <t>SKÅNE LÄN</t>
        </is>
      </c>
      <c r="G623" t="inlineStr">
        <is>
          <t>KRISTIANSTAD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44991</v>
      </c>
      <c r="E624" s="1" t="n">
        <v>46270</v>
      </c>
      <c r="F624" t="inlineStr">
        <is>
          <t>SKÅNE LÄN</t>
        </is>
      </c>
      <c r="G624" t="inlineStr">
        <is>
          <t>KRISTIANSTAD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45579</v>
      </c>
      <c r="E625" s="1" t="n">
        <v>46270</v>
      </c>
      <c r="F625" t="inlineStr">
        <is>
          <t>SKÅNE LÄN</t>
        </is>
      </c>
      <c r="G625" t="inlineStr">
        <is>
          <t>KRISTIANSTAD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38121-2025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46270</v>
      </c>
      <c r="F626" t="inlineStr">
        <is>
          <t>SKÅNE LÄN</t>
        </is>
      </c>
      <c r="G626" t="inlineStr">
        <is>
          <t>KRISTIANSTAD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45926</v>
      </c>
      <c r="E627" s="1" t="n">
        <v>46270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45022</v>
      </c>
      <c r="E628" s="1" t="n">
        <v>46270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45938</v>
      </c>
      <c r="E629" s="1" t="n">
        <v>46270</v>
      </c>
      <c r="F629" t="inlineStr">
        <is>
          <t>SKÅNE LÄN</t>
        </is>
      </c>
      <c r="G629" t="inlineStr">
        <is>
          <t>KRISTIANSTAD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59597-2023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46270</v>
      </c>
      <c r="F630" t="inlineStr">
        <is>
          <t>SKÅNE LÄN</t>
        </is>
      </c>
      <c r="G630" t="inlineStr">
        <is>
          <t>KRISTIANSTAD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46270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45356</v>
      </c>
      <c r="E632" s="1" t="n">
        <v>46270</v>
      </c>
      <c r="F632" t="inlineStr">
        <is>
          <t>SKÅNE LÄN</t>
        </is>
      </c>
      <c r="G632" t="inlineStr">
        <is>
          <t>KRISTIANSTAD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45727</v>
      </c>
      <c r="E633" s="1" t="n">
        <v>46270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62350-2023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45267</v>
      </c>
      <c r="E634" s="1" t="n">
        <v>46270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14471-2024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45394</v>
      </c>
      <c r="E635" s="1" t="n">
        <v>46270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45180</v>
      </c>
      <c r="E636" s="1" t="n">
        <v>46270</v>
      </c>
      <c r="F636" t="inlineStr">
        <is>
          <t>SKÅNE LÄN</t>
        </is>
      </c>
      <c r="G636" t="inlineStr">
        <is>
          <t>KRISTIANSTAD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12404-2024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46270</v>
      </c>
      <c r="F637" t="inlineStr">
        <is>
          <t>SKÅNE LÄN</t>
        </is>
      </c>
      <c r="G637" t="inlineStr">
        <is>
          <t>KRISTIANSTAD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46270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45465</v>
      </c>
      <c r="E639" s="1" t="n">
        <v>46270</v>
      </c>
      <c r="F639" t="inlineStr">
        <is>
          <t>SKÅNE LÄN</t>
        </is>
      </c>
      <c r="G639" t="inlineStr">
        <is>
          <t>KRISTIANSTAD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46270</v>
      </c>
      <c r="F640" t="inlineStr">
        <is>
          <t>SKÅNE LÄN</t>
        </is>
      </c>
      <c r="G640" t="inlineStr">
        <is>
          <t>KRISTIANSTAD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37983-2024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45544</v>
      </c>
      <c r="E641" s="1" t="n">
        <v>46270</v>
      </c>
      <c r="F641" t="inlineStr">
        <is>
          <t>SKÅNE LÄN</t>
        </is>
      </c>
      <c r="G641" t="inlineStr">
        <is>
          <t>KRISTIANSTAD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45119</v>
      </c>
      <c r="E642" s="1" t="n">
        <v>46270</v>
      </c>
      <c r="F642" t="inlineStr">
        <is>
          <t>SKÅNE LÄN</t>
        </is>
      </c>
      <c r="G642" t="inlineStr">
        <is>
          <t>KRISTIANSTAD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49520-2021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44455</v>
      </c>
      <c r="E643" s="1" t="n">
        <v>46270</v>
      </c>
      <c r="F643" t="inlineStr">
        <is>
          <t>SKÅNE LÄN</t>
        </is>
      </c>
      <c r="G643" t="inlineStr">
        <is>
          <t>KRISTIANSTAD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45812</v>
      </c>
      <c r="E644" s="1" t="n">
        <v>46270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45343</v>
      </c>
      <c r="E645" s="1" t="n">
        <v>46270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47232-2024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45586</v>
      </c>
      <c r="E646" s="1" t="n">
        <v>46270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46270</v>
      </c>
      <c r="F647" t="inlineStr">
        <is>
          <t>SKÅNE LÄN</t>
        </is>
      </c>
      <c r="G647" t="inlineStr">
        <is>
          <t>KRISTIANSTAD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44923</v>
      </c>
      <c r="E648" s="1" t="n">
        <v>46270</v>
      </c>
      <c r="F648" t="inlineStr">
        <is>
          <t>SKÅNE LÄN</t>
        </is>
      </c>
      <c r="G648" t="inlineStr">
        <is>
          <t>KRISTIANSTAD</t>
        </is>
      </c>
      <c r="I648" t="n">
        <v>12.6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17371-2024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45414</v>
      </c>
      <c r="E649" s="1" t="n">
        <v>46270</v>
      </c>
      <c r="F649" t="inlineStr">
        <is>
          <t>SKÅNE LÄN</t>
        </is>
      </c>
      <c r="G649" t="inlineStr">
        <is>
          <t>KRISTIANSTAD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45334</v>
      </c>
      <c r="E650" s="1" t="n">
        <v>46270</v>
      </c>
      <c r="F650" t="inlineStr">
        <is>
          <t>SKÅNE LÄN</t>
        </is>
      </c>
      <c r="G650" t="inlineStr">
        <is>
          <t>KRISTIANSTAD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46270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46270</v>
      </c>
      <c r="F652" t="inlineStr">
        <is>
          <t>SKÅNE LÄN</t>
        </is>
      </c>
      <c r="G652" t="inlineStr">
        <is>
          <t>KRISTIANSTAD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27447-2026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46270</v>
      </c>
      <c r="F653" t="inlineStr">
        <is>
          <t>SKÅNE LÄN</t>
        </is>
      </c>
      <c r="G653" t="inlineStr">
        <is>
          <t>KRISTIANSTAD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44972</v>
      </c>
      <c r="E654" s="1" t="n">
        <v>46270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45303</v>
      </c>
      <c r="E655" s="1" t="n">
        <v>46270</v>
      </c>
      <c r="F655" t="inlineStr">
        <is>
          <t>SKÅNE LÄN</t>
        </is>
      </c>
      <c r="G655" t="inlineStr">
        <is>
          <t>KRISTIANSTAD</t>
        </is>
      </c>
      <c r="H655" t="inlineStr">
        <is>
          <t>Övriga Aktiebolag</t>
        </is>
      </c>
      <c r="I655" t="n">
        <v>19.7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46270</v>
      </c>
      <c r="F656" t="inlineStr">
        <is>
          <t>SKÅNE LÄN</t>
        </is>
      </c>
      <c r="G656" t="inlineStr">
        <is>
          <t>KRISTIANSTAD</t>
        </is>
      </c>
      <c r="H656" t="inlineStr">
        <is>
          <t>Kyrkan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45476</v>
      </c>
      <c r="E657" s="1" t="n">
        <v>46270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45668</v>
      </c>
      <c r="E658" s="1" t="n">
        <v>46270</v>
      </c>
      <c r="F658" t="inlineStr">
        <is>
          <t>SKÅNE LÄN</t>
        </is>
      </c>
      <c r="G658" t="inlineStr">
        <is>
          <t>KRISTIANSTAD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46270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45525</v>
      </c>
      <c r="E660" s="1" t="n">
        <v>46270</v>
      </c>
      <c r="F660" t="inlineStr">
        <is>
          <t>SKÅNE LÄN</t>
        </is>
      </c>
      <c r="G660" t="inlineStr">
        <is>
          <t>KRISTIANSTAD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46270</v>
      </c>
      <c r="F661" t="inlineStr">
        <is>
          <t>SKÅNE LÄN</t>
        </is>
      </c>
      <c r="G661" t="inlineStr">
        <is>
          <t>KRISTIANSTAD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41636-2025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46270</v>
      </c>
      <c r="F662" t="inlineStr">
        <is>
          <t>SKÅNE LÄN</t>
        </is>
      </c>
      <c r="G662" t="inlineStr">
        <is>
          <t>KRISTIANSTAD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46270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46270</v>
      </c>
      <c r="F664" t="inlineStr">
        <is>
          <t>SKÅNE LÄN</t>
        </is>
      </c>
      <c r="G664" t="inlineStr">
        <is>
          <t>KRISTIANSTAD</t>
        </is>
      </c>
      <c r="I664" t="n">
        <v>11.1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46523-2023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45197</v>
      </c>
      <c r="E665" s="1" t="n">
        <v>46270</v>
      </c>
      <c r="F665" t="inlineStr">
        <is>
          <t>SKÅNE LÄN</t>
        </is>
      </c>
      <c r="G665" t="inlineStr">
        <is>
          <t>KRISTIANSTAD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45712</v>
      </c>
      <c r="E666" s="1" t="n">
        <v>46270</v>
      </c>
      <c r="F666" t="inlineStr">
        <is>
          <t>SKÅNE LÄN</t>
        </is>
      </c>
      <c r="G666" t="inlineStr">
        <is>
          <t>KRISTIANSTAD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46270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45474</v>
      </c>
      <c r="E668" s="1" t="n">
        <v>46270</v>
      </c>
      <c r="F668" t="inlineStr">
        <is>
          <t>SKÅNE LÄN</t>
        </is>
      </c>
      <c r="G668" t="inlineStr">
        <is>
          <t>KRISTIANSTAD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59302-2023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46270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30845-2022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44767</v>
      </c>
      <c r="E670" s="1" t="n">
        <v>46270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25450-2022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44732</v>
      </c>
      <c r="E671" s="1" t="n">
        <v>46270</v>
      </c>
      <c r="F671" t="inlineStr">
        <is>
          <t>SKÅNE LÄN</t>
        </is>
      </c>
      <c r="G671" t="inlineStr">
        <is>
          <t>KRISTIANSTAD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11970-2023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44995</v>
      </c>
      <c r="E672" s="1" t="n">
        <v>46270</v>
      </c>
      <c r="F672" t="inlineStr">
        <is>
          <t>SKÅNE LÄN</t>
        </is>
      </c>
      <c r="G672" t="inlineStr">
        <is>
          <t>KRISTIANSTAD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46270</v>
      </c>
      <c r="F673" t="inlineStr">
        <is>
          <t>SKÅNE LÄN</t>
        </is>
      </c>
      <c r="G673" t="inlineStr">
        <is>
          <t>KRISTIANSTAD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46270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46270</v>
      </c>
      <c r="F675" t="inlineStr">
        <is>
          <t>SKÅNE LÄN</t>
        </is>
      </c>
      <c r="G675" t="inlineStr">
        <is>
          <t>KRISTIANSTAD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46270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45165</v>
      </c>
      <c r="E677" s="1" t="n">
        <v>46270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46270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45182</v>
      </c>
      <c r="E679" s="1" t="n">
        <v>46270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46202</v>
      </c>
      <c r="E680" s="1" t="n">
        <v>46270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57976-2023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45247</v>
      </c>
      <c r="E681" s="1" t="n">
        <v>46270</v>
      </c>
      <c r="F681" t="inlineStr">
        <is>
          <t>SKÅNE LÄN</t>
        </is>
      </c>
      <c r="G681" t="inlineStr">
        <is>
          <t>KRISTIANSTAD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46270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46270</v>
      </c>
      <c r="F683" t="inlineStr">
        <is>
          <t>SKÅNE LÄN</t>
        </is>
      </c>
      <c r="G683" t="inlineStr">
        <is>
          <t>KRISTIANSTAD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46270</v>
      </c>
      <c r="F684" t="inlineStr">
        <is>
          <t>SKÅNE LÄN</t>
        </is>
      </c>
      <c r="G684" t="inlineStr">
        <is>
          <t>KRISTIANSTAD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44933</v>
      </c>
      <c r="E685" s="1" t="n">
        <v>46270</v>
      </c>
      <c r="F685" t="inlineStr">
        <is>
          <t>SKÅNE LÄN</t>
        </is>
      </c>
      <c r="G685" t="inlineStr">
        <is>
          <t>KRISTIANSTAD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46270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46270</v>
      </c>
      <c r="F687" t="inlineStr">
        <is>
          <t>SKÅNE LÄN</t>
        </is>
      </c>
      <c r="G687" t="inlineStr">
        <is>
          <t>KRISTIANSTAD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33701-2026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46250</v>
      </c>
      <c r="E688" s="1" t="n">
        <v>46270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45278</v>
      </c>
      <c r="E689" s="1" t="n">
        <v>46270</v>
      </c>
      <c r="F689" t="inlineStr">
        <is>
          <t>SKÅNE LÄN</t>
        </is>
      </c>
      <c r="G689" t="inlineStr">
        <is>
          <t>KRISTIANSTAD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63942-2023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46270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45506</v>
      </c>
      <c r="E691" s="1" t="n">
        <v>46270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46270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46270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34730-2023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45141</v>
      </c>
      <c r="E694" s="1" t="n">
        <v>46270</v>
      </c>
      <c r="F694" t="inlineStr">
        <is>
          <t>SKÅNE LÄN</t>
        </is>
      </c>
      <c r="G694" t="inlineStr">
        <is>
          <t>KRISTIANSTAD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44858</v>
      </c>
      <c r="E695" s="1" t="n">
        <v>46270</v>
      </c>
      <c r="F695" t="inlineStr">
        <is>
          <t>SKÅNE LÄN</t>
        </is>
      </c>
      <c r="G695" t="inlineStr">
        <is>
          <t>KRISTIANSTAD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53491-2021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44468</v>
      </c>
      <c r="E696" s="1" t="n">
        <v>46270</v>
      </c>
      <c r="F696" t="inlineStr">
        <is>
          <t>SKÅNE LÄN</t>
        </is>
      </c>
      <c r="G696" t="inlineStr">
        <is>
          <t>KRISTIANSTAD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45738</v>
      </c>
      <c r="E697" s="1" t="n">
        <v>46270</v>
      </c>
      <c r="F697" t="inlineStr">
        <is>
          <t>SKÅNE LÄN</t>
        </is>
      </c>
      <c r="G697" t="inlineStr">
        <is>
          <t>KRISTIANSTAD</t>
        </is>
      </c>
      <c r="I697" t="n">
        <v>11.3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46270</v>
      </c>
      <c r="F698" t="inlineStr">
        <is>
          <t>SKÅNE LÄN</t>
        </is>
      </c>
      <c r="G698" t="inlineStr">
        <is>
          <t>KRISTIANSTAD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33702-2026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46250</v>
      </c>
      <c r="E699" s="1" t="n">
        <v>46270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32702-2023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46270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13975-2025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45738</v>
      </c>
      <c r="E701" s="1" t="n">
        <v>46270</v>
      </c>
      <c r="F701" t="inlineStr">
        <is>
          <t>SKÅNE LÄN</t>
        </is>
      </c>
      <c r="G701" t="inlineStr">
        <is>
          <t>KRISTIANSTAD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45738</v>
      </c>
      <c r="E702" s="1" t="n">
        <v>46270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42916-2024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46270</v>
      </c>
      <c r="F703" t="inlineStr">
        <is>
          <t>SKÅNE LÄN</t>
        </is>
      </c>
      <c r="G703" t="inlineStr">
        <is>
          <t>KRISTIANSTAD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9020-2024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45357</v>
      </c>
      <c r="E704" s="1" t="n">
        <v>46270</v>
      </c>
      <c r="F704" t="inlineStr">
        <is>
          <t>SKÅNE LÄN</t>
        </is>
      </c>
      <c r="G704" t="inlineStr">
        <is>
          <t>KRISTIANSTAD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46270</v>
      </c>
      <c r="F705" t="inlineStr">
        <is>
          <t>SKÅNE LÄN</t>
        </is>
      </c>
      <c r="G705" t="inlineStr">
        <is>
          <t>KRISTIANSTAD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34291-2026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46253</v>
      </c>
      <c r="E706" s="1" t="n">
        <v>46270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44442-2023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46270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45387</v>
      </c>
      <c r="E708" s="1" t="n">
        <v>46270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46270</v>
      </c>
      <c r="F709" t="inlineStr">
        <is>
          <t>SKÅNE LÄN</t>
        </is>
      </c>
      <c r="G709" t="inlineStr">
        <is>
          <t>KRISTIANSTAD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44991</v>
      </c>
      <c r="E710" s="1" t="n">
        <v>46270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59625-2022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44907</v>
      </c>
      <c r="E711" s="1" t="n">
        <v>46270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34159-2026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46253</v>
      </c>
      <c r="E712" s="1" t="n">
        <v>46270</v>
      </c>
      <c r="F712" t="inlineStr">
        <is>
          <t>SKÅNE LÄN</t>
        </is>
      </c>
      <c r="G712" t="inlineStr">
        <is>
          <t>KRISTIANSTAD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63681-2023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45275</v>
      </c>
      <c r="E713" s="1" t="n">
        <v>46270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32013-2023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45119</v>
      </c>
      <c r="E714" s="1" t="n">
        <v>46270</v>
      </c>
      <c r="F714" t="inlineStr">
        <is>
          <t>SKÅNE LÄN</t>
        </is>
      </c>
      <c r="G714" t="inlineStr">
        <is>
          <t>KRISTIANSTAD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46270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19642-2022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46270</v>
      </c>
      <c r="F716" t="inlineStr">
        <is>
          <t>SKÅNE LÄN</t>
        </is>
      </c>
      <c r="G716" t="inlineStr">
        <is>
          <t>KRISTIANSTAD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44946</v>
      </c>
      <c r="E717" s="1" t="n">
        <v>46270</v>
      </c>
      <c r="F717" t="inlineStr">
        <is>
          <t>SKÅNE LÄN</t>
        </is>
      </c>
      <c r="G717" t="inlineStr">
        <is>
          <t>KRISTIANSTAD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13953-2025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45737</v>
      </c>
      <c r="E718" s="1" t="n">
        <v>46270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46270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27402-2026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46189</v>
      </c>
      <c r="E720" s="1" t="n">
        <v>46270</v>
      </c>
      <c r="F720" t="inlineStr">
        <is>
          <t>SKÅNE LÄN</t>
        </is>
      </c>
      <c r="G720" t="inlineStr">
        <is>
          <t>KRISTIANSTAD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20714-2025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45776</v>
      </c>
      <c r="E721" s="1" t="n">
        <v>46270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46212</v>
      </c>
      <c r="E722" s="1" t="n">
        <v>46270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46212</v>
      </c>
      <c r="E723" s="1" t="n">
        <v>46270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30844-2026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46270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46212</v>
      </c>
      <c r="E725" s="1" t="n">
        <v>46270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45443</v>
      </c>
      <c r="E726" s="1" t="n">
        <v>46270</v>
      </c>
      <c r="F726" t="inlineStr">
        <is>
          <t>SKÅNE LÄN</t>
        </is>
      </c>
      <c r="G726" t="inlineStr">
        <is>
          <t>KRISTIANSTAD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44538-2024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45574</v>
      </c>
      <c r="E727" s="1" t="n">
        <v>46270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46256</v>
      </c>
      <c r="E728" s="1" t="n">
        <v>46270</v>
      </c>
      <c r="F728" t="inlineStr">
        <is>
          <t>SKÅNE LÄN</t>
        </is>
      </c>
      <c r="G728" t="inlineStr">
        <is>
          <t>KRISTIANSTAD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46214</v>
      </c>
      <c r="E729" s="1" t="n">
        <v>46270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45414</v>
      </c>
      <c r="E730" s="1" t="n">
        <v>46270</v>
      </c>
      <c r="F730" t="inlineStr">
        <is>
          <t>SKÅNE LÄN</t>
        </is>
      </c>
      <c r="G730" t="inlineStr">
        <is>
          <t>KRISTIANSTAD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46255</v>
      </c>
      <c r="E731" s="1" t="n">
        <v>46270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61137-2021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44497</v>
      </c>
      <c r="E732" s="1" t="n">
        <v>46270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45357</v>
      </c>
      <c r="E733" s="1" t="n">
        <v>46270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11037-2024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45370</v>
      </c>
      <c r="E734" s="1" t="n">
        <v>46270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51248-2024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45603</v>
      </c>
      <c r="E735" s="1" t="n">
        <v>46270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52176-2023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45217</v>
      </c>
      <c r="E736" s="1" t="n">
        <v>46270</v>
      </c>
      <c r="F736" t="inlineStr">
        <is>
          <t>SKÅNE LÄN</t>
        </is>
      </c>
      <c r="G736" t="inlineStr">
        <is>
          <t>KRISTIANSTAD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46270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55961-2023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45233</v>
      </c>
      <c r="E738" s="1" t="n">
        <v>46270</v>
      </c>
      <c r="F738" t="inlineStr">
        <is>
          <t>SKÅNE LÄN</t>
        </is>
      </c>
      <c r="G738" t="inlineStr">
        <is>
          <t>KRISTIANSTAD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46260</v>
      </c>
      <c r="E739" s="1" t="n">
        <v>46270</v>
      </c>
      <c r="F739" t="inlineStr">
        <is>
          <t>SKÅNE LÄN</t>
        </is>
      </c>
      <c r="G739" t="inlineStr">
        <is>
          <t>KRISTIANSTAD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45700</v>
      </c>
      <c r="E740" s="1" t="n">
        <v>46270</v>
      </c>
      <c r="F740" t="inlineStr">
        <is>
          <t>SKÅNE LÄN</t>
        </is>
      </c>
      <c r="G740" t="inlineStr">
        <is>
          <t>KRISTIANSTAD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43321-2023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46270</v>
      </c>
      <c r="F741" t="inlineStr">
        <is>
          <t>SKÅNE LÄN</t>
        </is>
      </c>
      <c r="G741" t="inlineStr">
        <is>
          <t>KRISTIANSTAD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31292-2026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46218</v>
      </c>
      <c r="E742" s="1" t="n">
        <v>46270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32990-2024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45517</v>
      </c>
      <c r="E743" s="1" t="n">
        <v>46270</v>
      </c>
      <c r="F743" t="inlineStr">
        <is>
          <t>SKÅNE LÄN</t>
        </is>
      </c>
      <c r="G743" t="inlineStr">
        <is>
          <t>KRISTIANSTAD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31219-2026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46217</v>
      </c>
      <c r="E744" s="1" t="n">
        <v>46270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30893-2024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45498</v>
      </c>
      <c r="E745" s="1" t="n">
        <v>46270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46260</v>
      </c>
      <c r="E746" s="1" t="n">
        <v>46270</v>
      </c>
      <c r="F746" t="inlineStr">
        <is>
          <t>SKÅNE LÄN</t>
        </is>
      </c>
      <c r="G746" t="inlineStr">
        <is>
          <t>KRISTIANSTAD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35327-2026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46261</v>
      </c>
      <c r="E747" s="1" t="n">
        <v>46270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46222</v>
      </c>
      <c r="E748" s="1" t="n">
        <v>46270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46223</v>
      </c>
      <c r="E749" s="1" t="n">
        <v>46270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46270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8718-2021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44501</v>
      </c>
      <c r="E751" s="1" t="n">
        <v>46270</v>
      </c>
      <c r="F751" t="inlineStr">
        <is>
          <t>SKÅNE LÄN</t>
        </is>
      </c>
      <c r="G751" t="inlineStr">
        <is>
          <t>KRISTIANSTAD</t>
        </is>
      </c>
      <c r="I751" t="n">
        <v>20.4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4865-2024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45617</v>
      </c>
      <c r="E752" s="1" t="n">
        <v>46270</v>
      </c>
      <c r="F752" t="inlineStr">
        <is>
          <t>SKÅNE LÄN</t>
        </is>
      </c>
      <c r="G752" t="inlineStr">
        <is>
          <t>KRISTIANSTAD</t>
        </is>
      </c>
      <c r="I752" t="n">
        <v>15.6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558-2023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44970</v>
      </c>
      <c r="E753" s="1" t="n">
        <v>46270</v>
      </c>
      <c r="F753" t="inlineStr">
        <is>
          <t>SKÅNE LÄN</t>
        </is>
      </c>
      <c r="G753" t="inlineStr">
        <is>
          <t>KRISTIANSTAD</t>
        </is>
      </c>
      <c r="H753" t="inlineStr">
        <is>
          <t>Kyrkan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2174-2023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45089</v>
      </c>
      <c r="E754" s="1" t="n">
        <v>46270</v>
      </c>
      <c r="F754" t="inlineStr">
        <is>
          <t>SKÅNE LÄN</t>
        </is>
      </c>
      <c r="G754" t="inlineStr">
        <is>
          <t>KRISTIANSTAD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6790-2021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44459</v>
      </c>
      <c r="E755" s="1" t="n">
        <v>46270</v>
      </c>
      <c r="F755" t="inlineStr">
        <is>
          <t>SKÅNE LÄN</t>
        </is>
      </c>
      <c r="G755" t="inlineStr">
        <is>
          <t>KRISTIANSTAD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46270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4910-2022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44809</v>
      </c>
      <c r="E757" s="1" t="n">
        <v>46270</v>
      </c>
      <c r="F757" t="inlineStr">
        <is>
          <t>SKÅNE LÄN</t>
        </is>
      </c>
      <c r="G757" t="inlineStr">
        <is>
          <t>KRISTIANSTAD</t>
        </is>
      </c>
      <c r="I757" t="n">
        <v>13.3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1865-2024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45440</v>
      </c>
      <c r="E758" s="1" t="n">
        <v>46270</v>
      </c>
      <c r="F758" t="inlineStr">
        <is>
          <t>SKÅNE LÄN</t>
        </is>
      </c>
      <c r="G758" t="inlineStr">
        <is>
          <t>KRISTIANSTAD</t>
        </is>
      </c>
      <c r="I758" t="n">
        <v>29.3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171-2025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45677</v>
      </c>
      <c r="E759" s="1" t="n">
        <v>46270</v>
      </c>
      <c r="F759" t="inlineStr">
        <is>
          <t>SKÅNE LÄN</t>
        </is>
      </c>
      <c r="G759" t="inlineStr">
        <is>
          <t>KRISTIANSTAD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175-2025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46270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2906-2024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45503</v>
      </c>
      <c r="E761" s="1" t="n">
        <v>46270</v>
      </c>
      <c r="F761" t="inlineStr">
        <is>
          <t>SKÅNE LÄN</t>
        </is>
      </c>
      <c r="G761" t="inlineStr">
        <is>
          <t>KRISTIANSTAD</t>
        </is>
      </c>
      <c r="I761" t="n">
        <v>16.5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45659</v>
      </c>
      <c r="E762" s="1" t="n">
        <v>46270</v>
      </c>
      <c r="F762" t="inlineStr">
        <is>
          <t>SKÅNE LÄN</t>
        </is>
      </c>
      <c r="G762" t="inlineStr">
        <is>
          <t>KRISTIANSTAD</t>
        </is>
      </c>
      <c r="I762" t="n">
        <v>8.800000000000001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4403-2022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44784</v>
      </c>
      <c r="E763" s="1" t="n">
        <v>46270</v>
      </c>
      <c r="F763" t="inlineStr">
        <is>
          <t>SKÅNE LÄN</t>
        </is>
      </c>
      <c r="G763" t="inlineStr">
        <is>
          <t>KRISTIANSTAD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5665-2022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44841</v>
      </c>
      <c r="E764" s="1" t="n">
        <v>46270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1076-2023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45012</v>
      </c>
      <c r="E765" s="1" t="n">
        <v>46270</v>
      </c>
      <c r="F765" t="inlineStr">
        <is>
          <t>SKÅNE LÄN</t>
        </is>
      </c>
      <c r="G765" t="inlineStr">
        <is>
          <t>KRISTIANSTAD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2146-2022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44676</v>
      </c>
      <c r="E766" s="1" t="n">
        <v>46270</v>
      </c>
      <c r="F766" t="inlineStr">
        <is>
          <t>SKÅNE LÄN</t>
        </is>
      </c>
      <c r="G766" t="inlineStr">
        <is>
          <t>KRISTIANSTAD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307-2023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44956</v>
      </c>
      <c r="E767" s="1" t="n">
        <v>46270</v>
      </c>
      <c r="F767" t="inlineStr">
        <is>
          <t>SKÅNE LÄN</t>
        </is>
      </c>
      <c r="G767" t="inlineStr">
        <is>
          <t>KRISTIANSTAD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1731-2023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45069</v>
      </c>
      <c r="E768" s="1" t="n">
        <v>46270</v>
      </c>
      <c r="F768" t="inlineStr">
        <is>
          <t>SKÅNE LÄN</t>
        </is>
      </c>
      <c r="G768" t="inlineStr">
        <is>
          <t>KRISTIANSTAD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2492-2023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45120</v>
      </c>
      <c r="E769" s="1" t="n">
        <v>46270</v>
      </c>
      <c r="F769" t="inlineStr">
        <is>
          <t>SKÅNE LÄN</t>
        </is>
      </c>
      <c r="G769" t="inlineStr">
        <is>
          <t>KRISTIANSTAD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45728</v>
      </c>
      <c r="E770" s="1" t="n">
        <v>46270</v>
      </c>
      <c r="F770" t="inlineStr">
        <is>
          <t>SKÅNE LÄN</t>
        </is>
      </c>
      <c r="G770" t="inlineStr">
        <is>
          <t>KRISTIANSTAD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476-2025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45702</v>
      </c>
      <c r="E771" s="1" t="n">
        <v>46270</v>
      </c>
      <c r="F771" t="inlineStr">
        <is>
          <t>SKÅNE LÄN</t>
        </is>
      </c>
      <c r="G771" t="inlineStr">
        <is>
          <t>KRISTIANSTAD</t>
        </is>
      </c>
      <c r="I771" t="n">
        <v>58.6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46270</v>
      </c>
      <c r="F772" t="inlineStr">
        <is>
          <t>SKÅNE LÄN</t>
        </is>
      </c>
      <c r="G772" t="inlineStr">
        <is>
          <t>KRISTIANSTAD</t>
        </is>
      </c>
      <c r="I772" t="n">
        <v>67.7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760-2025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45726</v>
      </c>
      <c r="E773" s="1" t="n">
        <v>46270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871-2025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45734</v>
      </c>
      <c r="E774" s="1" t="n">
        <v>46270</v>
      </c>
      <c r="F774" t="inlineStr">
        <is>
          <t>SKÅNE LÄN</t>
        </is>
      </c>
      <c r="G774" t="inlineStr">
        <is>
          <t>KRISTIANSTAD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1747-2025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45811</v>
      </c>
      <c r="E775" s="1" t="n">
        <v>46270</v>
      </c>
      <c r="F775" t="inlineStr">
        <is>
          <t>SKÅNE LÄN</t>
        </is>
      </c>
      <c r="G775" t="inlineStr">
        <is>
          <t>KRISTIANSTAD</t>
        </is>
      </c>
      <c r="I775" t="n">
        <v>11.3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46270</v>
      </c>
      <c r="F776" t="inlineStr">
        <is>
          <t>SKÅNE LÄN</t>
        </is>
      </c>
      <c r="G776" t="inlineStr">
        <is>
          <t>KRISTIANSTAD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46270</v>
      </c>
      <c r="F777" t="inlineStr">
        <is>
          <t>SKÅNE LÄN</t>
        </is>
      </c>
      <c r="G777" t="inlineStr">
        <is>
          <t>KRISTIANSTAD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2468-2025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45901</v>
      </c>
      <c r="E778" s="1" t="n">
        <v>46270</v>
      </c>
      <c r="F778" t="inlineStr">
        <is>
          <t>SKÅNE LÄN</t>
        </is>
      </c>
      <c r="G778" t="inlineStr">
        <is>
          <t>KRISTIANSTAD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45945</v>
      </c>
      <c r="E779" s="1" t="n">
        <v>46270</v>
      </c>
      <c r="F779" t="inlineStr">
        <is>
          <t>SKÅNE LÄN</t>
        </is>
      </c>
      <c r="G779" t="inlineStr">
        <is>
          <t>KRISTIANSTAD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2889-2025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45946</v>
      </c>
      <c r="E780" s="1" t="n">
        <v>46270</v>
      </c>
      <c r="F780" t="inlineStr">
        <is>
          <t>SKÅNE LÄN</t>
        </is>
      </c>
      <c r="G780" t="inlineStr">
        <is>
          <t>KRISTIANSTAD</t>
        </is>
      </c>
      <c r="I780" t="n">
        <v>43.6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1064-2026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46127</v>
      </c>
      <c r="E781" s="1" t="n">
        <v>46270</v>
      </c>
      <c r="F781" t="inlineStr">
        <is>
          <t>SKÅNE LÄN</t>
        </is>
      </c>
      <c r="G781" t="inlineStr">
        <is>
          <t>KRISTIANSTAD</t>
        </is>
      </c>
      <c r="I781" t="n">
        <v>69.8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1210-2026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46141</v>
      </c>
      <c r="E782" s="1" t="n">
        <v>46270</v>
      </c>
      <c r="F782" t="inlineStr">
        <is>
          <t>SKÅNE LÄN</t>
        </is>
      </c>
      <c r="G782" t="inlineStr">
        <is>
          <t>KRISTIANSTAD</t>
        </is>
      </c>
      <c r="H782" t="inlineStr">
        <is>
          <t>Sveaskog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1380-2026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46148</v>
      </c>
      <c r="E783" s="1" t="n">
        <v>46270</v>
      </c>
      <c r="F783" t="inlineStr">
        <is>
          <t>SKÅNE LÄN</t>
        </is>
      </c>
      <c r="G783" t="inlineStr">
        <is>
          <t>KRISTIANSTAD</t>
        </is>
      </c>
      <c r="I783" t="n">
        <v>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2026-09-05T02:06:27Z</dcterms:created>
  <dcterms:modified xmlns:dcterms="http://purl.org/dc/terms/" xmlns:xsi="http://www.w3.org/2001/XMLSchema-instance" xsi:type="dcterms:W3CDTF">2026-09-05T02:06:28Z</dcterms:modified>
</cp:coreProperties>
</file>