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45787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45787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45787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45787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45787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45787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45787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45787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45787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45787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45787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45787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45787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45787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45787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45787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45787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22968-2021</t>
        </is>
      </c>
      <c r="B19" s="1" t="n">
        <v>44328</v>
      </c>
      <c r="C19" s="1" t="n">
        <v>45787</v>
      </c>
      <c r="D19" t="inlineStr">
        <is>
          <t>SKÅNE LÄN</t>
        </is>
      </c>
      <c r="E19" t="inlineStr">
        <is>
          <t>KRISTIANSTAD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Prakttagging
Tallticka
Grönsiska</t>
        </is>
      </c>
      <c r="S19">
        <f>HYPERLINK("https://klasma.github.io/Logging_1290/artfynd/A 22968-2021 artfynd.xlsx", "A 22968-2021")</f>
        <v/>
      </c>
      <c r="T19">
        <f>HYPERLINK("https://klasma.github.io/Logging_1290/kartor/A 22968-2021 karta.png", "A 22968-2021")</f>
        <v/>
      </c>
      <c r="V19">
        <f>HYPERLINK("https://klasma.github.io/Logging_1290/klagomål/A 22968-2021 FSC-klagomål.docx", "A 22968-2021")</f>
        <v/>
      </c>
      <c r="W19">
        <f>HYPERLINK("https://klasma.github.io/Logging_1290/klagomålsmail/A 22968-2021 FSC-klagomål mail.docx", "A 22968-2021")</f>
        <v/>
      </c>
      <c r="X19">
        <f>HYPERLINK("https://klasma.github.io/Logging_1290/tillsyn/A 22968-2021 tillsynsbegäran.docx", "A 22968-2021")</f>
        <v/>
      </c>
      <c r="Y19">
        <f>HYPERLINK("https://klasma.github.io/Logging_1290/tillsynsmail/A 22968-2021 tillsynsbegäran mail.docx", "A 22968-2021")</f>
        <v/>
      </c>
      <c r="Z19">
        <f>HYPERLINK("https://klasma.github.io/Logging_1290/fåglar/A 22968-2021 prioriterade fågelarter.docx", "A 22968-2021")</f>
        <v/>
      </c>
    </row>
    <row r="20" ht="15" customHeight="1">
      <c r="A20" t="inlineStr">
        <is>
          <t>A 52020-2021</t>
        </is>
      </c>
      <c r="B20" s="1" t="n">
        <v>44463</v>
      </c>
      <c r="C20" s="1" t="n">
        <v>45787</v>
      </c>
      <c r="D20" t="inlineStr">
        <is>
          <t>SKÅNE LÄN</t>
        </is>
      </c>
      <c r="E20" t="inlineStr">
        <is>
          <t>KRISTIANSTAD</t>
        </is>
      </c>
      <c r="G20" t="n">
        <v>1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Järnsparv
Kungsfågel</t>
        </is>
      </c>
      <c r="S20">
        <f>HYPERLINK("https://klasma.github.io/Logging_1290/artfynd/A 52020-2021 artfynd.xlsx", "A 52020-2021")</f>
        <v/>
      </c>
      <c r="T20">
        <f>HYPERLINK("https://klasma.github.io/Logging_1290/kartor/A 52020-2021 karta.png", "A 52020-2021")</f>
        <v/>
      </c>
      <c r="V20">
        <f>HYPERLINK("https://klasma.github.io/Logging_1290/klagomål/A 52020-2021 FSC-klagomål.docx", "A 52020-2021")</f>
        <v/>
      </c>
      <c r="W20">
        <f>HYPERLINK("https://klasma.github.io/Logging_1290/klagomålsmail/A 52020-2021 FSC-klagomål mail.docx", "A 52020-2021")</f>
        <v/>
      </c>
      <c r="X20">
        <f>HYPERLINK("https://klasma.github.io/Logging_1290/tillsyn/A 52020-2021 tillsynsbegäran.docx", "A 52020-2021")</f>
        <v/>
      </c>
      <c r="Y20">
        <f>HYPERLINK("https://klasma.github.io/Logging_1290/tillsynsmail/A 52020-2021 tillsynsbegäran mail.docx", "A 52020-2021")</f>
        <v/>
      </c>
      <c r="Z20">
        <f>HYPERLINK("https://klasma.github.io/Logging_1290/fåglar/A 52020-2021 prioriterade fågelarter.docx", "A 52020-2021")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45787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54542-2021</t>
        </is>
      </c>
      <c r="B22" s="1" t="n">
        <v>44473</v>
      </c>
      <c r="C22" s="1" t="n">
        <v>45787</v>
      </c>
      <c r="D22" t="inlineStr">
        <is>
          <t>SKÅNE LÄN</t>
        </is>
      </c>
      <c r="E22" t="inlineStr">
        <is>
          <t>KRISTIANSTAD</t>
        </is>
      </c>
      <c r="G22" t="n">
        <v>9.6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Havsörn
Tallticka
Grovticka</t>
        </is>
      </c>
      <c r="S22">
        <f>HYPERLINK("https://klasma.github.io/Logging_1290/artfynd/A 54542-2021 artfynd.xlsx", "A 54542-2021")</f>
        <v/>
      </c>
      <c r="T22">
        <f>HYPERLINK("https://klasma.github.io/Logging_1290/kartor/A 54542-2021 karta.png", "A 54542-2021")</f>
        <v/>
      </c>
      <c r="V22">
        <f>HYPERLINK("https://klasma.github.io/Logging_1290/klagomål/A 54542-2021 FSC-klagomål.docx", "A 54542-2021")</f>
        <v/>
      </c>
      <c r="W22">
        <f>HYPERLINK("https://klasma.github.io/Logging_1290/klagomålsmail/A 54542-2021 FSC-klagomål mail.docx", "A 54542-2021")</f>
        <v/>
      </c>
      <c r="X22">
        <f>HYPERLINK("https://klasma.github.io/Logging_1290/tillsyn/A 54542-2021 tillsynsbegäran.docx", "A 54542-2021")</f>
        <v/>
      </c>
      <c r="Y22">
        <f>HYPERLINK("https://klasma.github.io/Logging_1290/tillsynsmail/A 54542-2021 tillsynsbegäran mail.docx", "A 54542-2021")</f>
        <v/>
      </c>
      <c r="Z22">
        <f>HYPERLINK("https://klasma.github.io/Logging_1290/fåglar/A 54542-2021 prioriterade fågelarter.docx", "A 54542-2021")</f>
        <v/>
      </c>
    </row>
    <row r="23" ht="15" customHeight="1">
      <c r="A23" t="inlineStr">
        <is>
          <t>A 40509-2022</t>
        </is>
      </c>
      <c r="B23" s="1" t="n">
        <v>44823</v>
      </c>
      <c r="C23" s="1" t="n">
        <v>45787</v>
      </c>
      <c r="D23" t="inlineStr">
        <is>
          <t>SKÅNE LÄN</t>
        </is>
      </c>
      <c r="E23" t="inlineStr">
        <is>
          <t>KRISTIANSTAD</t>
        </is>
      </c>
      <c r="F23" t="inlineStr">
        <is>
          <t>Sveaskog</t>
        </is>
      </c>
      <c r="G23" t="n">
        <v>1.8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Småvänderot
Skogslysing
Svart trolldruva</t>
        </is>
      </c>
      <c r="S23">
        <f>HYPERLINK("https://klasma.github.io/Logging_1290/artfynd/A 40509-2022 artfynd.xlsx", "A 40509-2022")</f>
        <v/>
      </c>
      <c r="T23">
        <f>HYPERLINK("https://klasma.github.io/Logging_1290/kartor/A 40509-2022 karta.png", "A 40509-2022")</f>
        <v/>
      </c>
      <c r="V23">
        <f>HYPERLINK("https://klasma.github.io/Logging_1290/klagomål/A 40509-2022 FSC-klagomål.docx", "A 40509-2022")</f>
        <v/>
      </c>
      <c r="W23">
        <f>HYPERLINK("https://klasma.github.io/Logging_1290/klagomålsmail/A 40509-2022 FSC-klagomål mail.docx", "A 40509-2022")</f>
        <v/>
      </c>
      <c r="X23">
        <f>HYPERLINK("https://klasma.github.io/Logging_1290/tillsyn/A 40509-2022 tillsynsbegäran.docx", "A 40509-2022")</f>
        <v/>
      </c>
      <c r="Y23">
        <f>HYPERLINK("https://klasma.github.io/Logging_1290/tillsynsmail/A 40509-2022 tillsynsbegäran mail.docx", "A 40509-2022")</f>
        <v/>
      </c>
    </row>
    <row r="24" ht="15" customHeight="1">
      <c r="A24" t="inlineStr">
        <is>
          <t>A 12576-2023</t>
        </is>
      </c>
      <c r="B24" s="1" t="n">
        <v>45000</v>
      </c>
      <c r="C24" s="1" t="n">
        <v>45787</v>
      </c>
      <c r="D24" t="inlineStr">
        <is>
          <t>SKÅNE LÄN</t>
        </is>
      </c>
      <c r="E24" t="inlineStr">
        <is>
          <t>KRISTIANSTAD</t>
        </is>
      </c>
      <c r="G24" t="n">
        <v>5.8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Bukspolsnäcka
Lamellsnäcka
Tandsnäcka</t>
        </is>
      </c>
      <c r="S24">
        <f>HYPERLINK("https://klasma.github.io/Logging_1290/artfynd/A 12576-2023 artfynd.xlsx", "A 12576-2023")</f>
        <v/>
      </c>
      <c r="T24">
        <f>HYPERLINK("https://klasma.github.io/Logging_1290/kartor/A 12576-2023 karta.png", "A 12576-2023")</f>
        <v/>
      </c>
      <c r="V24">
        <f>HYPERLINK("https://klasma.github.io/Logging_1290/klagomål/A 12576-2023 FSC-klagomål.docx", "A 12576-2023")</f>
        <v/>
      </c>
      <c r="W24">
        <f>HYPERLINK("https://klasma.github.io/Logging_1290/klagomålsmail/A 12576-2023 FSC-klagomål mail.docx", "A 12576-2023")</f>
        <v/>
      </c>
      <c r="X24">
        <f>HYPERLINK("https://klasma.github.io/Logging_1290/tillsyn/A 12576-2023 tillsynsbegäran.docx", "A 12576-2023")</f>
        <v/>
      </c>
      <c r="Y24">
        <f>HYPERLINK("https://klasma.github.io/Logging_1290/tillsynsmail/A 12576-2023 tillsynsbegäran mail.docx", "A 12576-2023")</f>
        <v/>
      </c>
    </row>
    <row r="25" ht="15" customHeight="1">
      <c r="A25" t="inlineStr">
        <is>
          <t>A 38703-2023</t>
        </is>
      </c>
      <c r="B25" s="1" t="n">
        <v>45163</v>
      </c>
      <c r="C25" s="1" t="n">
        <v>45787</v>
      </c>
      <c r="D25" t="inlineStr">
        <is>
          <t>SKÅNE LÄN</t>
        </is>
      </c>
      <c r="E25" t="inlineStr">
        <is>
          <t>KRISTIANSTAD</t>
        </is>
      </c>
      <c r="G25" t="n">
        <v>7.6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Backtimjan
Spillkråka
Törnskata</t>
        </is>
      </c>
      <c r="S25">
        <f>HYPERLINK("https://klasma.github.io/Logging_1290/artfynd/A 38703-2023 artfynd.xlsx", "A 38703-2023")</f>
        <v/>
      </c>
      <c r="T25">
        <f>HYPERLINK("https://klasma.github.io/Logging_1290/kartor/A 38703-2023 karta.png", "A 38703-2023")</f>
        <v/>
      </c>
      <c r="V25">
        <f>HYPERLINK("https://klasma.github.io/Logging_1290/klagomål/A 38703-2023 FSC-klagomål.docx", "A 38703-2023")</f>
        <v/>
      </c>
      <c r="W25">
        <f>HYPERLINK("https://klasma.github.io/Logging_1290/klagomålsmail/A 38703-2023 FSC-klagomål mail.docx", "A 38703-2023")</f>
        <v/>
      </c>
      <c r="X25">
        <f>HYPERLINK("https://klasma.github.io/Logging_1290/tillsyn/A 38703-2023 tillsynsbegäran.docx", "A 38703-2023")</f>
        <v/>
      </c>
      <c r="Y25">
        <f>HYPERLINK("https://klasma.github.io/Logging_1290/tillsynsmail/A 38703-2023 tillsynsbegäran mail.docx", "A 38703-2023")</f>
        <v/>
      </c>
      <c r="Z25">
        <f>HYPERLINK("https://klasma.github.io/Logging_1290/fåglar/A 38703-2023 prioriterade fågelarter.docx", "A 38703-2023")</f>
        <v/>
      </c>
    </row>
    <row r="26" ht="15" customHeight="1">
      <c r="A26" t="inlineStr">
        <is>
          <t>A 2888-2024</t>
        </is>
      </c>
      <c r="B26" s="1" t="n">
        <v>45315</v>
      </c>
      <c r="C26" s="1" t="n">
        <v>45787</v>
      </c>
      <c r="D26" t="inlineStr">
        <is>
          <t>SKÅNE LÄN</t>
        </is>
      </c>
      <c r="E26" t="inlineStr">
        <is>
          <t>KRISTIANSTAD</t>
        </is>
      </c>
      <c r="G26" t="n">
        <v>10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Flenörtskapuschongfly
Kransrams
Stor häxört</t>
        </is>
      </c>
      <c r="S26">
        <f>HYPERLINK("https://klasma.github.io/Logging_1290/artfynd/A 2888-2024 artfynd.xlsx", "A 2888-2024")</f>
        <v/>
      </c>
      <c r="T26">
        <f>HYPERLINK("https://klasma.github.io/Logging_1290/kartor/A 2888-2024 karta.png", "A 2888-2024")</f>
        <v/>
      </c>
      <c r="V26">
        <f>HYPERLINK("https://klasma.github.io/Logging_1290/klagomål/A 2888-2024 FSC-klagomål.docx", "A 2888-2024")</f>
        <v/>
      </c>
      <c r="W26">
        <f>HYPERLINK("https://klasma.github.io/Logging_1290/klagomålsmail/A 2888-2024 FSC-klagomål mail.docx", "A 2888-2024")</f>
        <v/>
      </c>
      <c r="X26">
        <f>HYPERLINK("https://klasma.github.io/Logging_1290/tillsyn/A 2888-2024 tillsynsbegäran.docx", "A 2888-2024")</f>
        <v/>
      </c>
      <c r="Y26">
        <f>HYPERLINK("https://klasma.github.io/Logging_1290/tillsynsmail/A 2888-2024 tillsynsbegäran mail.docx", "A 2888-2024")</f>
        <v/>
      </c>
    </row>
    <row r="27" ht="15" customHeight="1">
      <c r="A27" t="inlineStr">
        <is>
          <t>A 7435-2025</t>
        </is>
      </c>
      <c r="B27" s="1" t="n">
        <v>45702</v>
      </c>
      <c r="C27" s="1" t="n">
        <v>45787</v>
      </c>
      <c r="D27" t="inlineStr">
        <is>
          <t>SKÅNE LÄN</t>
        </is>
      </c>
      <c r="E27" t="inlineStr">
        <is>
          <t>KRISTIANSTAD</t>
        </is>
      </c>
      <c r="F27" t="inlineStr">
        <is>
          <t>Kyrkan</t>
        </is>
      </c>
      <c r="G27" t="n">
        <v>9.300000000000001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Backtimjan
Solvända
Sommarfibbla</t>
        </is>
      </c>
      <c r="S27">
        <f>HYPERLINK("https://klasma.github.io/Logging_1290/artfynd/A 7435-2025 artfynd.xlsx", "A 7435-2025")</f>
        <v/>
      </c>
      <c r="T27">
        <f>HYPERLINK("https://klasma.github.io/Logging_1290/kartor/A 7435-2025 karta.png", "A 7435-2025")</f>
        <v/>
      </c>
      <c r="V27">
        <f>HYPERLINK("https://klasma.github.io/Logging_1290/klagomål/A 7435-2025 FSC-klagomål.docx", "A 7435-2025")</f>
        <v/>
      </c>
      <c r="W27">
        <f>HYPERLINK("https://klasma.github.io/Logging_1290/klagomålsmail/A 7435-2025 FSC-klagomål mail.docx", "A 7435-2025")</f>
        <v/>
      </c>
      <c r="X27">
        <f>HYPERLINK("https://klasma.github.io/Logging_1290/tillsyn/A 7435-2025 tillsynsbegäran.docx", "A 7435-2025")</f>
        <v/>
      </c>
      <c r="Y27">
        <f>HYPERLINK("https://klasma.github.io/Logging_1290/tillsynsmail/A 7435-2025 tillsynsbegäran mail.docx", "A 7435-2025")</f>
        <v/>
      </c>
    </row>
    <row r="28" ht="15" customHeight="1">
      <c r="A28" t="inlineStr">
        <is>
          <t>A 21117-2021</t>
        </is>
      </c>
      <c r="B28" s="1" t="n">
        <v>44319</v>
      </c>
      <c r="C28" s="1" t="n">
        <v>45787</v>
      </c>
      <c r="D28" t="inlineStr">
        <is>
          <t>SKÅNE LÄN</t>
        </is>
      </c>
      <c r="E28" t="inlineStr">
        <is>
          <t>KRISTIANSTAD</t>
        </is>
      </c>
      <c r="G28" t="n">
        <v>22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Revlummer</t>
        </is>
      </c>
      <c r="S28">
        <f>HYPERLINK("https://klasma.github.io/Logging_1290/artfynd/A 21117-2021 artfynd.xlsx", "A 21117-2021")</f>
        <v/>
      </c>
      <c r="T28">
        <f>HYPERLINK("https://klasma.github.io/Logging_1290/kartor/A 21117-2021 karta.png", "A 21117-2021")</f>
        <v/>
      </c>
      <c r="V28">
        <f>HYPERLINK("https://klasma.github.io/Logging_1290/klagomål/A 21117-2021 FSC-klagomål.docx", "A 21117-2021")</f>
        <v/>
      </c>
      <c r="W28">
        <f>HYPERLINK("https://klasma.github.io/Logging_1290/klagomålsmail/A 21117-2021 FSC-klagomål mail.docx", "A 21117-2021")</f>
        <v/>
      </c>
      <c r="X28">
        <f>HYPERLINK("https://klasma.github.io/Logging_1290/tillsyn/A 21117-2021 tillsynsbegäran.docx", "A 21117-2021")</f>
        <v/>
      </c>
      <c r="Y28">
        <f>HYPERLINK("https://klasma.github.io/Logging_1290/tillsynsmail/A 21117-2021 tillsynsbegäran mail.docx", "A 21117-2021")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45787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45787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45787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45787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45787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45787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45787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45787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45787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45787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45787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45787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45787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45787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45787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45787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45787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45787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45787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45787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45787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45787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56454-2021</t>
        </is>
      </c>
      <c r="B51" s="1" t="n">
        <v>44480</v>
      </c>
      <c r="C51" s="1" t="n">
        <v>45787</v>
      </c>
      <c r="D51" t="inlineStr">
        <is>
          <t>SKÅNE LÄN</t>
        </is>
      </c>
      <c r="E51" t="inlineStr">
        <is>
          <t>KRISTIANSTAD</t>
        </is>
      </c>
      <c r="F51" t="inlineStr">
        <is>
          <t>Kyrkan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HYPERLINK("https://klasma.github.io/Logging_1290/artfynd/A 56454-2021 artfynd.xlsx", "A 56454-2021")</f>
        <v/>
      </c>
      <c r="T51">
        <f>HYPERLINK("https://klasma.github.io/Logging_1290/kartor/A 56454-2021 karta.png", "A 56454-2021")</f>
        <v/>
      </c>
      <c r="V51">
        <f>HYPERLINK("https://klasma.github.io/Logging_1290/klagomål/A 56454-2021 FSC-klagomål.docx", "A 56454-2021")</f>
        <v/>
      </c>
      <c r="W51">
        <f>HYPERLINK("https://klasma.github.io/Logging_1290/klagomålsmail/A 56454-2021 FSC-klagomål mail.docx", "A 56454-2021")</f>
        <v/>
      </c>
      <c r="X51">
        <f>HYPERLINK("https://klasma.github.io/Logging_1290/tillsyn/A 56454-2021 tillsynsbegäran.docx", "A 56454-2021")</f>
        <v/>
      </c>
      <c r="Y51">
        <f>HYPERLINK("https://klasma.github.io/Logging_1290/tillsynsmail/A 56454-2021 tillsynsbegäran mail.docx", "A 56454-2021")</f>
        <v/>
      </c>
      <c r="Z51">
        <f>HYPERLINK("https://klasma.github.io/Logging_1290/fåglar/A 56454-2021 prioriterade fågelarter.docx", "A 56454-2021")</f>
        <v/>
      </c>
    </row>
    <row r="52" ht="15" customHeight="1">
      <c r="A52" t="inlineStr">
        <is>
          <t>A 11750-2022</t>
        </is>
      </c>
      <c r="B52" s="1" t="n">
        <v>44634</v>
      </c>
      <c r="C52" s="1" t="n">
        <v>45787</v>
      </c>
      <c r="D52" t="inlineStr">
        <is>
          <t>SKÅNE LÄN</t>
        </is>
      </c>
      <c r="E52" t="inlineStr">
        <is>
          <t>KRISTIANSTAD</t>
        </is>
      </c>
      <c r="G52" t="n">
        <v>1.8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Sanddådra</t>
        </is>
      </c>
      <c r="S52">
        <f>HYPERLINK("https://klasma.github.io/Logging_1290/artfynd/A 11750-2022 artfynd.xlsx", "A 11750-2022")</f>
        <v/>
      </c>
      <c r="T52">
        <f>HYPERLINK("https://klasma.github.io/Logging_1290/kartor/A 11750-2022 karta.png", "A 11750-2022")</f>
        <v/>
      </c>
      <c r="V52">
        <f>HYPERLINK("https://klasma.github.io/Logging_1290/klagomål/A 11750-2022 FSC-klagomål.docx", "A 11750-2022")</f>
        <v/>
      </c>
      <c r="W52">
        <f>HYPERLINK("https://klasma.github.io/Logging_1290/klagomålsmail/A 11750-2022 FSC-klagomål mail.docx", "A 11750-2022")</f>
        <v/>
      </c>
      <c r="X52">
        <f>HYPERLINK("https://klasma.github.io/Logging_1290/tillsyn/A 11750-2022 tillsynsbegäran.docx", "A 11750-2022")</f>
        <v/>
      </c>
      <c r="Y52">
        <f>HYPERLINK("https://klasma.github.io/Logging_1290/tillsynsmail/A 11750-2022 tillsynsbegäran mail.docx", "A 11750-2022")</f>
        <v/>
      </c>
    </row>
    <row r="53" ht="15" customHeight="1">
      <c r="A53" t="inlineStr">
        <is>
          <t>A 18539-2022</t>
        </is>
      </c>
      <c r="B53" s="1" t="n">
        <v>44686</v>
      </c>
      <c r="C53" s="1" t="n">
        <v>45787</v>
      </c>
      <c r="D53" t="inlineStr">
        <is>
          <t>SKÅNE LÄN</t>
        </is>
      </c>
      <c r="E53" t="inlineStr">
        <is>
          <t>KRISTIANSTAD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HYPERLINK("https://klasma.github.io/Logging_1290/artfynd/A 18539-2022 artfynd.xlsx", "A 18539-2022")</f>
        <v/>
      </c>
      <c r="T53">
        <f>HYPERLINK("https://klasma.github.io/Logging_1290/kartor/A 18539-2022 karta.png", "A 18539-2022")</f>
        <v/>
      </c>
      <c r="V53">
        <f>HYPERLINK("https://klasma.github.io/Logging_1290/klagomål/A 18539-2022 FSC-klagomål.docx", "A 18539-2022")</f>
        <v/>
      </c>
      <c r="W53">
        <f>HYPERLINK("https://klasma.github.io/Logging_1290/klagomålsmail/A 18539-2022 FSC-klagomål mail.docx", "A 18539-2022")</f>
        <v/>
      </c>
      <c r="X53">
        <f>HYPERLINK("https://klasma.github.io/Logging_1290/tillsyn/A 18539-2022 tillsynsbegäran.docx", "A 18539-2022")</f>
        <v/>
      </c>
      <c r="Y53">
        <f>HYPERLINK("https://klasma.github.io/Logging_1290/tillsynsmail/A 18539-2022 tillsynsbegäran mail.docx", "A 18539-2022")</f>
        <v/>
      </c>
    </row>
    <row r="54" ht="15" customHeight="1">
      <c r="A54" t="inlineStr">
        <is>
          <t>A 41004-2022</t>
        </is>
      </c>
      <c r="B54" s="1" t="n">
        <v>44825</v>
      </c>
      <c r="C54" s="1" t="n">
        <v>45787</v>
      </c>
      <c r="D54" t="inlineStr">
        <is>
          <t>SKÅNE LÄN</t>
        </is>
      </c>
      <c r="E54" t="inlineStr">
        <is>
          <t>KRISTIANSTAD</t>
        </is>
      </c>
      <c r="G54" t="n">
        <v>2.4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Skogsbräsma</t>
        </is>
      </c>
      <c r="S54">
        <f>HYPERLINK("https://klasma.github.io/Logging_1290/artfynd/A 41004-2022 artfynd.xlsx", "A 41004-2022")</f>
        <v/>
      </c>
      <c r="T54">
        <f>HYPERLINK("https://klasma.github.io/Logging_1290/kartor/A 41004-2022 karta.png", "A 41004-2022")</f>
        <v/>
      </c>
      <c r="V54">
        <f>HYPERLINK("https://klasma.github.io/Logging_1290/klagomål/A 41004-2022 FSC-klagomål.docx", "A 41004-2022")</f>
        <v/>
      </c>
      <c r="W54">
        <f>HYPERLINK("https://klasma.github.io/Logging_1290/klagomålsmail/A 41004-2022 FSC-klagomål mail.docx", "A 41004-2022")</f>
        <v/>
      </c>
      <c r="X54">
        <f>HYPERLINK("https://klasma.github.io/Logging_1290/tillsyn/A 41004-2022 tillsynsbegäran.docx", "A 41004-2022")</f>
        <v/>
      </c>
      <c r="Y54">
        <f>HYPERLINK("https://klasma.github.io/Logging_1290/tillsynsmail/A 41004-2022 tillsynsbegäran mail.docx", "A 41004-2022")</f>
        <v/>
      </c>
    </row>
    <row r="55" ht="15" customHeight="1">
      <c r="A55" t="inlineStr">
        <is>
          <t>A 41275-2022</t>
        </is>
      </c>
      <c r="B55" s="1" t="n">
        <v>44826</v>
      </c>
      <c r="C55" s="1" t="n">
        <v>45787</v>
      </c>
      <c r="D55" t="inlineStr">
        <is>
          <t>SKÅNE LÄN</t>
        </is>
      </c>
      <c r="E55" t="inlineStr">
        <is>
          <t>KRISTIANSTAD</t>
        </is>
      </c>
      <c r="G55" t="n">
        <v>2.9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Praktnejlika</t>
        </is>
      </c>
      <c r="S55">
        <f>HYPERLINK("https://klasma.github.io/Logging_1290/artfynd/A 41275-2022 artfynd.xlsx", "A 41275-2022")</f>
        <v/>
      </c>
      <c r="T55">
        <f>HYPERLINK("https://klasma.github.io/Logging_1290/kartor/A 41275-2022 karta.png", "A 41275-2022")</f>
        <v/>
      </c>
      <c r="V55">
        <f>HYPERLINK("https://klasma.github.io/Logging_1290/klagomål/A 41275-2022 FSC-klagomål.docx", "A 41275-2022")</f>
        <v/>
      </c>
      <c r="W55">
        <f>HYPERLINK("https://klasma.github.io/Logging_1290/klagomålsmail/A 41275-2022 FSC-klagomål mail.docx", "A 41275-2022")</f>
        <v/>
      </c>
      <c r="X55">
        <f>HYPERLINK("https://klasma.github.io/Logging_1290/tillsyn/A 41275-2022 tillsynsbegäran.docx", "A 41275-2022")</f>
        <v/>
      </c>
      <c r="Y55">
        <f>HYPERLINK("https://klasma.github.io/Logging_1290/tillsynsmail/A 41275-2022 tillsynsbegäran mail.docx", "A 41275-2022")</f>
        <v/>
      </c>
    </row>
    <row r="56" ht="15" customHeight="1">
      <c r="A56" t="inlineStr">
        <is>
          <t>A 61885-2022</t>
        </is>
      </c>
      <c r="B56" s="1" t="n">
        <v>44917</v>
      </c>
      <c r="C56" s="1" t="n">
        <v>45787</v>
      </c>
      <c r="D56" t="inlineStr">
        <is>
          <t>SKÅNE LÄN</t>
        </is>
      </c>
      <c r="E56" t="inlineStr">
        <is>
          <t>KRISTIANSTAD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Koralltaggsvamp</t>
        </is>
      </c>
      <c r="S56">
        <f>HYPERLINK("https://klasma.github.io/Logging_1290/artfynd/A 61885-2022 artfynd.xlsx", "A 61885-2022")</f>
        <v/>
      </c>
      <c r="T56">
        <f>HYPERLINK("https://klasma.github.io/Logging_1290/kartor/A 61885-2022 karta.png", "A 61885-2022")</f>
        <v/>
      </c>
      <c r="V56">
        <f>HYPERLINK("https://klasma.github.io/Logging_1290/klagomål/A 61885-2022 FSC-klagomål.docx", "A 61885-2022")</f>
        <v/>
      </c>
      <c r="W56">
        <f>HYPERLINK("https://klasma.github.io/Logging_1290/klagomålsmail/A 61885-2022 FSC-klagomål mail.docx", "A 61885-2022")</f>
        <v/>
      </c>
      <c r="X56">
        <f>HYPERLINK("https://klasma.github.io/Logging_1290/tillsyn/A 61885-2022 tillsynsbegäran.docx", "A 61885-2022")</f>
        <v/>
      </c>
      <c r="Y56">
        <f>HYPERLINK("https://klasma.github.io/Logging_1290/tillsynsmail/A 61885-2022 tillsynsbegäran mail.docx", "A 61885-2022")</f>
        <v/>
      </c>
    </row>
    <row r="57" ht="15" customHeight="1">
      <c r="A57" t="inlineStr">
        <is>
          <t>A 62067-2022</t>
        </is>
      </c>
      <c r="B57" s="1" t="n">
        <v>44918</v>
      </c>
      <c r="C57" s="1" t="n">
        <v>45787</v>
      </c>
      <c r="D57" t="inlineStr">
        <is>
          <t>SKÅNE LÄN</t>
        </is>
      </c>
      <c r="E57" t="inlineStr">
        <is>
          <t>KRISTIANSTAD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Plattad jordtunga</t>
        </is>
      </c>
      <c r="S57">
        <f>HYPERLINK("https://klasma.github.io/Logging_1290/artfynd/A 62067-2022 artfynd.xlsx", "A 62067-2022")</f>
        <v/>
      </c>
      <c r="T57">
        <f>HYPERLINK("https://klasma.github.io/Logging_1290/kartor/A 62067-2022 karta.png", "A 62067-2022")</f>
        <v/>
      </c>
      <c r="V57">
        <f>HYPERLINK("https://klasma.github.io/Logging_1290/klagomål/A 62067-2022 FSC-klagomål.docx", "A 62067-2022")</f>
        <v/>
      </c>
      <c r="W57">
        <f>HYPERLINK("https://klasma.github.io/Logging_1290/klagomålsmail/A 62067-2022 FSC-klagomål mail.docx", "A 62067-2022")</f>
        <v/>
      </c>
      <c r="X57">
        <f>HYPERLINK("https://klasma.github.io/Logging_1290/tillsyn/A 62067-2022 tillsynsbegäran.docx", "A 62067-2022")</f>
        <v/>
      </c>
      <c r="Y57">
        <f>HYPERLINK("https://klasma.github.io/Logging_1290/tillsynsmail/A 62067-2022 tillsynsbegäran mail.docx", "A 62067-2022")</f>
        <v/>
      </c>
    </row>
    <row r="58" ht="15" customHeight="1">
      <c r="A58" t="inlineStr">
        <is>
          <t>A 26965-2023</t>
        </is>
      </c>
      <c r="B58" s="1" t="n">
        <v>45093</v>
      </c>
      <c r="C58" s="1" t="n">
        <v>45787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9.9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Sjötåtel</t>
        </is>
      </c>
      <c r="S58">
        <f>HYPERLINK("https://klasma.github.io/Logging_1290/artfynd/A 26965-2023 artfynd.xlsx", "A 26965-2023")</f>
        <v/>
      </c>
      <c r="T58">
        <f>HYPERLINK("https://klasma.github.io/Logging_1290/kartor/A 26965-2023 karta.png", "A 26965-2023")</f>
        <v/>
      </c>
      <c r="V58">
        <f>HYPERLINK("https://klasma.github.io/Logging_1290/klagomål/A 26965-2023 FSC-klagomål.docx", "A 26965-2023")</f>
        <v/>
      </c>
      <c r="W58">
        <f>HYPERLINK("https://klasma.github.io/Logging_1290/klagomålsmail/A 26965-2023 FSC-klagomål mail.docx", "A 26965-2023")</f>
        <v/>
      </c>
      <c r="X58">
        <f>HYPERLINK("https://klasma.github.io/Logging_1290/tillsyn/A 26965-2023 tillsynsbegäran.docx", "A 26965-2023")</f>
        <v/>
      </c>
      <c r="Y58">
        <f>HYPERLINK("https://klasma.github.io/Logging_1290/tillsynsmail/A 26965-2023 tillsynsbegäran mail.docx", "A 26965-2023")</f>
        <v/>
      </c>
    </row>
    <row r="59" ht="15" customHeight="1">
      <c r="A59" t="inlineStr">
        <is>
          <t>A 29183-2023</t>
        </is>
      </c>
      <c r="B59" s="1" t="n">
        <v>45105</v>
      </c>
      <c r="C59" s="1" t="n">
        <v>45787</v>
      </c>
      <c r="D59" t="inlineStr">
        <is>
          <t>SKÅNE LÄN</t>
        </is>
      </c>
      <c r="E59" t="inlineStr">
        <is>
          <t>KRISTIANSTAD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29183-2023 artfynd.xlsx", "A 29183-2023")</f>
        <v/>
      </c>
      <c r="T59">
        <f>HYPERLINK("https://klasma.github.io/Logging_1290/kartor/A 29183-2023 karta.png", "A 29183-2023")</f>
        <v/>
      </c>
      <c r="V59">
        <f>HYPERLINK("https://klasma.github.io/Logging_1290/klagomål/A 29183-2023 FSC-klagomål.docx", "A 29183-2023")</f>
        <v/>
      </c>
      <c r="W59">
        <f>HYPERLINK("https://klasma.github.io/Logging_1290/klagomålsmail/A 29183-2023 FSC-klagomål mail.docx", "A 29183-2023")</f>
        <v/>
      </c>
      <c r="X59">
        <f>HYPERLINK("https://klasma.github.io/Logging_1290/tillsyn/A 29183-2023 tillsynsbegäran.docx", "A 29183-2023")</f>
        <v/>
      </c>
      <c r="Y59">
        <f>HYPERLINK("https://klasma.github.io/Logging_1290/tillsynsmail/A 29183-2023 tillsynsbegäran mail.docx", "A 29183-2023")</f>
        <v/>
      </c>
    </row>
    <row r="60" ht="15" customHeight="1">
      <c r="A60" t="inlineStr">
        <is>
          <t>A 29683-2023</t>
        </is>
      </c>
      <c r="B60" s="1" t="n">
        <v>45107</v>
      </c>
      <c r="C60" s="1" t="n">
        <v>45787</v>
      </c>
      <c r="D60" t="inlineStr">
        <is>
          <t>SKÅNE LÄN</t>
        </is>
      </c>
      <c r="E60" t="inlineStr">
        <is>
          <t>KRISTIANSTAD</t>
        </is>
      </c>
      <c r="G60" t="n">
        <v>7.4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29683-2023 artfynd.xlsx", "A 29683-2023")</f>
        <v/>
      </c>
      <c r="T60">
        <f>HYPERLINK("https://klasma.github.io/Logging_1290/kartor/A 29683-2023 karta.png", "A 29683-2023")</f>
        <v/>
      </c>
      <c r="V60">
        <f>HYPERLINK("https://klasma.github.io/Logging_1290/klagomål/A 29683-2023 FSC-klagomål.docx", "A 29683-2023")</f>
        <v/>
      </c>
      <c r="W60">
        <f>HYPERLINK("https://klasma.github.io/Logging_1290/klagomålsmail/A 29683-2023 FSC-klagomål mail.docx", "A 29683-2023")</f>
        <v/>
      </c>
      <c r="X60">
        <f>HYPERLINK("https://klasma.github.io/Logging_1290/tillsyn/A 29683-2023 tillsynsbegäran.docx", "A 29683-2023")</f>
        <v/>
      </c>
      <c r="Y60">
        <f>HYPERLINK("https://klasma.github.io/Logging_1290/tillsynsmail/A 29683-2023 tillsynsbegäran mail.docx", "A 29683-2023")</f>
        <v/>
      </c>
    </row>
    <row r="61" ht="15" customHeight="1">
      <c r="A61" t="inlineStr">
        <is>
          <t>A 34360-2023</t>
        </is>
      </c>
      <c r="B61" s="1" t="n">
        <v>45139</v>
      </c>
      <c r="C61" s="1" t="n">
        <v>45787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34360-2023 artfynd.xlsx", "A 34360-2023")</f>
        <v/>
      </c>
      <c r="T61">
        <f>HYPERLINK("https://klasma.github.io/Logging_1290/kartor/A 34360-2023 karta.png", "A 34360-2023")</f>
        <v/>
      </c>
      <c r="V61">
        <f>HYPERLINK("https://klasma.github.io/Logging_1290/klagomål/A 34360-2023 FSC-klagomål.docx", "A 34360-2023")</f>
        <v/>
      </c>
      <c r="W61">
        <f>HYPERLINK("https://klasma.github.io/Logging_1290/klagomålsmail/A 34360-2023 FSC-klagomål mail.docx", "A 34360-2023")</f>
        <v/>
      </c>
      <c r="X61">
        <f>HYPERLINK("https://klasma.github.io/Logging_1290/tillsyn/A 34360-2023 tillsynsbegäran.docx", "A 34360-2023")</f>
        <v/>
      </c>
      <c r="Y61">
        <f>HYPERLINK("https://klasma.github.io/Logging_1290/tillsynsmail/A 34360-2023 tillsynsbegäran mail.docx", "A 34360-2023")</f>
        <v/>
      </c>
    </row>
    <row r="62" ht="15" customHeight="1">
      <c r="A62" t="inlineStr">
        <is>
          <t>A 46870-2023</t>
        </is>
      </c>
      <c r="B62" s="1" t="n">
        <v>45200</v>
      </c>
      <c r="C62" s="1" t="n">
        <v>45787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Klasefibbla</t>
        </is>
      </c>
      <c r="S62">
        <f>HYPERLINK("https://klasma.github.io/Logging_1290/artfynd/A 46870-2023 artfynd.xlsx", "A 46870-2023")</f>
        <v/>
      </c>
      <c r="T62">
        <f>HYPERLINK("https://klasma.github.io/Logging_1290/kartor/A 46870-2023 karta.png", "A 46870-2023")</f>
        <v/>
      </c>
      <c r="V62">
        <f>HYPERLINK("https://klasma.github.io/Logging_1290/klagomål/A 46870-2023 FSC-klagomål.docx", "A 46870-2023")</f>
        <v/>
      </c>
      <c r="W62">
        <f>HYPERLINK("https://klasma.github.io/Logging_1290/klagomålsmail/A 46870-2023 FSC-klagomål mail.docx", "A 46870-2023")</f>
        <v/>
      </c>
      <c r="X62">
        <f>HYPERLINK("https://klasma.github.io/Logging_1290/tillsyn/A 46870-2023 tillsynsbegäran.docx", "A 46870-2023")</f>
        <v/>
      </c>
      <c r="Y62">
        <f>HYPERLINK("https://klasma.github.io/Logging_1290/tillsynsmail/A 46870-2023 tillsynsbegäran mail.docx", "A 46870-2023")</f>
        <v/>
      </c>
    </row>
    <row r="63" ht="15" customHeight="1">
      <c r="A63" t="inlineStr">
        <is>
          <t>A 62349-2023</t>
        </is>
      </c>
      <c r="B63" s="1" t="n">
        <v>45267</v>
      </c>
      <c r="C63" s="1" t="n">
        <v>45787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5.3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Nattskärra</t>
        </is>
      </c>
      <c r="S63">
        <f>HYPERLINK("https://klasma.github.io/Logging_1290/artfynd/A 62349-2023 artfynd.xlsx", "A 62349-2023")</f>
        <v/>
      </c>
      <c r="T63">
        <f>HYPERLINK("https://klasma.github.io/Logging_1290/kartor/A 62349-2023 karta.png", "A 62349-2023")</f>
        <v/>
      </c>
      <c r="V63">
        <f>HYPERLINK("https://klasma.github.io/Logging_1290/klagomål/A 62349-2023 FSC-klagomål.docx", "A 62349-2023")</f>
        <v/>
      </c>
      <c r="W63">
        <f>HYPERLINK("https://klasma.github.io/Logging_1290/klagomålsmail/A 62349-2023 FSC-klagomål mail.docx", "A 62349-2023")</f>
        <v/>
      </c>
      <c r="X63">
        <f>HYPERLINK("https://klasma.github.io/Logging_1290/tillsyn/A 62349-2023 tillsynsbegäran.docx", "A 62349-2023")</f>
        <v/>
      </c>
      <c r="Y63">
        <f>HYPERLINK("https://klasma.github.io/Logging_1290/tillsynsmail/A 62349-2023 tillsynsbegäran mail.docx", "A 62349-2023")</f>
        <v/>
      </c>
      <c r="Z63">
        <f>HYPERLINK("https://klasma.github.io/Logging_1290/fåglar/A 62349-2023 prioriterade fågelarter.docx", "A 62349-2023")</f>
        <v/>
      </c>
    </row>
    <row r="64" ht="15" customHeight="1">
      <c r="A64" t="inlineStr">
        <is>
          <t>A 1188-2024</t>
        </is>
      </c>
      <c r="B64" s="1" t="n">
        <v>45302</v>
      </c>
      <c r="C64" s="1" t="n">
        <v>45787</v>
      </c>
      <c r="D64" t="inlineStr">
        <is>
          <t>SKÅNE LÄN</t>
        </is>
      </c>
      <c r="E64" t="inlineStr">
        <is>
          <t>KRISTIANSTAD</t>
        </is>
      </c>
      <c r="G64" t="n">
        <v>6.1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1188-2024 artfynd.xlsx", "A 1188-2024")</f>
        <v/>
      </c>
      <c r="T64">
        <f>HYPERLINK("https://klasma.github.io/Logging_1290/kartor/A 1188-2024 karta.png", "A 1188-2024")</f>
        <v/>
      </c>
      <c r="V64">
        <f>HYPERLINK("https://klasma.github.io/Logging_1290/klagomål/A 1188-2024 FSC-klagomål.docx", "A 1188-2024")</f>
        <v/>
      </c>
      <c r="W64">
        <f>HYPERLINK("https://klasma.github.io/Logging_1290/klagomålsmail/A 1188-2024 FSC-klagomål mail.docx", "A 1188-2024")</f>
        <v/>
      </c>
      <c r="X64">
        <f>HYPERLINK("https://klasma.github.io/Logging_1290/tillsyn/A 1188-2024 tillsynsbegäran.docx", "A 1188-2024")</f>
        <v/>
      </c>
      <c r="Y64">
        <f>HYPERLINK("https://klasma.github.io/Logging_1290/tillsynsmail/A 1188-2024 tillsynsbegäran mail.docx", "A 1188-2024")</f>
        <v/>
      </c>
    </row>
    <row r="65" ht="15" customHeight="1">
      <c r="A65" t="inlineStr">
        <is>
          <t>A 1418-2024</t>
        </is>
      </c>
      <c r="B65" s="1" t="n">
        <v>45303</v>
      </c>
      <c r="C65" s="1" t="n">
        <v>45787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HYPERLINK("https://klasma.github.io/Logging_1290/artfynd/A 1418-2024 artfynd.xlsx", "A 1418-2024")</f>
        <v/>
      </c>
      <c r="T65">
        <f>HYPERLINK("https://klasma.github.io/Logging_1290/kartor/A 1418-2024 karta.png", "A 1418-2024")</f>
        <v/>
      </c>
      <c r="V65">
        <f>HYPERLINK("https://klasma.github.io/Logging_1290/klagomål/A 1418-2024 FSC-klagomål.docx", "A 1418-2024")</f>
        <v/>
      </c>
      <c r="W65">
        <f>HYPERLINK("https://klasma.github.io/Logging_1290/klagomålsmail/A 1418-2024 FSC-klagomål mail.docx", "A 1418-2024")</f>
        <v/>
      </c>
      <c r="X65">
        <f>HYPERLINK("https://klasma.github.io/Logging_1290/tillsyn/A 1418-2024 tillsynsbegäran.docx", "A 1418-2024")</f>
        <v/>
      </c>
      <c r="Y65">
        <f>HYPERLINK("https://klasma.github.io/Logging_1290/tillsynsmail/A 1418-2024 tillsynsbegäran mail.docx", "A 1418-2024")</f>
        <v/>
      </c>
    </row>
    <row r="66" ht="15" customHeight="1">
      <c r="A66" t="inlineStr">
        <is>
          <t>A 3954-2024</t>
        </is>
      </c>
      <c r="B66" s="1" t="n">
        <v>45322</v>
      </c>
      <c r="C66" s="1" t="n">
        <v>45787</v>
      </c>
      <c r="D66" t="inlineStr">
        <is>
          <t>SKÅNE LÄN</t>
        </is>
      </c>
      <c r="E66" t="inlineStr">
        <is>
          <t>KRISTIANSTAD</t>
        </is>
      </c>
      <c r="G66" t="n">
        <v>1.2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HYPERLINK("https://klasma.github.io/Logging_1290/artfynd/A 3954-2024 artfynd.xlsx", "A 3954-2024")</f>
        <v/>
      </c>
      <c r="T66">
        <f>HYPERLINK("https://klasma.github.io/Logging_1290/kartor/A 3954-2024 karta.png", "A 3954-2024")</f>
        <v/>
      </c>
      <c r="V66">
        <f>HYPERLINK("https://klasma.github.io/Logging_1290/klagomål/A 3954-2024 FSC-klagomål.docx", "A 3954-2024")</f>
        <v/>
      </c>
      <c r="W66">
        <f>HYPERLINK("https://klasma.github.io/Logging_1290/klagomålsmail/A 3954-2024 FSC-klagomål mail.docx", "A 3954-2024")</f>
        <v/>
      </c>
      <c r="X66">
        <f>HYPERLINK("https://klasma.github.io/Logging_1290/tillsyn/A 3954-2024 tillsynsbegäran.docx", "A 3954-2024")</f>
        <v/>
      </c>
      <c r="Y66">
        <f>HYPERLINK("https://klasma.github.io/Logging_1290/tillsynsmail/A 3954-2024 tillsynsbegäran mail.docx", "A 3954-2024")</f>
        <v/>
      </c>
    </row>
    <row r="67" ht="15" customHeight="1">
      <c r="A67" t="inlineStr">
        <is>
          <t>A 6245-2024</t>
        </is>
      </c>
      <c r="B67" s="1" t="n">
        <v>45337</v>
      </c>
      <c r="C67" s="1" t="n">
        <v>45787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Flenörtskapuschongfly</t>
        </is>
      </c>
      <c r="S67">
        <f>HYPERLINK("https://klasma.github.io/Logging_1290/artfynd/A 6245-2024 artfynd.xlsx", "A 6245-2024")</f>
        <v/>
      </c>
      <c r="T67">
        <f>HYPERLINK("https://klasma.github.io/Logging_1290/kartor/A 6245-2024 karta.png", "A 6245-2024")</f>
        <v/>
      </c>
      <c r="V67">
        <f>HYPERLINK("https://klasma.github.io/Logging_1290/klagomål/A 6245-2024 FSC-klagomål.docx", "A 6245-2024")</f>
        <v/>
      </c>
      <c r="W67">
        <f>HYPERLINK("https://klasma.github.io/Logging_1290/klagomålsmail/A 6245-2024 FSC-klagomål mail.docx", "A 6245-2024")</f>
        <v/>
      </c>
      <c r="X67">
        <f>HYPERLINK("https://klasma.github.io/Logging_1290/tillsyn/A 6245-2024 tillsynsbegäran.docx", "A 6245-2024")</f>
        <v/>
      </c>
      <c r="Y67">
        <f>HYPERLINK("https://klasma.github.io/Logging_1290/tillsynsmail/A 6245-2024 tillsynsbegäran mail.docx", "A 6245-2024")</f>
        <v/>
      </c>
    </row>
    <row r="68" ht="15" customHeight="1">
      <c r="A68" t="inlineStr">
        <is>
          <t>A 25761-2024</t>
        </is>
      </c>
      <c r="B68" s="1" t="n">
        <v>45465</v>
      </c>
      <c r="C68" s="1" t="n">
        <v>45787</v>
      </c>
      <c r="D68" t="inlineStr">
        <is>
          <t>SKÅNE LÄN</t>
        </is>
      </c>
      <c r="E68" t="inlineStr">
        <is>
          <t>KRISTIANSTAD</t>
        </is>
      </c>
      <c r="G68" t="n">
        <v>2.8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HYPERLINK("https://klasma.github.io/Logging_1290/artfynd/A 25761-2024 artfynd.xlsx", "A 25761-2024")</f>
        <v/>
      </c>
      <c r="T68">
        <f>HYPERLINK("https://klasma.github.io/Logging_1290/kartor/A 25761-2024 karta.png", "A 25761-2024")</f>
        <v/>
      </c>
      <c r="V68">
        <f>HYPERLINK("https://klasma.github.io/Logging_1290/klagomål/A 25761-2024 FSC-klagomål.docx", "A 25761-2024")</f>
        <v/>
      </c>
      <c r="W68">
        <f>HYPERLINK("https://klasma.github.io/Logging_1290/klagomålsmail/A 25761-2024 FSC-klagomål mail.docx", "A 25761-2024")</f>
        <v/>
      </c>
      <c r="X68">
        <f>HYPERLINK("https://klasma.github.io/Logging_1290/tillsyn/A 25761-2024 tillsynsbegäran.docx", "A 25761-2024")</f>
        <v/>
      </c>
      <c r="Y68">
        <f>HYPERLINK("https://klasma.github.io/Logging_1290/tillsynsmail/A 25761-2024 tillsynsbegäran mail.docx", "A 25761-2024")</f>
        <v/>
      </c>
    </row>
    <row r="69" ht="15" customHeight="1">
      <c r="A69" t="inlineStr">
        <is>
          <t>A 28429-2024</t>
        </is>
      </c>
      <c r="B69" s="1" t="n">
        <v>45477</v>
      </c>
      <c r="C69" s="1" t="n">
        <v>45787</v>
      </c>
      <c r="D69" t="inlineStr">
        <is>
          <t>SKÅNE LÄN</t>
        </is>
      </c>
      <c r="E69" t="inlineStr">
        <is>
          <t>KRISTIANSTAD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28429-2024 artfynd.xlsx", "A 28429-2024")</f>
        <v/>
      </c>
      <c r="T69">
        <f>HYPERLINK("https://klasma.github.io/Logging_1290/kartor/A 28429-2024 karta.png", "A 28429-2024")</f>
        <v/>
      </c>
      <c r="V69">
        <f>HYPERLINK("https://klasma.github.io/Logging_1290/klagomål/A 28429-2024 FSC-klagomål.docx", "A 28429-2024")</f>
        <v/>
      </c>
      <c r="W69">
        <f>HYPERLINK("https://klasma.github.io/Logging_1290/klagomålsmail/A 28429-2024 FSC-klagomål mail.docx", "A 28429-2024")</f>
        <v/>
      </c>
      <c r="X69">
        <f>HYPERLINK("https://klasma.github.io/Logging_1290/tillsyn/A 28429-2024 tillsynsbegäran.docx", "A 28429-2024")</f>
        <v/>
      </c>
      <c r="Y69">
        <f>HYPERLINK("https://klasma.github.io/Logging_1290/tillsynsmail/A 28429-2024 tillsynsbegäran mail.docx", "A 28429-2024")</f>
        <v/>
      </c>
    </row>
    <row r="70" ht="15" customHeight="1">
      <c r="A70" t="inlineStr">
        <is>
          <t>A 28342-2024</t>
        </is>
      </c>
      <c r="B70" s="1" t="n">
        <v>45477</v>
      </c>
      <c r="C70" s="1" t="n">
        <v>45787</v>
      </c>
      <c r="D70" t="inlineStr">
        <is>
          <t>SKÅNE LÄN</t>
        </is>
      </c>
      <c r="E70" t="inlineStr">
        <is>
          <t>KRISTIANSTAD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Knölspindel</t>
        </is>
      </c>
      <c r="S70">
        <f>HYPERLINK("https://klasma.github.io/Logging_1290/artfynd/A 28342-2024 artfynd.xlsx", "A 28342-2024")</f>
        <v/>
      </c>
      <c r="T70">
        <f>HYPERLINK("https://klasma.github.io/Logging_1290/kartor/A 28342-2024 karta.png", "A 28342-2024")</f>
        <v/>
      </c>
      <c r="V70">
        <f>HYPERLINK("https://klasma.github.io/Logging_1290/klagomål/A 28342-2024 FSC-klagomål.docx", "A 28342-2024")</f>
        <v/>
      </c>
      <c r="W70">
        <f>HYPERLINK("https://klasma.github.io/Logging_1290/klagomålsmail/A 28342-2024 FSC-klagomål mail.docx", "A 28342-2024")</f>
        <v/>
      </c>
      <c r="X70">
        <f>HYPERLINK("https://klasma.github.io/Logging_1290/tillsyn/A 28342-2024 tillsynsbegäran.docx", "A 28342-2024")</f>
        <v/>
      </c>
      <c r="Y70">
        <f>HYPERLINK("https://klasma.github.io/Logging_1290/tillsynsmail/A 28342-2024 tillsynsbegäran mail.docx", "A 28342-2024")</f>
        <v/>
      </c>
    </row>
    <row r="71" ht="15" customHeight="1">
      <c r="A71" t="inlineStr">
        <is>
          <t>A 30526-2024</t>
        </is>
      </c>
      <c r="B71" s="1" t="n">
        <v>45492</v>
      </c>
      <c r="C71" s="1" t="n">
        <v>45787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Dvärgjohannesört</t>
        </is>
      </c>
      <c r="S71">
        <f>HYPERLINK("https://klasma.github.io/Logging_1290/artfynd/A 30526-2024 artfynd.xlsx", "A 30526-2024")</f>
        <v/>
      </c>
      <c r="T71">
        <f>HYPERLINK("https://klasma.github.io/Logging_1290/kartor/A 30526-2024 karta.png", "A 30526-2024")</f>
        <v/>
      </c>
      <c r="V71">
        <f>HYPERLINK("https://klasma.github.io/Logging_1290/klagomål/A 30526-2024 FSC-klagomål.docx", "A 30526-2024")</f>
        <v/>
      </c>
      <c r="W71">
        <f>HYPERLINK("https://klasma.github.io/Logging_1290/klagomålsmail/A 30526-2024 FSC-klagomål mail.docx", "A 30526-2024")</f>
        <v/>
      </c>
      <c r="X71">
        <f>HYPERLINK("https://klasma.github.io/Logging_1290/tillsyn/A 30526-2024 tillsynsbegäran.docx", "A 30526-2024")</f>
        <v/>
      </c>
      <c r="Y71">
        <f>HYPERLINK("https://klasma.github.io/Logging_1290/tillsynsmail/A 30526-2024 tillsynsbegäran mail.docx", "A 30526-2024")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45787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32101-2024</t>
        </is>
      </c>
      <c r="B73" s="1" t="n">
        <v>45511</v>
      </c>
      <c r="C73" s="1" t="n">
        <v>45787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HYPERLINK("https://klasma.github.io/Logging_1290/artfynd/A 32101-2024 artfynd.xlsx", "A 32101-2024")</f>
        <v/>
      </c>
      <c r="T73">
        <f>HYPERLINK("https://klasma.github.io/Logging_1290/kartor/A 32101-2024 karta.png", "A 32101-2024")</f>
        <v/>
      </c>
      <c r="V73">
        <f>HYPERLINK("https://klasma.github.io/Logging_1290/klagomål/A 32101-2024 FSC-klagomål.docx", "A 32101-2024")</f>
        <v/>
      </c>
      <c r="W73">
        <f>HYPERLINK("https://klasma.github.io/Logging_1290/klagomålsmail/A 32101-2024 FSC-klagomål mail.docx", "A 32101-2024")</f>
        <v/>
      </c>
      <c r="X73">
        <f>HYPERLINK("https://klasma.github.io/Logging_1290/tillsyn/A 32101-2024 tillsynsbegäran.docx", "A 32101-2024")</f>
        <v/>
      </c>
      <c r="Y73">
        <f>HYPERLINK("https://klasma.github.io/Logging_1290/tillsynsmail/A 32101-2024 tillsynsbegäran mail.docx", "A 32101-2024")</f>
        <v/>
      </c>
    </row>
    <row r="74" ht="15" customHeight="1">
      <c r="A74" t="inlineStr">
        <is>
          <t>A 50779-2024</t>
        </is>
      </c>
      <c r="B74" s="1" t="n">
        <v>45602</v>
      </c>
      <c r="C74" s="1" t="n">
        <v>45787</v>
      </c>
      <c r="D74" t="inlineStr">
        <is>
          <t>SKÅNE LÄN</t>
        </is>
      </c>
      <c r="E74" t="inlineStr">
        <is>
          <t>KRISTIANSTAD</t>
        </is>
      </c>
      <c r="G74" t="n">
        <v>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Bokoxe</t>
        </is>
      </c>
      <c r="S74">
        <f>HYPERLINK("https://klasma.github.io/Logging_1290/artfynd/A 50779-2024 artfynd.xlsx", "A 50779-2024")</f>
        <v/>
      </c>
      <c r="T74">
        <f>HYPERLINK("https://klasma.github.io/Logging_1290/kartor/A 50779-2024 karta.png", "A 50779-2024")</f>
        <v/>
      </c>
      <c r="V74">
        <f>HYPERLINK("https://klasma.github.io/Logging_1290/klagomål/A 50779-2024 FSC-klagomål.docx", "A 50779-2024")</f>
        <v/>
      </c>
      <c r="W74">
        <f>HYPERLINK("https://klasma.github.io/Logging_1290/klagomålsmail/A 50779-2024 FSC-klagomål mail.docx", "A 50779-2024")</f>
        <v/>
      </c>
      <c r="X74">
        <f>HYPERLINK("https://klasma.github.io/Logging_1290/tillsyn/A 50779-2024 tillsynsbegäran.docx", "A 50779-2024")</f>
        <v/>
      </c>
      <c r="Y74">
        <f>HYPERLINK("https://klasma.github.io/Logging_1290/tillsynsmail/A 50779-2024 tillsynsbegäran mail.docx", "A 50779-2024")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45787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HYPERLINK("https://klasma.github.io/Logging_121290/artfynd/A 11720-2025 artfynd.xlsx", "A 11720-2025")</f>
        <v/>
      </c>
      <c r="T75">
        <f>HYPERLINK("https://klasma.github.io/Logging_121290/kartor/A 11720-2025 karta.png", "A 11720-2025")</f>
        <v/>
      </c>
      <c r="V75">
        <f>HYPERLINK("https://klasma.github.io/Logging_121290/klagomål/A 11720-2025 FSC-klagomål.docx", "A 11720-2025")</f>
        <v/>
      </c>
      <c r="W75">
        <f>HYPERLINK("https://klasma.github.io/Logging_121290/klagomålsmail/A 11720-2025 FSC-klagomål mail.docx", "A 11720-2025")</f>
        <v/>
      </c>
      <c r="X75">
        <f>HYPERLINK("https://klasma.github.io/Logging_121290/tillsyn/A 11720-2025 tillsynsbegäran.docx", "A 11720-2025")</f>
        <v/>
      </c>
      <c r="Y75">
        <f>HYPERLINK("https://klasma.github.io/Logging_121290/tillsynsmail/A 11720-2025 tillsynsbegäran mail.docx", "A 11720-2025")</f>
        <v/>
      </c>
    </row>
    <row r="76" ht="15" customHeight="1">
      <c r="A76" t="inlineStr">
        <is>
          <t>A 18260-2019</t>
        </is>
      </c>
      <c r="B76" s="1" t="n">
        <v>43557</v>
      </c>
      <c r="C76" s="1" t="n">
        <v>45787</v>
      </c>
      <c r="D76" t="inlineStr">
        <is>
          <t>SKÅNE LÄN</t>
        </is>
      </c>
      <c r="E76" t="inlineStr">
        <is>
          <t>KRISTIANSTAD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18412-2019</t>
        </is>
      </c>
      <c r="B77" s="1" t="n">
        <v>43559</v>
      </c>
      <c r="C77" s="1" t="n">
        <v>45787</v>
      </c>
      <c r="D77" t="inlineStr">
        <is>
          <t>SKÅNE LÄN</t>
        </is>
      </c>
      <c r="E77" t="inlineStr">
        <is>
          <t>KRISTIANSTAD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19183-2019</t>
        </is>
      </c>
      <c r="B78" s="1" t="n">
        <v>43564</v>
      </c>
      <c r="C78" s="1" t="n">
        <v>45787</v>
      </c>
      <c r="D78" t="inlineStr">
        <is>
          <t>SKÅNE LÄN</t>
        </is>
      </c>
      <c r="E78" t="inlineStr">
        <is>
          <t>KRISTIANSTAD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19327-2019</t>
        </is>
      </c>
      <c r="B79" s="1" t="n">
        <v>43565</v>
      </c>
      <c r="C79" s="1" t="n">
        <v>45787</v>
      </c>
      <c r="D79" t="inlineStr">
        <is>
          <t>SKÅNE LÄN</t>
        </is>
      </c>
      <c r="E79" t="inlineStr">
        <is>
          <t>KRISTIANSTAD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19596-2019</t>
        </is>
      </c>
      <c r="B80" s="1" t="n">
        <v>43565</v>
      </c>
      <c r="C80" s="1" t="n">
        <v>45787</v>
      </c>
      <c r="D80" t="inlineStr">
        <is>
          <t>SKÅNE LÄN</t>
        </is>
      </c>
      <c r="E80" t="inlineStr">
        <is>
          <t>KRISTIANSTAD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19508-2019</t>
        </is>
      </c>
      <c r="B81" s="1" t="n">
        <v>43565</v>
      </c>
      <c r="C81" s="1" t="n">
        <v>45787</v>
      </c>
      <c r="D81" t="inlineStr">
        <is>
          <t>SKÅNE LÄN</t>
        </is>
      </c>
      <c r="E81" t="inlineStr">
        <is>
          <t>KRISTIANSTAD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19661-2019</t>
        </is>
      </c>
      <c r="B82" s="1" t="n">
        <v>43566</v>
      </c>
      <c r="C82" s="1" t="n">
        <v>45787</v>
      </c>
      <c r="D82" t="inlineStr">
        <is>
          <t>SKÅNE LÄN</t>
        </is>
      </c>
      <c r="E82" t="inlineStr">
        <is>
          <t>KRISTIANSTAD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19664-2019</t>
        </is>
      </c>
      <c r="B83" s="1" t="n">
        <v>43566</v>
      </c>
      <c r="C83" s="1" t="n">
        <v>45787</v>
      </c>
      <c r="D83" t="inlineStr">
        <is>
          <t>SKÅNE LÄN</t>
        </is>
      </c>
      <c r="E83" t="inlineStr">
        <is>
          <t>KRISTIANSTAD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20332-2019</t>
        </is>
      </c>
      <c r="B84" s="1" t="n">
        <v>43571</v>
      </c>
      <c r="C84" s="1" t="n">
        <v>45787</v>
      </c>
      <c r="D84" t="inlineStr">
        <is>
          <t>SKÅNE LÄN</t>
        </is>
      </c>
      <c r="E84" t="inlineStr">
        <is>
          <t>KRISTIANSTAD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20530-2019</t>
        </is>
      </c>
      <c r="B85" s="1" t="n">
        <v>43572</v>
      </c>
      <c r="C85" s="1" t="n">
        <v>45787</v>
      </c>
      <c r="D85" t="inlineStr">
        <is>
          <t>SKÅNE LÄN</t>
        </is>
      </c>
      <c r="E85" t="inlineStr">
        <is>
          <t>KRISTIANSTAD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21578-2019</t>
        </is>
      </c>
      <c r="B86" s="1" t="n">
        <v>43580</v>
      </c>
      <c r="C86" s="1" t="n">
        <v>45787</v>
      </c>
      <c r="D86" t="inlineStr">
        <is>
          <t>SKÅNE LÄN</t>
        </is>
      </c>
      <c r="E86" t="inlineStr">
        <is>
          <t>KRISTIANSTAD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21982-2019</t>
        </is>
      </c>
      <c r="B87" s="1" t="n">
        <v>43584</v>
      </c>
      <c r="C87" s="1" t="n">
        <v>45787</v>
      </c>
      <c r="D87" t="inlineStr">
        <is>
          <t>SKÅNE LÄN</t>
        </is>
      </c>
      <c r="E87" t="inlineStr">
        <is>
          <t>KRISTIANSTAD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24086-2019</t>
        </is>
      </c>
      <c r="B88" s="1" t="n">
        <v>43598</v>
      </c>
      <c r="C88" s="1" t="n">
        <v>45787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24083-2019</t>
        </is>
      </c>
      <c r="B89" s="1" t="n">
        <v>43598</v>
      </c>
      <c r="C89" s="1" t="n">
        <v>45787</v>
      </c>
      <c r="D89" t="inlineStr">
        <is>
          <t>SKÅNE LÄN</t>
        </is>
      </c>
      <c r="E89" t="inlineStr">
        <is>
          <t>KRISTIANSTAD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26698-2019</t>
        </is>
      </c>
      <c r="B90" s="1" t="n">
        <v>43607</v>
      </c>
      <c r="C90" s="1" t="n">
        <v>45787</v>
      </c>
      <c r="D90" t="inlineStr">
        <is>
          <t>SKÅNE LÄN</t>
        </is>
      </c>
      <c r="E90" t="inlineStr">
        <is>
          <t>KRISTIANSTAD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32841-2019</t>
        </is>
      </c>
      <c r="B91" s="1" t="n">
        <v>43648</v>
      </c>
      <c r="C91" s="1" t="n">
        <v>45787</v>
      </c>
      <c r="D91" t="inlineStr">
        <is>
          <t>SKÅNE LÄN</t>
        </is>
      </c>
      <c r="E91" t="inlineStr">
        <is>
          <t>KRISTIANSTAD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32790-2019</t>
        </is>
      </c>
      <c r="B92" s="1" t="n">
        <v>43648</v>
      </c>
      <c r="C92" s="1" t="n">
        <v>45787</v>
      </c>
      <c r="D92" t="inlineStr">
        <is>
          <t>SKÅNE LÄN</t>
        </is>
      </c>
      <c r="E92" t="inlineStr">
        <is>
          <t>KRISTIANSTAD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32839-2019</t>
        </is>
      </c>
      <c r="B93" s="1" t="n">
        <v>43648</v>
      </c>
      <c r="C93" s="1" t="n">
        <v>45787</v>
      </c>
      <c r="D93" t="inlineStr">
        <is>
          <t>SKÅNE LÄN</t>
        </is>
      </c>
      <c r="E93" t="inlineStr">
        <is>
          <t>KRISTIANSTAD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36156-2019</t>
        </is>
      </c>
      <c r="B94" s="1" t="n">
        <v>43668</v>
      </c>
      <c r="C94" s="1" t="n">
        <v>45787</v>
      </c>
      <c r="D94" t="inlineStr">
        <is>
          <t>SKÅNE LÄN</t>
        </is>
      </c>
      <c r="E94" t="inlineStr">
        <is>
          <t>KRISTIANSTAD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36288-2019</t>
        </is>
      </c>
      <c r="B95" s="1" t="n">
        <v>43669</v>
      </c>
      <c r="C95" s="1" t="n">
        <v>45787</v>
      </c>
      <c r="D95" t="inlineStr">
        <is>
          <t>SKÅNE LÄN</t>
        </is>
      </c>
      <c r="E95" t="inlineStr">
        <is>
          <t>KRISTIANSTAD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36362-2019</t>
        </is>
      </c>
      <c r="B96" s="1" t="n">
        <v>43670</v>
      </c>
      <c r="C96" s="1" t="n">
        <v>45787</v>
      </c>
      <c r="D96" t="inlineStr">
        <is>
          <t>SKÅNE LÄN</t>
        </is>
      </c>
      <c r="E96" t="inlineStr">
        <is>
          <t>KRISTIANSTAD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37836-2019</t>
        </is>
      </c>
      <c r="B97" s="1" t="n">
        <v>43682</v>
      </c>
      <c r="C97" s="1" t="n">
        <v>45787</v>
      </c>
      <c r="D97" t="inlineStr">
        <is>
          <t>SKÅNE LÄN</t>
        </is>
      </c>
      <c r="E97" t="inlineStr">
        <is>
          <t>KRISTIANSTAD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37871-2019</t>
        </is>
      </c>
      <c r="B98" s="1" t="n">
        <v>43682</v>
      </c>
      <c r="C98" s="1" t="n">
        <v>45787</v>
      </c>
      <c r="D98" t="inlineStr">
        <is>
          <t>SKÅNE LÄN</t>
        </is>
      </c>
      <c r="E98" t="inlineStr">
        <is>
          <t>KRISTIANSTAD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39790-2019</t>
        </is>
      </c>
      <c r="B99" s="1" t="n">
        <v>43689</v>
      </c>
      <c r="C99" s="1" t="n">
        <v>45787</v>
      </c>
      <c r="D99" t="inlineStr">
        <is>
          <t>SKÅNE LÄN</t>
        </is>
      </c>
      <c r="E99" t="inlineStr">
        <is>
          <t>KRISTIANSTAD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40847-2019</t>
        </is>
      </c>
      <c r="B100" s="1" t="n">
        <v>43692</v>
      </c>
      <c r="C100" s="1" t="n">
        <v>45787</v>
      </c>
      <c r="D100" t="inlineStr">
        <is>
          <t>SKÅNE LÄN</t>
        </is>
      </c>
      <c r="E100" t="inlineStr">
        <is>
          <t>KRISTIANSTAD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41164-2019</t>
        </is>
      </c>
      <c r="B101" s="1" t="n">
        <v>43693</v>
      </c>
      <c r="C101" s="1" t="n">
        <v>45787</v>
      </c>
      <c r="D101" t="inlineStr">
        <is>
          <t>SKÅNE LÄN</t>
        </is>
      </c>
      <c r="E101" t="inlineStr">
        <is>
          <t>KRISTIANSTAD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41878-2019</t>
        </is>
      </c>
      <c r="B102" s="1" t="n">
        <v>43700</v>
      </c>
      <c r="C102" s="1" t="n">
        <v>45787</v>
      </c>
      <c r="D102" t="inlineStr">
        <is>
          <t>SKÅNE LÄN</t>
        </is>
      </c>
      <c r="E102" t="inlineStr">
        <is>
          <t>KRISTIANSTAD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44800-2019</t>
        </is>
      </c>
      <c r="B103" s="1" t="n">
        <v>43712</v>
      </c>
      <c r="C103" s="1" t="n">
        <v>45787</v>
      </c>
      <c r="D103" t="inlineStr">
        <is>
          <t>SKÅNE LÄN</t>
        </is>
      </c>
      <c r="E103" t="inlineStr">
        <is>
          <t>KRISTIANSTAD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45213-2019</t>
        </is>
      </c>
      <c r="B104" s="1" t="n">
        <v>43713</v>
      </c>
      <c r="C104" s="1" t="n">
        <v>45787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45799-2019</t>
        </is>
      </c>
      <c r="B105" s="1" t="n">
        <v>43717</v>
      </c>
      <c r="C105" s="1" t="n">
        <v>45787</v>
      </c>
      <c r="D105" t="inlineStr">
        <is>
          <t>SKÅNE LÄN</t>
        </is>
      </c>
      <c r="E105" t="inlineStr">
        <is>
          <t>KRISTIANSTAD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46298-2019</t>
        </is>
      </c>
      <c r="B106" s="1" t="n">
        <v>43718</v>
      </c>
      <c r="C106" s="1" t="n">
        <v>45787</v>
      </c>
      <c r="D106" t="inlineStr">
        <is>
          <t>SKÅNE LÄN</t>
        </is>
      </c>
      <c r="E106" t="inlineStr">
        <is>
          <t>KRISTIANSTAD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46403-2019</t>
        </is>
      </c>
      <c r="B107" s="1" t="n">
        <v>43719</v>
      </c>
      <c r="C107" s="1" t="n">
        <v>45787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47757-2019</t>
        </is>
      </c>
      <c r="B108" s="1" t="n">
        <v>43724</v>
      </c>
      <c r="C108" s="1" t="n">
        <v>45787</v>
      </c>
      <c r="D108" t="inlineStr">
        <is>
          <t>SKÅNE LÄN</t>
        </is>
      </c>
      <c r="E108" t="inlineStr">
        <is>
          <t>KRISTIANSTAD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51052-2019</t>
        </is>
      </c>
      <c r="B109" s="1" t="n">
        <v>43739</v>
      </c>
      <c r="C109" s="1" t="n">
        <v>45787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17.8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51745-2019</t>
        </is>
      </c>
      <c r="B110" s="1" t="n">
        <v>43741</v>
      </c>
      <c r="C110" s="1" t="n">
        <v>45787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52997-2019</t>
        </is>
      </c>
      <c r="B111" s="1" t="n">
        <v>43747</v>
      </c>
      <c r="C111" s="1" t="n">
        <v>45787</v>
      </c>
      <c r="D111" t="inlineStr">
        <is>
          <t>SKÅNE LÄN</t>
        </is>
      </c>
      <c r="E111" t="inlineStr">
        <is>
          <t>KRISTIANSTAD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52978-2019</t>
        </is>
      </c>
      <c r="B112" s="1" t="n">
        <v>43747</v>
      </c>
      <c r="C112" s="1" t="n">
        <v>45787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59293-2019</t>
        </is>
      </c>
      <c r="B113" s="1" t="n">
        <v>43773</v>
      </c>
      <c r="C113" s="1" t="n">
        <v>45787</v>
      </c>
      <c r="D113" t="inlineStr">
        <is>
          <t>SKÅNE LÄN</t>
        </is>
      </c>
      <c r="E113" t="inlineStr">
        <is>
          <t>KRISTIANSTAD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59946-2019</t>
        </is>
      </c>
      <c r="B114" s="1" t="n">
        <v>43775</v>
      </c>
      <c r="C114" s="1" t="n">
        <v>45787</v>
      </c>
      <c r="D114" t="inlineStr">
        <is>
          <t>SKÅNE LÄN</t>
        </is>
      </c>
      <c r="E114" t="inlineStr">
        <is>
          <t>KRISTIANSTAD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64957-2019</t>
        </is>
      </c>
      <c r="B115" s="1" t="n">
        <v>43795</v>
      </c>
      <c r="C115" s="1" t="n">
        <v>45787</v>
      </c>
      <c r="D115" t="inlineStr">
        <is>
          <t>SKÅNE LÄN</t>
        </is>
      </c>
      <c r="E115" t="inlineStr">
        <is>
          <t>KRISTIANSTAD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64949-2019</t>
        </is>
      </c>
      <c r="B116" s="1" t="n">
        <v>43801</v>
      </c>
      <c r="C116" s="1" t="n">
        <v>45787</v>
      </c>
      <c r="D116" t="inlineStr">
        <is>
          <t>SKÅNE LÄN</t>
        </is>
      </c>
      <c r="E116" t="inlineStr">
        <is>
          <t>KRISTIANSTAD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65603-2019</t>
        </is>
      </c>
      <c r="B117" s="1" t="n">
        <v>43804</v>
      </c>
      <c r="C117" s="1" t="n">
        <v>45787</v>
      </c>
      <c r="D117" t="inlineStr">
        <is>
          <t>SKÅNE LÄN</t>
        </is>
      </c>
      <c r="E117" t="inlineStr">
        <is>
          <t>KRISTIANSTAD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66782-2019</t>
        </is>
      </c>
      <c r="B118" s="1" t="n">
        <v>43804</v>
      </c>
      <c r="C118" s="1" t="n">
        <v>45787</v>
      </c>
      <c r="D118" t="inlineStr">
        <is>
          <t>SKÅNE LÄN</t>
        </is>
      </c>
      <c r="E118" t="inlineStr">
        <is>
          <t>KRISTIANSTAD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67147-2019</t>
        </is>
      </c>
      <c r="B119" s="1" t="n">
        <v>43811</v>
      </c>
      <c r="C119" s="1" t="n">
        <v>45787</v>
      </c>
      <c r="D119" t="inlineStr">
        <is>
          <t>SKÅNE LÄN</t>
        </is>
      </c>
      <c r="E119" t="inlineStr">
        <is>
          <t>KRISTIANSTAD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67195-2019</t>
        </is>
      </c>
      <c r="B120" s="1" t="n">
        <v>43811</v>
      </c>
      <c r="C120" s="1" t="n">
        <v>45787</v>
      </c>
      <c r="D120" t="inlineStr">
        <is>
          <t>SKÅNE LÄN</t>
        </is>
      </c>
      <c r="E120" t="inlineStr">
        <is>
          <t>KRISTIANSTAD</t>
        </is>
      </c>
      <c r="G120" t="n">
        <v>17.9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67347-2019</t>
        </is>
      </c>
      <c r="B121" s="1" t="n">
        <v>43812</v>
      </c>
      <c r="C121" s="1" t="n">
        <v>45787</v>
      </c>
      <c r="D121" t="inlineStr">
        <is>
          <t>SKÅNE LÄN</t>
        </is>
      </c>
      <c r="E121" t="inlineStr">
        <is>
          <t>KRISTIANSTAD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67970-2019</t>
        </is>
      </c>
      <c r="B122" s="1" t="n">
        <v>43816</v>
      </c>
      <c r="C122" s="1" t="n">
        <v>45787</v>
      </c>
      <c r="D122" t="inlineStr">
        <is>
          <t>SKÅNE LÄN</t>
        </is>
      </c>
      <c r="E122" t="inlineStr">
        <is>
          <t>KRISTIANSTAD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67968-2019</t>
        </is>
      </c>
      <c r="B123" s="1" t="n">
        <v>43816</v>
      </c>
      <c r="C123" s="1" t="n">
        <v>45787</v>
      </c>
      <c r="D123" t="inlineStr">
        <is>
          <t>SKÅNE LÄN</t>
        </is>
      </c>
      <c r="E123" t="inlineStr">
        <is>
          <t>KRISTIANSTAD</t>
        </is>
      </c>
      <c r="F123" t="inlineStr">
        <is>
          <t>Övriga Aktiebolag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842-2020</t>
        </is>
      </c>
      <c r="B124" s="1" t="n">
        <v>43818</v>
      </c>
      <c r="C124" s="1" t="n">
        <v>45787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851-2020</t>
        </is>
      </c>
      <c r="B125" s="1" t="n">
        <v>43818</v>
      </c>
      <c r="C125" s="1" t="n">
        <v>45787</v>
      </c>
      <c r="D125" t="inlineStr">
        <is>
          <t>SKÅNE LÄN</t>
        </is>
      </c>
      <c r="E125" t="inlineStr">
        <is>
          <t>KRISTIANSTAD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1249-2020</t>
        </is>
      </c>
      <c r="B126" s="1" t="n">
        <v>43840</v>
      </c>
      <c r="C126" s="1" t="n">
        <v>45787</v>
      </c>
      <c r="D126" t="inlineStr">
        <is>
          <t>SKÅNE LÄN</t>
        </is>
      </c>
      <c r="E126" t="inlineStr">
        <is>
          <t>KRISTIANSTAD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3624-2020</t>
        </is>
      </c>
      <c r="B127" s="1" t="n">
        <v>43845</v>
      </c>
      <c r="C127" s="1" t="n">
        <v>45787</v>
      </c>
      <c r="D127" t="inlineStr">
        <is>
          <t>SKÅNE LÄN</t>
        </is>
      </c>
      <c r="E127" t="inlineStr">
        <is>
          <t>KRISTIANSTAD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3573-2020</t>
        </is>
      </c>
      <c r="B128" s="1" t="n">
        <v>43845</v>
      </c>
      <c r="C128" s="1" t="n">
        <v>45787</v>
      </c>
      <c r="D128" t="inlineStr">
        <is>
          <t>SKÅNE LÄN</t>
        </is>
      </c>
      <c r="E128" t="inlineStr">
        <is>
          <t>KRISTIANSTAD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5177-2020</t>
        </is>
      </c>
      <c r="B129" s="1" t="n">
        <v>43860</v>
      </c>
      <c r="C129" s="1" t="n">
        <v>45787</v>
      </c>
      <c r="D129" t="inlineStr">
        <is>
          <t>SKÅNE LÄN</t>
        </is>
      </c>
      <c r="E129" t="inlineStr">
        <is>
          <t>KRISTIANSTAD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6143-2020</t>
        </is>
      </c>
      <c r="B130" s="1" t="n">
        <v>43865</v>
      </c>
      <c r="C130" s="1" t="n">
        <v>45787</v>
      </c>
      <c r="D130" t="inlineStr">
        <is>
          <t>SKÅNE LÄN</t>
        </is>
      </c>
      <c r="E130" t="inlineStr">
        <is>
          <t>KRISTIANSTAD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7085-2020</t>
        </is>
      </c>
      <c r="B131" s="1" t="n">
        <v>43868</v>
      </c>
      <c r="C131" s="1" t="n">
        <v>45787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6928-2020</t>
        </is>
      </c>
      <c r="B132" s="1" t="n">
        <v>43868</v>
      </c>
      <c r="C132" s="1" t="n">
        <v>45787</v>
      </c>
      <c r="D132" t="inlineStr">
        <is>
          <t>SKÅNE LÄN</t>
        </is>
      </c>
      <c r="E132" t="inlineStr">
        <is>
          <t>KRISTIANSTAD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7578-2020</t>
        </is>
      </c>
      <c r="B133" s="1" t="n">
        <v>43872</v>
      </c>
      <c r="C133" s="1" t="n">
        <v>45787</v>
      </c>
      <c r="D133" t="inlineStr">
        <is>
          <t>SKÅNE LÄN</t>
        </is>
      </c>
      <c r="E133" t="inlineStr">
        <is>
          <t>KRISTIANSTAD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8946-2020</t>
        </is>
      </c>
      <c r="B134" s="1" t="n">
        <v>43878</v>
      </c>
      <c r="C134" s="1" t="n">
        <v>45787</v>
      </c>
      <c r="D134" t="inlineStr">
        <is>
          <t>SKÅNE LÄN</t>
        </is>
      </c>
      <c r="E134" t="inlineStr">
        <is>
          <t>KRISTIANSTAD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9078-2020</t>
        </is>
      </c>
      <c r="B135" s="1" t="n">
        <v>43879</v>
      </c>
      <c r="C135" s="1" t="n">
        <v>45787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9812-2020</t>
        </is>
      </c>
      <c r="B136" s="1" t="n">
        <v>43881</v>
      </c>
      <c r="C136" s="1" t="n">
        <v>45787</v>
      </c>
      <c r="D136" t="inlineStr">
        <is>
          <t>SKÅNE LÄN</t>
        </is>
      </c>
      <c r="E136" t="inlineStr">
        <is>
          <t>KRISTIANSTAD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11262-2020</t>
        </is>
      </c>
      <c r="B137" s="1" t="n">
        <v>43888</v>
      </c>
      <c r="C137" s="1" t="n">
        <v>45787</v>
      </c>
      <c r="D137" t="inlineStr">
        <is>
          <t>SKÅNE LÄN</t>
        </is>
      </c>
      <c r="E137" t="inlineStr">
        <is>
          <t>KRISTIANSTAD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17290-2020</t>
        </is>
      </c>
      <c r="B138" s="1" t="n">
        <v>43915</v>
      </c>
      <c r="C138" s="1" t="n">
        <v>45787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16388-2020</t>
        </is>
      </c>
      <c r="B139" s="1" t="n">
        <v>43917</v>
      </c>
      <c r="C139" s="1" t="n">
        <v>45787</v>
      </c>
      <c r="D139" t="inlineStr">
        <is>
          <t>SKÅNE LÄN</t>
        </is>
      </c>
      <c r="E139" t="inlineStr">
        <is>
          <t>KRISTIANSTAD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18677-2020</t>
        </is>
      </c>
      <c r="B140" s="1" t="n">
        <v>43930</v>
      </c>
      <c r="C140" s="1" t="n">
        <v>45787</v>
      </c>
      <c r="D140" t="inlineStr">
        <is>
          <t>SKÅNE LÄN</t>
        </is>
      </c>
      <c r="E140" t="inlineStr">
        <is>
          <t>KRISTIANSTAD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18881-2020</t>
        </is>
      </c>
      <c r="B141" s="1" t="n">
        <v>43935</v>
      </c>
      <c r="C141" s="1" t="n">
        <v>45787</v>
      </c>
      <c r="D141" t="inlineStr">
        <is>
          <t>SKÅNE LÄN</t>
        </is>
      </c>
      <c r="E141" t="inlineStr">
        <is>
          <t>KRISTIANSTAD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21356-2020</t>
        </is>
      </c>
      <c r="B142" s="1" t="n">
        <v>43955</v>
      </c>
      <c r="C142" s="1" t="n">
        <v>45787</v>
      </c>
      <c r="D142" t="inlineStr">
        <is>
          <t>SKÅNE LÄN</t>
        </is>
      </c>
      <c r="E142" t="inlineStr">
        <is>
          <t>KRISTIANSTAD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24659-2020</t>
        </is>
      </c>
      <c r="B143" s="1" t="n">
        <v>43977</v>
      </c>
      <c r="C143" s="1" t="n">
        <v>45787</v>
      </c>
      <c r="D143" t="inlineStr">
        <is>
          <t>SKÅNE LÄN</t>
        </is>
      </c>
      <c r="E143" t="inlineStr">
        <is>
          <t>KRISTIANSTAD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24667-2020</t>
        </is>
      </c>
      <c r="B144" s="1" t="n">
        <v>43977</v>
      </c>
      <c r="C144" s="1" t="n">
        <v>45787</v>
      </c>
      <c r="D144" t="inlineStr">
        <is>
          <t>SKÅNE LÄN</t>
        </is>
      </c>
      <c r="E144" t="inlineStr">
        <is>
          <t>KRISTIANSTAD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25893-2020</t>
        </is>
      </c>
      <c r="B145" s="1" t="n">
        <v>43984</v>
      </c>
      <c r="C145" s="1" t="n">
        <v>45787</v>
      </c>
      <c r="D145" t="inlineStr">
        <is>
          <t>SKÅNE LÄN</t>
        </is>
      </c>
      <c r="E145" t="inlineStr">
        <is>
          <t>KRISTIANSTAD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26991-2020</t>
        </is>
      </c>
      <c r="B146" s="1" t="n">
        <v>43991</v>
      </c>
      <c r="C146" s="1" t="n">
        <v>45787</v>
      </c>
      <c r="D146" t="inlineStr">
        <is>
          <t>SKÅNE LÄN</t>
        </is>
      </c>
      <c r="E146" t="inlineStr">
        <is>
          <t>KRISTIANSTAD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28003-2020</t>
        </is>
      </c>
      <c r="B147" s="1" t="n">
        <v>43997</v>
      </c>
      <c r="C147" s="1" t="n">
        <v>45787</v>
      </c>
      <c r="D147" t="inlineStr">
        <is>
          <t>SKÅNE LÄN</t>
        </is>
      </c>
      <c r="E147" t="inlineStr">
        <is>
          <t>KRISTIANSTAD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29462-2020</t>
        </is>
      </c>
      <c r="B148" s="1" t="n">
        <v>44004</v>
      </c>
      <c r="C148" s="1" t="n">
        <v>45787</v>
      </c>
      <c r="D148" t="inlineStr">
        <is>
          <t>SKÅNE LÄN</t>
        </is>
      </c>
      <c r="E148" t="inlineStr">
        <is>
          <t>KRISTIANSTAD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32517-2020</t>
        </is>
      </c>
      <c r="B149" s="1" t="n">
        <v>44018</v>
      </c>
      <c r="C149" s="1" t="n">
        <v>45787</v>
      </c>
      <c r="D149" t="inlineStr">
        <is>
          <t>SKÅNE LÄN</t>
        </is>
      </c>
      <c r="E149" t="inlineStr">
        <is>
          <t>KRISTIANSTAD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32593-2020</t>
        </is>
      </c>
      <c r="B150" s="1" t="n">
        <v>44019</v>
      </c>
      <c r="C150" s="1" t="n">
        <v>45787</v>
      </c>
      <c r="D150" t="inlineStr">
        <is>
          <t>SKÅNE LÄN</t>
        </is>
      </c>
      <c r="E150" t="inlineStr">
        <is>
          <t>KRISTIANSTAD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33516-2020</t>
        </is>
      </c>
      <c r="B151" s="1" t="n">
        <v>44022</v>
      </c>
      <c r="C151" s="1" t="n">
        <v>45787</v>
      </c>
      <c r="D151" t="inlineStr">
        <is>
          <t>SKÅNE LÄN</t>
        </is>
      </c>
      <c r="E151" t="inlineStr">
        <is>
          <t>KRISTIANSTAD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33511-2020</t>
        </is>
      </c>
      <c r="B152" s="1" t="n">
        <v>44022</v>
      </c>
      <c r="C152" s="1" t="n">
        <v>45787</v>
      </c>
      <c r="D152" t="inlineStr">
        <is>
          <t>SKÅNE LÄN</t>
        </is>
      </c>
      <c r="E152" t="inlineStr">
        <is>
          <t>KRISTIANSTAD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33515-2020</t>
        </is>
      </c>
      <c r="B153" s="1" t="n">
        <v>44022</v>
      </c>
      <c r="C153" s="1" t="n">
        <v>45787</v>
      </c>
      <c r="D153" t="inlineStr">
        <is>
          <t>SKÅNE LÄN</t>
        </is>
      </c>
      <c r="E153" t="inlineStr">
        <is>
          <t>KRISTIANSTAD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33739-2020</t>
        </is>
      </c>
      <c r="B154" s="1" t="n">
        <v>44025</v>
      </c>
      <c r="C154" s="1" t="n">
        <v>45787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18.3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33742-2020</t>
        </is>
      </c>
      <c r="B155" s="1" t="n">
        <v>44025</v>
      </c>
      <c r="C155" s="1" t="n">
        <v>45787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33737-2020</t>
        </is>
      </c>
      <c r="B156" s="1" t="n">
        <v>44025</v>
      </c>
      <c r="C156" s="1" t="n">
        <v>45787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20.3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33866-2020</t>
        </is>
      </c>
      <c r="B157" s="1" t="n">
        <v>44025</v>
      </c>
      <c r="C157" s="1" t="n">
        <v>45787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33696-2020</t>
        </is>
      </c>
      <c r="B158" s="1" t="n">
        <v>44026</v>
      </c>
      <c r="C158" s="1" t="n">
        <v>45787</v>
      </c>
      <c r="D158" t="inlineStr">
        <is>
          <t>SKÅNE LÄN</t>
        </is>
      </c>
      <c r="E158" t="inlineStr">
        <is>
          <t>KRISTIANSTAD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34548-2020</t>
        </is>
      </c>
      <c r="B159" s="1" t="n">
        <v>44033</v>
      </c>
      <c r="C159" s="1" t="n">
        <v>45787</v>
      </c>
      <c r="D159" t="inlineStr">
        <is>
          <t>SKÅNE LÄN</t>
        </is>
      </c>
      <c r="E159" t="inlineStr">
        <is>
          <t>KRISTIANSTAD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35463-2020</t>
        </is>
      </c>
      <c r="B160" s="1" t="n">
        <v>44042</v>
      </c>
      <c r="C160" s="1" t="n">
        <v>45787</v>
      </c>
      <c r="D160" t="inlineStr">
        <is>
          <t>SKÅNE LÄN</t>
        </is>
      </c>
      <c r="E160" t="inlineStr">
        <is>
          <t>KRISTIANSTAD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37180-2020</t>
        </is>
      </c>
      <c r="B161" s="1" t="n">
        <v>44054</v>
      </c>
      <c r="C161" s="1" t="n">
        <v>45787</v>
      </c>
      <c r="D161" t="inlineStr">
        <is>
          <t>SKÅNE LÄN</t>
        </is>
      </c>
      <c r="E161" t="inlineStr">
        <is>
          <t>KRISTIANSTAD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42262-2020</t>
        </is>
      </c>
      <c r="B162" s="1" t="n">
        <v>44074</v>
      </c>
      <c r="C162" s="1" t="n">
        <v>45787</v>
      </c>
      <c r="D162" t="inlineStr">
        <is>
          <t>SKÅNE LÄN</t>
        </is>
      </c>
      <c r="E162" t="inlineStr">
        <is>
          <t>KRISTIANSTAD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42353-2020</t>
        </is>
      </c>
      <c r="B163" s="1" t="n">
        <v>44076</v>
      </c>
      <c r="C163" s="1" t="n">
        <v>45787</v>
      </c>
      <c r="D163" t="inlineStr">
        <is>
          <t>SKÅNE LÄN</t>
        </is>
      </c>
      <c r="E163" t="inlineStr">
        <is>
          <t>KRISTIANSTAD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43414-2020</t>
        </is>
      </c>
      <c r="B164" s="1" t="n">
        <v>44077</v>
      </c>
      <c r="C164" s="1" t="n">
        <v>45787</v>
      </c>
      <c r="D164" t="inlineStr">
        <is>
          <t>SKÅNE LÄN</t>
        </is>
      </c>
      <c r="E164" t="inlineStr">
        <is>
          <t>KRISTIANSTAD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44316-2020</t>
        </is>
      </c>
      <c r="B165" s="1" t="n">
        <v>44084</v>
      </c>
      <c r="C165" s="1" t="n">
        <v>45787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44463-2020</t>
        </is>
      </c>
      <c r="B166" s="1" t="n">
        <v>44084</v>
      </c>
      <c r="C166" s="1" t="n">
        <v>45787</v>
      </c>
      <c r="D166" t="inlineStr">
        <is>
          <t>SKÅNE LÄN</t>
        </is>
      </c>
      <c r="E166" t="inlineStr">
        <is>
          <t>KRISTIANSTAD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44464-2020</t>
        </is>
      </c>
      <c r="B167" s="1" t="n">
        <v>44084</v>
      </c>
      <c r="C167" s="1" t="n">
        <v>45787</v>
      </c>
      <c r="D167" t="inlineStr">
        <is>
          <t>SKÅNE LÄN</t>
        </is>
      </c>
      <c r="E167" t="inlineStr">
        <is>
          <t>KRISTIANSTAD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47693-2020</t>
        </is>
      </c>
      <c r="B168" s="1" t="n">
        <v>44095</v>
      </c>
      <c r="C168" s="1" t="n">
        <v>45787</v>
      </c>
      <c r="D168" t="inlineStr">
        <is>
          <t>SKÅNE LÄN</t>
        </is>
      </c>
      <c r="E168" t="inlineStr">
        <is>
          <t>KRISTIANSTAD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47613-2020</t>
        </is>
      </c>
      <c r="B169" s="1" t="n">
        <v>44095</v>
      </c>
      <c r="C169" s="1" t="n">
        <v>45787</v>
      </c>
      <c r="D169" t="inlineStr">
        <is>
          <t>SKÅNE LÄN</t>
        </is>
      </c>
      <c r="E169" t="inlineStr">
        <is>
          <t>KRISTIANSTAD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47594-2020</t>
        </is>
      </c>
      <c r="B170" s="1" t="n">
        <v>44095</v>
      </c>
      <c r="C170" s="1" t="n">
        <v>45787</v>
      </c>
      <c r="D170" t="inlineStr">
        <is>
          <t>SKÅNE LÄN</t>
        </is>
      </c>
      <c r="E170" t="inlineStr">
        <is>
          <t>KRISTIANSTAD</t>
        </is>
      </c>
      <c r="G170" t="n">
        <v>13.5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47715-2020</t>
        </is>
      </c>
      <c r="B171" s="1" t="n">
        <v>44095</v>
      </c>
      <c r="C171" s="1" t="n">
        <v>45787</v>
      </c>
      <c r="D171" t="inlineStr">
        <is>
          <t>SKÅNE LÄN</t>
        </is>
      </c>
      <c r="E171" t="inlineStr">
        <is>
          <t>KRISTIANSTAD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52383-2020</t>
        </is>
      </c>
      <c r="B172" s="1" t="n">
        <v>44112</v>
      </c>
      <c r="C172" s="1" t="n">
        <v>45787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55979-2020</t>
        </is>
      </c>
      <c r="B173" s="1" t="n">
        <v>44133</v>
      </c>
      <c r="C173" s="1" t="n">
        <v>45787</v>
      </c>
      <c r="D173" t="inlineStr">
        <is>
          <t>SKÅNE LÄN</t>
        </is>
      </c>
      <c r="E173" t="inlineStr">
        <is>
          <t>KRISTIANSTAD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56521-2020</t>
        </is>
      </c>
      <c r="B174" s="1" t="n">
        <v>44133</v>
      </c>
      <c r="C174" s="1" t="n">
        <v>45787</v>
      </c>
      <c r="D174" t="inlineStr">
        <is>
          <t>SKÅNE LÄN</t>
        </is>
      </c>
      <c r="E174" t="inlineStr">
        <is>
          <t>KRISTIANSTAD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57928-2020</t>
        </is>
      </c>
      <c r="B175" s="1" t="n">
        <v>44141</v>
      </c>
      <c r="C175" s="1" t="n">
        <v>45787</v>
      </c>
      <c r="D175" t="inlineStr">
        <is>
          <t>SKÅNE LÄN</t>
        </is>
      </c>
      <c r="E175" t="inlineStr">
        <is>
          <t>KRISTIANSTAD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57832-2020</t>
        </is>
      </c>
      <c r="B176" s="1" t="n">
        <v>44141</v>
      </c>
      <c r="C176" s="1" t="n">
        <v>45787</v>
      </c>
      <c r="D176" t="inlineStr">
        <is>
          <t>SKÅNE LÄN</t>
        </is>
      </c>
      <c r="E176" t="inlineStr">
        <is>
          <t>KRISTIANSTAD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57840-2020</t>
        </is>
      </c>
      <c r="B177" s="1" t="n">
        <v>44141</v>
      </c>
      <c r="C177" s="1" t="n">
        <v>45787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58297-2020</t>
        </is>
      </c>
      <c r="B178" s="1" t="n">
        <v>44144</v>
      </c>
      <c r="C178" s="1" t="n">
        <v>45787</v>
      </c>
      <c r="D178" t="inlineStr">
        <is>
          <t>SKÅNE LÄN</t>
        </is>
      </c>
      <c r="E178" t="inlineStr">
        <is>
          <t>KRISTIANSTAD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58887-2020</t>
        </is>
      </c>
      <c r="B179" s="1" t="n">
        <v>44146</v>
      </c>
      <c r="C179" s="1" t="n">
        <v>45787</v>
      </c>
      <c r="D179" t="inlineStr">
        <is>
          <t>SKÅNE LÄN</t>
        </is>
      </c>
      <c r="E179" t="inlineStr">
        <is>
          <t>KRISTIANSTAD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58848-2020</t>
        </is>
      </c>
      <c r="B180" s="1" t="n">
        <v>44146</v>
      </c>
      <c r="C180" s="1" t="n">
        <v>45787</v>
      </c>
      <c r="D180" t="inlineStr">
        <is>
          <t>SKÅNE LÄN</t>
        </is>
      </c>
      <c r="E180" t="inlineStr">
        <is>
          <t>KRISTIANSTAD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62447-2020</t>
        </is>
      </c>
      <c r="B181" s="1" t="n">
        <v>44159</v>
      </c>
      <c r="C181" s="1" t="n">
        <v>45787</v>
      </c>
      <c r="D181" t="inlineStr">
        <is>
          <t>SKÅNE LÄN</t>
        </is>
      </c>
      <c r="E181" t="inlineStr">
        <is>
          <t>KRISTIANSTAD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63456-2020</t>
        </is>
      </c>
      <c r="B182" s="1" t="n">
        <v>44161</v>
      </c>
      <c r="C182" s="1" t="n">
        <v>45787</v>
      </c>
      <c r="D182" t="inlineStr">
        <is>
          <t>SKÅNE LÄN</t>
        </is>
      </c>
      <c r="E182" t="inlineStr">
        <is>
          <t>KRISTIANSTAD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63389-2020</t>
        </is>
      </c>
      <c r="B183" s="1" t="n">
        <v>44161</v>
      </c>
      <c r="C183" s="1" t="n">
        <v>45787</v>
      </c>
      <c r="D183" t="inlineStr">
        <is>
          <t>SKÅNE LÄN</t>
        </is>
      </c>
      <c r="E183" t="inlineStr">
        <is>
          <t>KRISTIANSTAD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65040-2020</t>
        </is>
      </c>
      <c r="B184" s="1" t="n">
        <v>44167</v>
      </c>
      <c r="C184" s="1" t="n">
        <v>45787</v>
      </c>
      <c r="D184" t="inlineStr">
        <is>
          <t>SKÅNE LÄN</t>
        </is>
      </c>
      <c r="E184" t="inlineStr">
        <is>
          <t>KRISTIANSTAD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65288-2020</t>
        </is>
      </c>
      <c r="B185" s="1" t="n">
        <v>44173</v>
      </c>
      <c r="C185" s="1" t="n">
        <v>45787</v>
      </c>
      <c r="D185" t="inlineStr">
        <is>
          <t>SKÅNE LÄN</t>
        </is>
      </c>
      <c r="E185" t="inlineStr">
        <is>
          <t>KRISTIANSTAD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67083-2020</t>
        </is>
      </c>
      <c r="B186" s="1" t="n">
        <v>44180</v>
      </c>
      <c r="C186" s="1" t="n">
        <v>45787</v>
      </c>
      <c r="D186" t="inlineStr">
        <is>
          <t>SKÅNE LÄN</t>
        </is>
      </c>
      <c r="E186" t="inlineStr">
        <is>
          <t>KRISTIANSTAD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68105-2020</t>
        </is>
      </c>
      <c r="B187" s="1" t="n">
        <v>44183</v>
      </c>
      <c r="C187" s="1" t="n">
        <v>45787</v>
      </c>
      <c r="D187" t="inlineStr">
        <is>
          <t>SKÅNE LÄN</t>
        </is>
      </c>
      <c r="E187" t="inlineStr">
        <is>
          <t>KRISTIANSTAD</t>
        </is>
      </c>
      <c r="F187" t="inlineStr">
        <is>
          <t>Kyrkan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68634-2020</t>
        </is>
      </c>
      <c r="B188" s="1" t="n">
        <v>44186</v>
      </c>
      <c r="C188" s="1" t="n">
        <v>45787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68845-2020</t>
        </is>
      </c>
      <c r="B189" s="1" t="n">
        <v>44186</v>
      </c>
      <c r="C189" s="1" t="n">
        <v>45787</v>
      </c>
      <c r="D189" t="inlineStr">
        <is>
          <t>SKÅNE LÄN</t>
        </is>
      </c>
      <c r="E189" t="inlineStr">
        <is>
          <t>KRISTIANSTAD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68840-2020</t>
        </is>
      </c>
      <c r="B190" s="1" t="n">
        <v>44186</v>
      </c>
      <c r="C190" s="1" t="n">
        <v>45787</v>
      </c>
      <c r="D190" t="inlineStr">
        <is>
          <t>SKÅNE LÄN</t>
        </is>
      </c>
      <c r="E190" t="inlineStr">
        <is>
          <t>KRISTIANSTAD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69273-2020</t>
        </is>
      </c>
      <c r="B191" s="1" t="n">
        <v>44193</v>
      </c>
      <c r="C191" s="1" t="n">
        <v>45787</v>
      </c>
      <c r="D191" t="inlineStr">
        <is>
          <t>SKÅNE LÄN</t>
        </is>
      </c>
      <c r="E191" t="inlineStr">
        <is>
          <t>KRISTIANSTAD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49-2021</t>
        </is>
      </c>
      <c r="B192" s="1" t="n">
        <v>44199</v>
      </c>
      <c r="C192" s="1" t="n">
        <v>45787</v>
      </c>
      <c r="D192" t="inlineStr">
        <is>
          <t>SKÅNE LÄN</t>
        </is>
      </c>
      <c r="E192" t="inlineStr">
        <is>
          <t>KRISTIANSTAD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50-2021</t>
        </is>
      </c>
      <c r="B193" s="1" t="n">
        <v>44199</v>
      </c>
      <c r="C193" s="1" t="n">
        <v>45787</v>
      </c>
      <c r="D193" t="inlineStr">
        <is>
          <t>SKÅNE LÄN</t>
        </is>
      </c>
      <c r="E193" t="inlineStr">
        <is>
          <t>KRISTIANSTAD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2272-2021</t>
        </is>
      </c>
      <c r="B194" s="1" t="n">
        <v>44211</v>
      </c>
      <c r="C194" s="1" t="n">
        <v>45787</v>
      </c>
      <c r="D194" t="inlineStr">
        <is>
          <t>SKÅNE LÄN</t>
        </is>
      </c>
      <c r="E194" t="inlineStr">
        <is>
          <t>KRISTIANSTAD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7245-2021</t>
        </is>
      </c>
      <c r="B195" s="1" t="n">
        <v>44237</v>
      </c>
      <c r="C195" s="1" t="n">
        <v>45787</v>
      </c>
      <c r="D195" t="inlineStr">
        <is>
          <t>SKÅNE LÄN</t>
        </is>
      </c>
      <c r="E195" t="inlineStr">
        <is>
          <t>KRISTIANSTAD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7209-2021</t>
        </is>
      </c>
      <c r="B196" s="1" t="n">
        <v>44237</v>
      </c>
      <c r="C196" s="1" t="n">
        <v>45787</v>
      </c>
      <c r="D196" t="inlineStr">
        <is>
          <t>SKÅNE LÄN</t>
        </is>
      </c>
      <c r="E196" t="inlineStr">
        <is>
          <t>KRISTIANSTAD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7231-2021</t>
        </is>
      </c>
      <c r="B197" s="1" t="n">
        <v>44237</v>
      </c>
      <c r="C197" s="1" t="n">
        <v>45787</v>
      </c>
      <c r="D197" t="inlineStr">
        <is>
          <t>SKÅNE LÄN</t>
        </is>
      </c>
      <c r="E197" t="inlineStr">
        <is>
          <t>KRISTIANSTAD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7186-2021</t>
        </is>
      </c>
      <c r="B198" s="1" t="n">
        <v>44238</v>
      </c>
      <c r="C198" s="1" t="n">
        <v>45787</v>
      </c>
      <c r="D198" t="inlineStr">
        <is>
          <t>SKÅNE LÄN</t>
        </is>
      </c>
      <c r="E198" t="inlineStr">
        <is>
          <t>KRISTIANSTAD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8968-2021</t>
        </is>
      </c>
      <c r="B199" s="1" t="n">
        <v>44249</v>
      </c>
      <c r="C199" s="1" t="n">
        <v>45787</v>
      </c>
      <c r="D199" t="inlineStr">
        <is>
          <t>SKÅNE LÄN</t>
        </is>
      </c>
      <c r="E199" t="inlineStr">
        <is>
          <t>KRISTIANSTAD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10081-2021</t>
        </is>
      </c>
      <c r="B200" s="1" t="n">
        <v>44256</v>
      </c>
      <c r="C200" s="1" t="n">
        <v>45787</v>
      </c>
      <c r="D200" t="inlineStr">
        <is>
          <t>SKÅNE LÄN</t>
        </is>
      </c>
      <c r="E200" t="inlineStr">
        <is>
          <t>KRISTIANSTAD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13255-2021</t>
        </is>
      </c>
      <c r="B201" s="1" t="n">
        <v>44272</v>
      </c>
      <c r="C201" s="1" t="n">
        <v>45787</v>
      </c>
      <c r="D201" t="inlineStr">
        <is>
          <t>SKÅNE LÄN</t>
        </is>
      </c>
      <c r="E201" t="inlineStr">
        <is>
          <t>KRISTIANSTAD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13591-2021</t>
        </is>
      </c>
      <c r="B202" s="1" t="n">
        <v>44274</v>
      </c>
      <c r="C202" s="1" t="n">
        <v>45787</v>
      </c>
      <c r="D202" t="inlineStr">
        <is>
          <t>SKÅNE LÄN</t>
        </is>
      </c>
      <c r="E202" t="inlineStr">
        <is>
          <t>KRISTIANSTAD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15712-2021</t>
        </is>
      </c>
      <c r="B203" s="1" t="n">
        <v>44286</v>
      </c>
      <c r="C203" s="1" t="n">
        <v>45787</v>
      </c>
      <c r="D203" t="inlineStr">
        <is>
          <t>SKÅNE LÄN</t>
        </is>
      </c>
      <c r="E203" t="inlineStr">
        <is>
          <t>KRISTIANSTAD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16082-2021</t>
        </is>
      </c>
      <c r="B204" s="1" t="n">
        <v>44288</v>
      </c>
      <c r="C204" s="1" t="n">
        <v>45787</v>
      </c>
      <c r="D204" t="inlineStr">
        <is>
          <t>SKÅNE LÄN</t>
        </is>
      </c>
      <c r="E204" t="inlineStr">
        <is>
          <t>KRISTIANSTAD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17387-2021</t>
        </is>
      </c>
      <c r="B205" s="1" t="n">
        <v>44298</v>
      </c>
      <c r="C205" s="1" t="n">
        <v>45787</v>
      </c>
      <c r="D205" t="inlineStr">
        <is>
          <t>SKÅNE LÄN</t>
        </is>
      </c>
      <c r="E205" t="inlineStr">
        <is>
          <t>KRISTIANSTAD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18830-2021</t>
        </is>
      </c>
      <c r="B206" s="1" t="n">
        <v>44307</v>
      </c>
      <c r="C206" s="1" t="n">
        <v>45787</v>
      </c>
      <c r="D206" t="inlineStr">
        <is>
          <t>SKÅNE LÄN</t>
        </is>
      </c>
      <c r="E206" t="inlineStr">
        <is>
          <t>KRISTIANSTAD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20384-2021</t>
        </is>
      </c>
      <c r="B207" s="1" t="n">
        <v>44315</v>
      </c>
      <c r="C207" s="1" t="n">
        <v>45787</v>
      </c>
      <c r="D207" t="inlineStr">
        <is>
          <t>SKÅNE LÄN</t>
        </is>
      </c>
      <c r="E207" t="inlineStr">
        <is>
          <t>KRISTIANSTAD</t>
        </is>
      </c>
      <c r="F207" t="inlineStr">
        <is>
          <t>Kommuner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22345-2021</t>
        </is>
      </c>
      <c r="B208" s="1" t="n">
        <v>44326</v>
      </c>
      <c r="C208" s="1" t="n">
        <v>45787</v>
      </c>
      <c r="D208" t="inlineStr">
        <is>
          <t>SKÅNE LÄN</t>
        </is>
      </c>
      <c r="E208" t="inlineStr">
        <is>
          <t>KRISTIANSTAD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22958-2021</t>
        </is>
      </c>
      <c r="B209" s="1" t="n">
        <v>44328</v>
      </c>
      <c r="C209" s="1" t="n">
        <v>45787</v>
      </c>
      <c r="D209" t="inlineStr">
        <is>
          <t>SKÅNE LÄN</t>
        </is>
      </c>
      <c r="E209" t="inlineStr">
        <is>
          <t>KRISTIANSTAD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25051-2021</t>
        </is>
      </c>
      <c r="B210" s="1" t="n">
        <v>44341</v>
      </c>
      <c r="C210" s="1" t="n">
        <v>45787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25043-2021</t>
        </is>
      </c>
      <c r="B211" s="1" t="n">
        <v>44341</v>
      </c>
      <c r="C211" s="1" t="n">
        <v>45787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25047-2021</t>
        </is>
      </c>
      <c r="B212" s="1" t="n">
        <v>44341</v>
      </c>
      <c r="C212" s="1" t="n">
        <v>45787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25578-2021</t>
        </is>
      </c>
      <c r="B213" s="1" t="n">
        <v>44343</v>
      </c>
      <c r="C213" s="1" t="n">
        <v>45787</v>
      </c>
      <c r="D213" t="inlineStr">
        <is>
          <t>SKÅNE LÄN</t>
        </is>
      </c>
      <c r="E213" t="inlineStr">
        <is>
          <t>KRISTIANSTAD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26482-2021</t>
        </is>
      </c>
      <c r="B214" s="1" t="n">
        <v>44348</v>
      </c>
      <c r="C214" s="1" t="n">
        <v>45787</v>
      </c>
      <c r="D214" t="inlineStr">
        <is>
          <t>SKÅNE LÄN</t>
        </is>
      </c>
      <c r="E214" t="inlineStr">
        <is>
          <t>KRISTIANSTAD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26918-2021</t>
        </is>
      </c>
      <c r="B215" s="1" t="n">
        <v>44349</v>
      </c>
      <c r="C215" s="1" t="n">
        <v>45787</v>
      </c>
      <c r="D215" t="inlineStr">
        <is>
          <t>SKÅNE LÄN</t>
        </is>
      </c>
      <c r="E215" t="inlineStr">
        <is>
          <t>KRISTIANSTAD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27764-2021</t>
        </is>
      </c>
      <c r="B216" s="1" t="n">
        <v>44354</v>
      </c>
      <c r="C216" s="1" t="n">
        <v>45787</v>
      </c>
      <c r="D216" t="inlineStr">
        <is>
          <t>SKÅNE LÄN</t>
        </is>
      </c>
      <c r="E216" t="inlineStr">
        <is>
          <t>KRISTIANSTAD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27729-2021</t>
        </is>
      </c>
      <c r="B217" s="1" t="n">
        <v>44354</v>
      </c>
      <c r="C217" s="1" t="n">
        <v>45787</v>
      </c>
      <c r="D217" t="inlineStr">
        <is>
          <t>SKÅNE LÄN</t>
        </is>
      </c>
      <c r="E217" t="inlineStr">
        <is>
          <t>KRISTIANSTAD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29710-2021</t>
        </is>
      </c>
      <c r="B218" s="1" t="n">
        <v>44362</v>
      </c>
      <c r="C218" s="1" t="n">
        <v>45787</v>
      </c>
      <c r="D218" t="inlineStr">
        <is>
          <t>SKÅNE LÄN</t>
        </is>
      </c>
      <c r="E218" t="inlineStr">
        <is>
          <t>KRISTIANSTAD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30706-2021</t>
        </is>
      </c>
      <c r="B219" s="1" t="n">
        <v>44365</v>
      </c>
      <c r="C219" s="1" t="n">
        <v>45787</v>
      </c>
      <c r="D219" t="inlineStr">
        <is>
          <t>SKÅNE LÄN</t>
        </is>
      </c>
      <c r="E219" t="inlineStr">
        <is>
          <t>KRISTIANSTAD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31262-2021</t>
        </is>
      </c>
      <c r="B220" s="1" t="n">
        <v>44368</v>
      </c>
      <c r="C220" s="1" t="n">
        <v>45787</v>
      </c>
      <c r="D220" t="inlineStr">
        <is>
          <t>SKÅNE LÄN</t>
        </is>
      </c>
      <c r="E220" t="inlineStr">
        <is>
          <t>KRISTIANSTAD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33788-2021</t>
        </is>
      </c>
      <c r="B221" s="1" t="n">
        <v>44378</v>
      </c>
      <c r="C221" s="1" t="n">
        <v>45787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35304-2021</t>
        </is>
      </c>
      <c r="B222" s="1" t="n">
        <v>44384</v>
      </c>
      <c r="C222" s="1" t="n">
        <v>45787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35300-2021</t>
        </is>
      </c>
      <c r="B223" s="1" t="n">
        <v>44384</v>
      </c>
      <c r="C223" s="1" t="n">
        <v>45787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37546-2021</t>
        </is>
      </c>
      <c r="B224" s="1" t="n">
        <v>44390</v>
      </c>
      <c r="C224" s="1" t="n">
        <v>45787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36412-2021</t>
        </is>
      </c>
      <c r="B225" s="1" t="n">
        <v>44390</v>
      </c>
      <c r="C225" s="1" t="n">
        <v>45787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37558-2021</t>
        </is>
      </c>
      <c r="B226" s="1" t="n">
        <v>44399</v>
      </c>
      <c r="C226" s="1" t="n">
        <v>45787</v>
      </c>
      <c r="D226" t="inlineStr">
        <is>
          <t>SKÅNE LÄN</t>
        </is>
      </c>
      <c r="E226" t="inlineStr">
        <is>
          <t>KRISTIANSTAD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37556-2021</t>
        </is>
      </c>
      <c r="B227" s="1" t="n">
        <v>44399</v>
      </c>
      <c r="C227" s="1" t="n">
        <v>45787</v>
      </c>
      <c r="D227" t="inlineStr">
        <is>
          <t>SKÅNE LÄN</t>
        </is>
      </c>
      <c r="E227" t="inlineStr">
        <is>
          <t>KRISTIANSTAD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38693-2021</t>
        </is>
      </c>
      <c r="B228" s="1" t="n">
        <v>44410</v>
      </c>
      <c r="C228" s="1" t="n">
        <v>45787</v>
      </c>
      <c r="D228" t="inlineStr">
        <is>
          <t>SKÅNE LÄN</t>
        </is>
      </c>
      <c r="E228" t="inlineStr">
        <is>
          <t>KRISTIANSTAD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39444-2021</t>
        </is>
      </c>
      <c r="B229" s="1" t="n">
        <v>44412</v>
      </c>
      <c r="C229" s="1" t="n">
        <v>45787</v>
      </c>
      <c r="D229" t="inlineStr">
        <is>
          <t>SKÅNE LÄN</t>
        </is>
      </c>
      <c r="E229" t="inlineStr">
        <is>
          <t>KRISTIANSTAD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39449-2021</t>
        </is>
      </c>
      <c r="B230" s="1" t="n">
        <v>44412</v>
      </c>
      <c r="C230" s="1" t="n">
        <v>45787</v>
      </c>
      <c r="D230" t="inlineStr">
        <is>
          <t>SKÅNE LÄN</t>
        </is>
      </c>
      <c r="E230" t="inlineStr">
        <is>
          <t>KRISTIANSTAD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39993-2021</t>
        </is>
      </c>
      <c r="B231" s="1" t="n">
        <v>44417</v>
      </c>
      <c r="C231" s="1" t="n">
        <v>45787</v>
      </c>
      <c r="D231" t="inlineStr">
        <is>
          <t>SKÅNE LÄN</t>
        </is>
      </c>
      <c r="E231" t="inlineStr">
        <is>
          <t>KRISTIANSTAD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39996-2021</t>
        </is>
      </c>
      <c r="B232" s="1" t="n">
        <v>44417</v>
      </c>
      <c r="C232" s="1" t="n">
        <v>45787</v>
      </c>
      <c r="D232" t="inlineStr">
        <is>
          <t>SKÅNE LÄN</t>
        </is>
      </c>
      <c r="E232" t="inlineStr">
        <is>
          <t>KRISTIANSTAD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40328-2021</t>
        </is>
      </c>
      <c r="B233" s="1" t="n">
        <v>44419</v>
      </c>
      <c r="C233" s="1" t="n">
        <v>45787</v>
      </c>
      <c r="D233" t="inlineStr">
        <is>
          <t>SKÅNE LÄN</t>
        </is>
      </c>
      <c r="E233" t="inlineStr">
        <is>
          <t>KRISTIANSTAD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40366-2021</t>
        </is>
      </c>
      <c r="B234" s="1" t="n">
        <v>44419</v>
      </c>
      <c r="C234" s="1" t="n">
        <v>45787</v>
      </c>
      <c r="D234" t="inlineStr">
        <is>
          <t>SKÅNE LÄN</t>
        </is>
      </c>
      <c r="E234" t="inlineStr">
        <is>
          <t>KRISTIANSTAD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40330-2021</t>
        </is>
      </c>
      <c r="B235" s="1" t="n">
        <v>44419</v>
      </c>
      <c r="C235" s="1" t="n">
        <v>45787</v>
      </c>
      <c r="D235" t="inlineStr">
        <is>
          <t>SKÅNE LÄN</t>
        </is>
      </c>
      <c r="E235" t="inlineStr">
        <is>
          <t>KRISTIANSTAD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42658-2021</t>
        </is>
      </c>
      <c r="B236" s="1" t="n">
        <v>44428</v>
      </c>
      <c r="C236" s="1" t="n">
        <v>45787</v>
      </c>
      <c r="D236" t="inlineStr">
        <is>
          <t>SKÅNE LÄN</t>
        </is>
      </c>
      <c r="E236" t="inlineStr">
        <is>
          <t>KRISTIANSTAD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42681-2021</t>
        </is>
      </c>
      <c r="B237" s="1" t="n">
        <v>44428</v>
      </c>
      <c r="C237" s="1" t="n">
        <v>45787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43655-2021</t>
        </is>
      </c>
      <c r="B238" s="1" t="n">
        <v>44433</v>
      </c>
      <c r="C238" s="1" t="n">
        <v>45787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43981-2021</t>
        </is>
      </c>
      <c r="B239" s="1" t="n">
        <v>44434</v>
      </c>
      <c r="C239" s="1" t="n">
        <v>45787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44329-2021</t>
        </is>
      </c>
      <c r="B240" s="1" t="n">
        <v>44435</v>
      </c>
      <c r="C240" s="1" t="n">
        <v>45787</v>
      </c>
      <c r="D240" t="inlineStr">
        <is>
          <t>SKÅNE LÄN</t>
        </is>
      </c>
      <c r="E240" t="inlineStr">
        <is>
          <t>KRISTIANSTAD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44361-2021</t>
        </is>
      </c>
      <c r="B241" s="1" t="n">
        <v>44435</v>
      </c>
      <c r="C241" s="1" t="n">
        <v>45787</v>
      </c>
      <c r="D241" t="inlineStr">
        <is>
          <t>SKÅNE LÄN</t>
        </is>
      </c>
      <c r="E241" t="inlineStr">
        <is>
          <t>KRISTIANSTAD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46193-2021</t>
        </is>
      </c>
      <c r="B242" s="1" t="n">
        <v>44442</v>
      </c>
      <c r="C242" s="1" t="n">
        <v>45787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46190-2021</t>
        </is>
      </c>
      <c r="B243" s="1" t="n">
        <v>44442</v>
      </c>
      <c r="C243" s="1" t="n">
        <v>45787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48054-2021</t>
        </is>
      </c>
      <c r="B244" s="1" t="n">
        <v>44449</v>
      </c>
      <c r="C244" s="1" t="n">
        <v>45787</v>
      </c>
      <c r="D244" t="inlineStr">
        <is>
          <t>SKÅNE LÄN</t>
        </is>
      </c>
      <c r="E244" t="inlineStr">
        <is>
          <t>KRISTIANSTAD</t>
        </is>
      </c>
      <c r="F244" t="inlineStr">
        <is>
          <t>Övriga Aktiebolag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48184-2021</t>
        </is>
      </c>
      <c r="B245" s="1" t="n">
        <v>44449</v>
      </c>
      <c r="C245" s="1" t="n">
        <v>45787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48173-2021</t>
        </is>
      </c>
      <c r="B246" s="1" t="n">
        <v>44449</v>
      </c>
      <c r="C246" s="1" t="n">
        <v>45787</v>
      </c>
      <c r="D246" t="inlineStr">
        <is>
          <t>SKÅNE LÄN</t>
        </is>
      </c>
      <c r="E246" t="inlineStr">
        <is>
          <t>KRISTIANSTAD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48707-2021</t>
        </is>
      </c>
      <c r="B247" s="1" t="n">
        <v>44452</v>
      </c>
      <c r="C247" s="1" t="n">
        <v>45787</v>
      </c>
      <c r="D247" t="inlineStr">
        <is>
          <t>SKÅNE LÄN</t>
        </is>
      </c>
      <c r="E247" t="inlineStr">
        <is>
          <t>KRISTIANSTAD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49520-2021</t>
        </is>
      </c>
      <c r="B248" s="1" t="n">
        <v>44455</v>
      </c>
      <c r="C248" s="1" t="n">
        <v>45787</v>
      </c>
      <c r="D248" t="inlineStr">
        <is>
          <t>SKÅNE LÄN</t>
        </is>
      </c>
      <c r="E248" t="inlineStr">
        <is>
          <t>KRISTIANSTAD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50834-2021</t>
        </is>
      </c>
      <c r="B249" s="1" t="n">
        <v>44460</v>
      </c>
      <c r="C249" s="1" t="n">
        <v>45787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HYPERLINK("https://klasma.github.io/Logging_1290/knärot/A 50834-2021 karta knärot.png", "A 50834-2021")</f>
        <v/>
      </c>
      <c r="V249">
        <f>HYPERLINK("https://klasma.github.io/Logging_1290/klagomål/A 50834-2021 FSC-klagomål.docx", "A 50834-2021")</f>
        <v/>
      </c>
      <c r="W249">
        <f>HYPERLINK("https://klasma.github.io/Logging_1290/klagomålsmail/A 50834-2021 FSC-klagomål mail.docx", "A 50834-2021")</f>
        <v/>
      </c>
      <c r="X249">
        <f>HYPERLINK("https://klasma.github.io/Logging_1290/tillsyn/A 50834-2021 tillsynsbegäran.docx", "A 50834-2021")</f>
        <v/>
      </c>
      <c r="Y249">
        <f>HYPERLINK("https://klasma.github.io/Logging_1290/tillsynsmail/A 50834-2021 tillsynsbegäran mail.docx", "A 50834-2021")</f>
        <v/>
      </c>
    </row>
    <row r="250" ht="15" customHeight="1">
      <c r="A250" t="inlineStr">
        <is>
          <t>A 50828-2021</t>
        </is>
      </c>
      <c r="B250" s="1" t="n">
        <v>44460</v>
      </c>
      <c r="C250" s="1" t="n">
        <v>45787</v>
      </c>
      <c r="D250" t="inlineStr">
        <is>
          <t>SKÅNE LÄN</t>
        </is>
      </c>
      <c r="E250" t="inlineStr">
        <is>
          <t>KRISTIANSTAD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51318-2021</t>
        </is>
      </c>
      <c r="B251" s="1" t="n">
        <v>44461</v>
      </c>
      <c r="C251" s="1" t="n">
        <v>45787</v>
      </c>
      <c r="D251" t="inlineStr">
        <is>
          <t>SKÅNE LÄN</t>
        </is>
      </c>
      <c r="E251" t="inlineStr">
        <is>
          <t>KRISTIANSTAD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52057-2021</t>
        </is>
      </c>
      <c r="B252" s="1" t="n">
        <v>44463</v>
      </c>
      <c r="C252" s="1" t="n">
        <v>45787</v>
      </c>
      <c r="D252" t="inlineStr">
        <is>
          <t>SKÅNE LÄN</t>
        </is>
      </c>
      <c r="E252" t="inlineStr">
        <is>
          <t>KRISTIANSTAD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52924-2021</t>
        </is>
      </c>
      <c r="B253" s="1" t="n">
        <v>44467</v>
      </c>
      <c r="C253" s="1" t="n">
        <v>45787</v>
      </c>
      <c r="D253" t="inlineStr">
        <is>
          <t>SKÅNE LÄN</t>
        </is>
      </c>
      <c r="E253" t="inlineStr">
        <is>
          <t>KRISTIANSTAD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53258-2021</t>
        </is>
      </c>
      <c r="B254" s="1" t="n">
        <v>44468</v>
      </c>
      <c r="C254" s="1" t="n">
        <v>45787</v>
      </c>
      <c r="D254" t="inlineStr">
        <is>
          <t>SKÅNE LÄN</t>
        </is>
      </c>
      <c r="E254" t="inlineStr">
        <is>
          <t>KRISTIANSTAD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53491-2021</t>
        </is>
      </c>
      <c r="B255" s="1" t="n">
        <v>44468</v>
      </c>
      <c r="C255" s="1" t="n">
        <v>45787</v>
      </c>
      <c r="D255" t="inlineStr">
        <is>
          <t>SKÅNE LÄN</t>
        </is>
      </c>
      <c r="E255" t="inlineStr">
        <is>
          <t>KRISTIANSTAD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54057-2021</t>
        </is>
      </c>
      <c r="B256" s="1" t="n">
        <v>44470</v>
      </c>
      <c r="C256" s="1" t="n">
        <v>45787</v>
      </c>
      <c r="D256" t="inlineStr">
        <is>
          <t>SKÅNE LÄN</t>
        </is>
      </c>
      <c r="E256" t="inlineStr">
        <is>
          <t>KRISTIANSTAD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55737-2021</t>
        </is>
      </c>
      <c r="B257" s="1" t="n">
        <v>44476</v>
      </c>
      <c r="C257" s="1" t="n">
        <v>45787</v>
      </c>
      <c r="D257" t="inlineStr">
        <is>
          <t>SKÅNE LÄN</t>
        </is>
      </c>
      <c r="E257" t="inlineStr">
        <is>
          <t>KRISTIANSTAD</t>
        </is>
      </c>
      <c r="F257" t="inlineStr">
        <is>
          <t>Sveaskog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45787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45787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45787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45787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45787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45787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45787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45787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45787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45787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45787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45787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45787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45787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45787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45787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45787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45787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45787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45787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45787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45787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45787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45787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45787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45787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45787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45787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45787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45787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45787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45787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45787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45787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45787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45787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45787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45787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45787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45787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45787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45787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45787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45787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45787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45787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45787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45787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45787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45787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45787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45787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45787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45787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45787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45787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45787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45787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45787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45787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45787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45787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45787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45787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45787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45787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45787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45787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45787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45787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45787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45787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45787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45787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45787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45787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45787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45787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45787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45787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45787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45787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45787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45787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45787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45787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45787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45787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45787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45787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45787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45787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45787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45787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45787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45787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45787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45787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45787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45787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45787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45787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45787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45787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45787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45787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45787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45787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45787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45787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45787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45787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45787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45787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45787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45787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45787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45787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45787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45787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45787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45787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45787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45787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45787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45787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45787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45787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45787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45787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45787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45787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45787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45787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45787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45787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45787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45787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45787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45787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45787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45787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45787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45787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45787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45787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45787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45787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45787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45787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45787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45787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45787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45787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45787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45787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45787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45787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45787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45787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45787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45787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45787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45787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45787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45787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45787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45787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45787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45787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45787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45787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45787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45787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45787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45787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45787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45787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45787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45787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45787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45787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45787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45787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45787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45787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45787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45787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45787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45787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45787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45787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45787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45787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45787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45787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45787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45787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45787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45787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45787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45787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45787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45787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45787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45787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45787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45787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45787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45787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45787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45787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45787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45787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45787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45787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45787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45787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45787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45787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45787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45787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45787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45787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45787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45787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45787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45787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45787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45787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45787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45787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45787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45787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45787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45787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45787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45787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45787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45787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45787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45787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45787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45787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45787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45787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45787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45787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45787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45787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45787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45787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45787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45787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45787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45787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45787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45787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45787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45787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45787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45787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45787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45787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45787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45787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45787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45787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45787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45787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45787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45787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45787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45787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45787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45787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45787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45787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45787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45787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45787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45787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45787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45787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45787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45787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45787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45787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45787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45787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45787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45787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45787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45787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45787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45787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45787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45787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45787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45787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45787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45787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45787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45787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45787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45787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45787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45787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45787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45787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45787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45787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45787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45787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45787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45787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45787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45787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45787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45787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45787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45787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45787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45787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45787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45787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45787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45787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45787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45787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45787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45787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45787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45787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45787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45787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45787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45787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45787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45787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45787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45787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45787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45787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45787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45787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45787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45787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45787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45787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45787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45787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45787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45787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45787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45787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45787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45787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45787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45787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45787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45787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45787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45787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45787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45787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45787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45787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45787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45787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45787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45787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45787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45787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45787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45787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45787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45787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45787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45787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45787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45787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45787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45787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45787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45787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45787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45787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45787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45787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45787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45787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45787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45787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45787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45787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45787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45787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45787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45787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45787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45787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45787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45787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45787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45787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45787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45787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45787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45787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45787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45787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45787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45787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45787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45787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45787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45787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45787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45787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45787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45787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45787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45787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45787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45787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45787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45787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45787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45787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45787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45787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45787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45787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45787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45787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45787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45787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45787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45787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45787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45787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45787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45787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45787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45787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45787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45787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45787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45787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45787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45787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45787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45787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45787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45787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45787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45787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45787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45787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45787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45787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45787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45787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45787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45787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45787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45787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45787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45787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45787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45787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45787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45787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45787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45787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45787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45787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45787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45787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45787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45787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45787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45787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45787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45787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45787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45787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45787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45787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45787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45787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45787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45787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45787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45787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45787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45787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45787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45787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45787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45787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45787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45787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45787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45787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45787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45787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45787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45787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45787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45787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45787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45787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45787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45787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45787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45787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45787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45787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45787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45787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45787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45787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45787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45787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45787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45787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45787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45787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45787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45787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45787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45787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45787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45787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45787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45787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45787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45787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45787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45787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45787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45787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45787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45787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45787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45787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45787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45787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45787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45787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45787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45787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45787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45787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45787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45787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45787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45787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45787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45787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45787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45787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45787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45787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45787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45787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45787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45787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45787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45787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45787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45787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45787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45787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45787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45787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45787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45787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45787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45787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45787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45787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45787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45787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45787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45787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45787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45787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45787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45787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45787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45787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45787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45787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45787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45787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45787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45787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45787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45787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45787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45787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45787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45787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45787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45787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45787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45787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45787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45787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45787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45787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45787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45787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45787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45787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45787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45787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45787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45787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45787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45787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45787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45787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45787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45787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45787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45787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45787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45787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45787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45787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45787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45787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45787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45787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45787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45787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45787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45787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45787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45787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45787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45787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45787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45787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45787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45787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45787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45787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45787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45787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45787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45787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45787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45787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45787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45787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45787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45787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45787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45787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45787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45787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45787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45787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45787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45787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45787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45787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45787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45787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45787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45787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45787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45787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45787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45787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45787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45787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45787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45787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45787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45787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45787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45787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45787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45787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45787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45787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45787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45787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45787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45787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45787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45787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45787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45787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45787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45787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45787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45787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45787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45787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45787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45787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45787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45787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45787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45787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45787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45787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45787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45787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45787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45787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45787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45787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45787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45787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45787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45787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45787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45787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45787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45787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45787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45787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45787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45787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45787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45787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45787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45787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45787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45787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45787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45787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45787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45787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45787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45787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45787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45787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45787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45787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45787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45787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45787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45787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45787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45787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45787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45787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45787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45787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45787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45787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45787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45787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45787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45787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45787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45787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45787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45787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45787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45787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10203-2025</t>
        </is>
      </c>
      <c r="B1028" s="1" t="n">
        <v>45719</v>
      </c>
      <c r="C1028" s="1" t="n">
        <v>45787</v>
      </c>
      <c r="D1028" t="inlineStr">
        <is>
          <t>SKÅNE LÄN</t>
        </is>
      </c>
      <c r="E1028" t="inlineStr">
        <is>
          <t>KRISTIANSTAD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45787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10044-2025</t>
        </is>
      </c>
      <c r="B1030" s="1" t="n">
        <v>45719</v>
      </c>
      <c r="C1030" s="1" t="n">
        <v>45787</v>
      </c>
      <c r="D1030" t="inlineStr">
        <is>
          <t>SKÅNE LÄN</t>
        </is>
      </c>
      <c r="E1030" t="inlineStr">
        <is>
          <t>KRISTIANSTAD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9972-2025</t>
        </is>
      </c>
      <c r="B1031" s="1" t="n">
        <v>45719</v>
      </c>
      <c r="C1031" s="1" t="n">
        <v>45787</v>
      </c>
      <c r="D1031" t="inlineStr">
        <is>
          <t>SKÅNE LÄN</t>
        </is>
      </c>
      <c r="E1031" t="inlineStr">
        <is>
          <t>KRISTIANSTAD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45787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45787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45787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45787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45787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45787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10963-2025</t>
        </is>
      </c>
      <c r="B1038" s="1" t="n">
        <v>45723</v>
      </c>
      <c r="C1038" s="1" t="n">
        <v>45787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45787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11105-2025</t>
        </is>
      </c>
      <c r="B1040" s="1" t="n">
        <v>45723</v>
      </c>
      <c r="C1040" s="1" t="n">
        <v>45787</v>
      </c>
      <c r="D1040" t="inlineStr">
        <is>
          <t>SKÅNE LÄN</t>
        </is>
      </c>
      <c r="E1040" t="inlineStr">
        <is>
          <t>KRISTIANSTAD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45787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45787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11642-2025</t>
        </is>
      </c>
      <c r="B1043" s="1" t="n">
        <v>45727</v>
      </c>
      <c r="C1043" s="1" t="n">
        <v>45787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45787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45787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45787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45787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45787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45787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45787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45787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13953-2025</t>
        </is>
      </c>
      <c r="B1052" s="1" t="n">
        <v>45737</v>
      </c>
      <c r="C1052" s="1" t="n">
        <v>45787</v>
      </c>
      <c r="D1052" t="inlineStr">
        <is>
          <t>SKÅNE LÄN</t>
        </is>
      </c>
      <c r="E1052" t="inlineStr">
        <is>
          <t>KRISTIANSTAD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13875-2025</t>
        </is>
      </c>
      <c r="B1053" s="1" t="n">
        <v>45737</v>
      </c>
      <c r="C1053" s="1" t="n">
        <v>45787</v>
      </c>
      <c r="D1053" t="inlineStr">
        <is>
          <t>SKÅNE LÄN</t>
        </is>
      </c>
      <c r="E1053" t="inlineStr">
        <is>
          <t>KRISTIANSTAD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13928-2025</t>
        </is>
      </c>
      <c r="B1054" s="1" t="n">
        <v>45737</v>
      </c>
      <c r="C1054" s="1" t="n">
        <v>45787</v>
      </c>
      <c r="D1054" t="inlineStr">
        <is>
          <t>SKÅNE LÄN</t>
        </is>
      </c>
      <c r="E1054" t="inlineStr">
        <is>
          <t>KRISTIANSTAD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13940-2025</t>
        </is>
      </c>
      <c r="B1055" s="1" t="n">
        <v>45737</v>
      </c>
      <c r="C1055" s="1" t="n">
        <v>45787</v>
      </c>
      <c r="D1055" t="inlineStr">
        <is>
          <t>SKÅNE LÄN</t>
        </is>
      </c>
      <c r="E1055" t="inlineStr">
        <is>
          <t>KRISTIANSTAD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13954-2025</t>
        </is>
      </c>
      <c r="B1056" s="1" t="n">
        <v>45737</v>
      </c>
      <c r="C1056" s="1" t="n">
        <v>45787</v>
      </c>
      <c r="D1056" t="inlineStr">
        <is>
          <t>SKÅNE LÄN</t>
        </is>
      </c>
      <c r="E1056" t="inlineStr">
        <is>
          <t>KRISTIANSTAD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13891-2025</t>
        </is>
      </c>
      <c r="B1057" s="1" t="n">
        <v>45737</v>
      </c>
      <c r="C1057" s="1" t="n">
        <v>45787</v>
      </c>
      <c r="D1057" t="inlineStr">
        <is>
          <t>SKÅNE LÄN</t>
        </is>
      </c>
      <c r="E1057" t="inlineStr">
        <is>
          <t>KRISTIANSTAD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13975-2025</t>
        </is>
      </c>
      <c r="B1058" s="1" t="n">
        <v>45738</v>
      </c>
      <c r="C1058" s="1" t="n">
        <v>45787</v>
      </c>
      <c r="D1058" t="inlineStr">
        <is>
          <t>SKÅNE LÄN</t>
        </is>
      </c>
      <c r="E1058" t="inlineStr">
        <is>
          <t>KRISTIANSTAD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13976-2025</t>
        </is>
      </c>
      <c r="B1059" s="1" t="n">
        <v>45738</v>
      </c>
      <c r="C1059" s="1" t="n">
        <v>45787</v>
      </c>
      <c r="D1059" t="inlineStr">
        <is>
          <t>SKÅNE LÄN</t>
        </is>
      </c>
      <c r="E1059" t="inlineStr">
        <is>
          <t>KRISTIANSTAD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13977-2025</t>
        </is>
      </c>
      <c r="B1060" s="1" t="n">
        <v>45738</v>
      </c>
      <c r="C1060" s="1" t="n">
        <v>45787</v>
      </c>
      <c r="D1060" t="inlineStr">
        <is>
          <t>SKÅNE LÄN</t>
        </is>
      </c>
      <c r="E1060" t="inlineStr">
        <is>
          <t>KRISTIANSTAD</t>
        </is>
      </c>
      <c r="G1060" t="n">
        <v>8.9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13972-2025</t>
        </is>
      </c>
      <c r="B1061" s="1" t="n">
        <v>45738</v>
      </c>
      <c r="C1061" s="1" t="n">
        <v>45787</v>
      </c>
      <c r="D1061" t="inlineStr">
        <is>
          <t>SKÅNE LÄN</t>
        </is>
      </c>
      <c r="E1061" t="inlineStr">
        <is>
          <t>KRISTIANSTAD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13974-2025</t>
        </is>
      </c>
      <c r="B1062" s="1" t="n">
        <v>45738</v>
      </c>
      <c r="C1062" s="1" t="n">
        <v>45787</v>
      </c>
      <c r="D1062" t="inlineStr">
        <is>
          <t>SKÅNE LÄN</t>
        </is>
      </c>
      <c r="E1062" t="inlineStr">
        <is>
          <t>KRISTIANSTAD</t>
        </is>
      </c>
      <c r="G1062" t="n">
        <v>11.3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15259-2025</t>
        </is>
      </c>
      <c r="B1063" s="1" t="n">
        <v>45744</v>
      </c>
      <c r="C1063" s="1" t="n">
        <v>45787</v>
      </c>
      <c r="D1063" t="inlineStr">
        <is>
          <t>SKÅNE LÄN</t>
        </is>
      </c>
      <c r="E1063" t="inlineStr">
        <is>
          <t>KRISTIANSTAD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15283-2025</t>
        </is>
      </c>
      <c r="B1064" s="1" t="n">
        <v>45744</v>
      </c>
      <c r="C1064" s="1" t="n">
        <v>45787</v>
      </c>
      <c r="D1064" t="inlineStr">
        <is>
          <t>SKÅNE LÄN</t>
        </is>
      </c>
      <c r="E1064" t="inlineStr">
        <is>
          <t>KRISTIANSTAD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15712-2025</t>
        </is>
      </c>
      <c r="B1065" s="1" t="n">
        <v>45748</v>
      </c>
      <c r="C1065" s="1" t="n">
        <v>45787</v>
      </c>
      <c r="D1065" t="inlineStr">
        <is>
          <t>SKÅNE LÄN</t>
        </is>
      </c>
      <c r="E1065" t="inlineStr">
        <is>
          <t>KRISTIANSTAD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15706-2025</t>
        </is>
      </c>
      <c r="B1066" s="1" t="n">
        <v>45748</v>
      </c>
      <c r="C1066" s="1" t="n">
        <v>45787</v>
      </c>
      <c r="D1066" t="inlineStr">
        <is>
          <t>SKÅNE LÄN</t>
        </is>
      </c>
      <c r="E1066" t="inlineStr">
        <is>
          <t>KRISTIANSTAD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15828-2025</t>
        </is>
      </c>
      <c r="B1067" s="1" t="n">
        <v>45748</v>
      </c>
      <c r="C1067" s="1" t="n">
        <v>45787</v>
      </c>
      <c r="D1067" t="inlineStr">
        <is>
          <t>SKÅNE LÄN</t>
        </is>
      </c>
      <c r="E1067" t="inlineStr">
        <is>
          <t>KRISTIANSTAD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15890-2025</t>
        </is>
      </c>
      <c r="B1068" s="1" t="n">
        <v>45749</v>
      </c>
      <c r="C1068" s="1" t="n">
        <v>45787</v>
      </c>
      <c r="D1068" t="inlineStr">
        <is>
          <t>SKÅNE LÄN</t>
        </is>
      </c>
      <c r="E1068" t="inlineStr">
        <is>
          <t>KRISTIANSTAD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15887-2025</t>
        </is>
      </c>
      <c r="B1069" s="1" t="n">
        <v>45749</v>
      </c>
      <c r="C1069" s="1" t="n">
        <v>45787</v>
      </c>
      <c r="D1069" t="inlineStr">
        <is>
          <t>SKÅNE LÄN</t>
        </is>
      </c>
      <c r="E1069" t="inlineStr">
        <is>
          <t>KRISTIANSTAD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16549-2025</t>
        </is>
      </c>
      <c r="B1070" s="1" t="n">
        <v>45751</v>
      </c>
      <c r="C1070" s="1" t="n">
        <v>45787</v>
      </c>
      <c r="D1070" t="inlineStr">
        <is>
          <t>SKÅNE LÄN</t>
        </is>
      </c>
      <c r="E1070" t="inlineStr">
        <is>
          <t>KRISTIANSTAD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16783-2025</t>
        </is>
      </c>
      <c r="B1071" s="1" t="n">
        <v>45754</v>
      </c>
      <c r="C1071" s="1" t="n">
        <v>45787</v>
      </c>
      <c r="D1071" t="inlineStr">
        <is>
          <t>SKÅNE LÄN</t>
        </is>
      </c>
      <c r="E1071" t="inlineStr">
        <is>
          <t>KRISTIANSTAD</t>
        </is>
      </c>
      <c r="G1071" t="n">
        <v>20.2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17023-2025</t>
        </is>
      </c>
      <c r="B1072" s="1" t="n">
        <v>45755</v>
      </c>
      <c r="C1072" s="1" t="n">
        <v>45787</v>
      </c>
      <c r="D1072" t="inlineStr">
        <is>
          <t>SKÅNE LÄN</t>
        </is>
      </c>
      <c r="E1072" t="inlineStr">
        <is>
          <t>KRISTIANSTAD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17025-2025</t>
        </is>
      </c>
      <c r="B1073" s="1" t="n">
        <v>45755</v>
      </c>
      <c r="C1073" s="1" t="n">
        <v>45787</v>
      </c>
      <c r="D1073" t="inlineStr">
        <is>
          <t>SKÅNE LÄN</t>
        </is>
      </c>
      <c r="E1073" t="inlineStr">
        <is>
          <t>KRISTIANSTAD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17024-2025</t>
        </is>
      </c>
      <c r="B1074" s="1" t="n">
        <v>45755</v>
      </c>
      <c r="C1074" s="1" t="n">
        <v>45787</v>
      </c>
      <c r="D1074" t="inlineStr">
        <is>
          <t>SKÅNE LÄN</t>
        </is>
      </c>
      <c r="E1074" t="inlineStr">
        <is>
          <t>KRISTIANSTAD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17026-2025</t>
        </is>
      </c>
      <c r="B1075" s="1" t="n">
        <v>45755</v>
      </c>
      <c r="C1075" s="1" t="n">
        <v>45787</v>
      </c>
      <c r="D1075" t="inlineStr">
        <is>
          <t>SKÅNE LÄN</t>
        </is>
      </c>
      <c r="E1075" t="inlineStr">
        <is>
          <t>KRISTIANSTAD</t>
        </is>
      </c>
      <c r="G1075" t="n">
        <v>11.9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17753-2025</t>
        </is>
      </c>
      <c r="B1076" s="1" t="n">
        <v>45758</v>
      </c>
      <c r="C1076" s="1" t="n">
        <v>45787</v>
      </c>
      <c r="D1076" t="inlineStr">
        <is>
          <t>SKÅNE LÄN</t>
        </is>
      </c>
      <c r="E1076" t="inlineStr">
        <is>
          <t>KRISTIANSTAD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18035-2025</t>
        </is>
      </c>
      <c r="B1077" s="1" t="n">
        <v>45761</v>
      </c>
      <c r="C1077" s="1" t="n">
        <v>45787</v>
      </c>
      <c r="D1077" t="inlineStr">
        <is>
          <t>SKÅNE LÄN</t>
        </is>
      </c>
      <c r="E1077" t="inlineStr">
        <is>
          <t>KRISTIANSTAD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18015-2025</t>
        </is>
      </c>
      <c r="B1078" s="1" t="n">
        <v>45761</v>
      </c>
      <c r="C1078" s="1" t="n">
        <v>45787</v>
      </c>
      <c r="D1078" t="inlineStr">
        <is>
          <t>SKÅNE LÄN</t>
        </is>
      </c>
      <c r="E1078" t="inlineStr">
        <is>
          <t>KRISTIANSTAD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18476-2025</t>
        </is>
      </c>
      <c r="B1079" s="1" t="n">
        <v>45762</v>
      </c>
      <c r="C1079" s="1" t="n">
        <v>45787</v>
      </c>
      <c r="D1079" t="inlineStr">
        <is>
          <t>SKÅNE LÄN</t>
        </is>
      </c>
      <c r="E1079" t="inlineStr">
        <is>
          <t>KRISTIANSTAD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18744-2025</t>
        </is>
      </c>
      <c r="B1080" s="1" t="n">
        <v>45763</v>
      </c>
      <c r="C1080" s="1" t="n">
        <v>45787</v>
      </c>
      <c r="D1080" t="inlineStr">
        <is>
          <t>SKÅNE LÄN</t>
        </is>
      </c>
      <c r="E1080" t="inlineStr">
        <is>
          <t>KRISTIANSTAD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18743-2025</t>
        </is>
      </c>
      <c r="B1081" s="1" t="n">
        <v>45763</v>
      </c>
      <c r="C1081" s="1" t="n">
        <v>45787</v>
      </c>
      <c r="D1081" t="inlineStr">
        <is>
          <t>SKÅNE LÄN</t>
        </is>
      </c>
      <c r="E1081" t="inlineStr">
        <is>
          <t>KRISTIANSTAD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20311-2025</t>
        </is>
      </c>
      <c r="B1082" s="1" t="n">
        <v>45775</v>
      </c>
      <c r="C1082" s="1" t="n">
        <v>45787</v>
      </c>
      <c r="D1082" t="inlineStr">
        <is>
          <t>SKÅNE LÄN</t>
        </is>
      </c>
      <c r="E1082" t="inlineStr">
        <is>
          <t>KRISTIANSTAD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20714-2025</t>
        </is>
      </c>
      <c r="B1083" s="1" t="n">
        <v>45776</v>
      </c>
      <c r="C1083" s="1" t="n">
        <v>45787</v>
      </c>
      <c r="D1083" t="inlineStr">
        <is>
          <t>SKÅNE LÄN</t>
        </is>
      </c>
      <c r="E1083" t="inlineStr">
        <is>
          <t>KRISTIANSTAD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>
      <c r="A1084" t="inlineStr">
        <is>
          <t>A 20891-2025</t>
        </is>
      </c>
      <c r="B1084" s="1" t="n">
        <v>45777</v>
      </c>
      <c r="C1084" s="1" t="n">
        <v>45787</v>
      </c>
      <c r="D1084" t="inlineStr">
        <is>
          <t>SKÅNE LÄN</t>
        </is>
      </c>
      <c r="E1084" t="inlineStr">
        <is>
          <t>KRISTIANSTAD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2025-05-10T17:21:59Z</dcterms:created>
  <dcterms:modified xmlns:dcterms="http://purl.org/dc/terms/" xmlns:xsi="http://www.w3.org/2001/XMLSchema-instance" xsi:type="dcterms:W3CDTF">2025-05-10T17:22:00Z</dcterms:modified>
</cp:coreProperties>
</file>