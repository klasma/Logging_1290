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45743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45743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45743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45743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45743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45743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45743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45743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45743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45743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45743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45743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45743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45743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45743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HYPERLINK("https://klasma.github.io/Logging_1290/artfynd/A 12799-2025 artfynd.xlsx", "A 12799-2025")</f>
        <v/>
      </c>
      <c r="T16">
        <f>HYPERLINK("https://klasma.github.io/Logging_1290/kartor/A 12799-2025 karta.png", "A 12799-2025")</f>
        <v/>
      </c>
      <c r="V16">
        <f>HYPERLINK("https://klasma.github.io/Logging_1290/klagomål/A 12799-2025 FSC-klagomål.docx", "A 12799-2025")</f>
        <v/>
      </c>
      <c r="W16">
        <f>HYPERLINK("https://klasma.github.io/Logging_1290/klagomålsmail/A 12799-2025 FSC-klagomål mail.docx", "A 12799-2025")</f>
        <v/>
      </c>
      <c r="X16">
        <f>HYPERLINK("https://klasma.github.io/Logging_1290/tillsyn/A 12799-2025 tillsynsbegäran.docx", "A 12799-2025")</f>
        <v/>
      </c>
      <c r="Y16">
        <f>HYPERLINK("https://klasma.github.io/Logging_1290/tillsynsmail/A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45743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45743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45743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45743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45743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45743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45743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45743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45743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45743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45743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45743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45743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45743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45743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45743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45743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45743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45743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45743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45743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45743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45743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45743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45743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45743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45743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45743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45743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45743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45743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45743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45743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45743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45743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45743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45743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45743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45743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45743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45743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45743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45743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45743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45743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45743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45743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45743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45743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45743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45743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45743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45743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45743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45743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45743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45743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45743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HYPERLINK("https://klasma.github.io/Logging_1290/artfynd/A 11720-2025 artfynd.xlsx", "A 11720-2025")</f>
        <v/>
      </c>
      <c r="T74">
        <f>HYPERLINK("https://klasma.github.io/Logging_1290/kartor/A 11720-2025 karta.png", "A 11720-2025")</f>
        <v/>
      </c>
      <c r="V74">
        <f>HYPERLINK("https://klasma.github.io/Logging_1290/klagomål/A 11720-2025 FSC-klagomål.docx", "A 11720-2025")</f>
        <v/>
      </c>
      <c r="W74">
        <f>HYPERLINK("https://klasma.github.io/Logging_1290/klagomålsmail/A 11720-2025 FSC-klagomål mail.docx", "A 11720-2025")</f>
        <v/>
      </c>
      <c r="X74">
        <f>HYPERLINK("https://klasma.github.io/Logging_1290/tillsyn/A 11720-2025 tillsynsbegäran.docx", "A 11720-2025")</f>
        <v/>
      </c>
      <c r="Y74">
        <f>HYPERLINK("https://klasma.github.io/Logging_1290/tillsynsmail/A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45743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45743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45743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45743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45743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45743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45743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45743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45743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45743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45743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45743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45743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45743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45743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45743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45743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45743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45743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45743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45743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45743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45743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45743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45743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45743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45743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45743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45743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45743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45743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45743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45743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45743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45743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45743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45743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45743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45743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45743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45743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45743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45743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45743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45743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45743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45743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45743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45743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45743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45743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45743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45743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45743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45743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45743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45743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45743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45743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45743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45743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45743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45743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45743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45743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45743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45743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45743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45743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45743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45743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45743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45743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45743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45743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45743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45743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45743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45743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45743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45743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45743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45743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45743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45743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45743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45743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45743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45743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45743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45743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45743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45743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45743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45743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45743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45743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45743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45743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45743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45743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45743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45743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45743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45743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45743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45743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45743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45743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45743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45743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45743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45743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45743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45743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45743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45743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45743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45743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45743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45743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45743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45743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45743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45743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45743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45743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45743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45743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45743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45743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45743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45743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45743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45743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45743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45743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45743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45743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45743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45743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45743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45743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45743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45743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45743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45743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45743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45743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45743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45743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45743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45743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45743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45743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45743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45743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45743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45743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45743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45743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45743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45743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45743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45743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45743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45743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45743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45743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45743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45743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45743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45743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45743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45743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45743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45743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45743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45743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45743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45743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45743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45743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45743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45743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45743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45743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45743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45743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45743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45743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45743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45743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45743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45743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45743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45743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45743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45743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45743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45743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45743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45743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45743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45743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45743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45743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45743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45743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45743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45743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45743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45743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45743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45743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45743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45743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45743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45743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45743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45743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45743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45743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45743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45743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45743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45743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45743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45743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45743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45743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45743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45743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45743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45743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45743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45743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45743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45743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45743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45743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45743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45743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45743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45743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45743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45743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45743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45743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45743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45743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45743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45743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45743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45743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45743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45743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45743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45743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45743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45743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45743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45743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45743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45743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45743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45743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45743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45743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45743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45743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45743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45743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45743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45743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45743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45743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45743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45743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45743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45743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45743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45743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45743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45743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45743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45743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45743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45743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45743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45743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45743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45743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45743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45743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45743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45743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45743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45743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45743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45743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45743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45743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45743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45743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45743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45743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45743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45743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45743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45743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45743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45743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45743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45743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45743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45743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45743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45743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45743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45743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45743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45743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45743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45743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45743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45743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45743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45743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45743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45743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45743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45743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45743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45743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45743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45743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45743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45743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45743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45743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45743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45743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45743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45743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45743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45743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45743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45743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45743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45743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45743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45743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45743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45743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45743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45743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45743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45743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45743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45743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45743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45743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45743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45743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45743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45743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45743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45743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45743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45743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45743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45743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45743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45743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45743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45743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45743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45743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45743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45743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45743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45743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45743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45743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45743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45743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45743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45743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45743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45743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45743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45743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45743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45743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45743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45743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45743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45743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45743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45743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45743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45743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45743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45743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45743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45743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45743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45743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45743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45743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45743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45743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45743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45743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45743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45743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45743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45743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45743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45743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45743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45743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45743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45743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45743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45743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45743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45743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45743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45743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45743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45743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45743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45743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45743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45743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45743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45743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45743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45743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45743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45743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45743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45743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45743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45743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45743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45743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45743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45743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45743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45743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45743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45743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45743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45743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45743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45743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45743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45743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45743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45743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45743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45743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45743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45743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45743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45743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45743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45743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45743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45743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45743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45743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45743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45743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45743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45743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45743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45743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45743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45743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45743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45743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45743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45743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45743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45743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45743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45743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45743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45743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45743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45743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45743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45743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45743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45743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45743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45743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45743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45743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45743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45743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45743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45743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45743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45743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45743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45743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45743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45743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45743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45743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45743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45743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45743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45743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45743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45743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45743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45743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45743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45743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45743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45743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45743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45743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45743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45743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45743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45743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45743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45743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45743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45743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45743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45743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45743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45743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45743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45743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45743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45743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45743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45743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45743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45743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45743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45743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45743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45743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45743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45743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45743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45743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45743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45743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45743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45743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45743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45743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45743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45743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45743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45743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45743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45743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45743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45743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45743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45743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45743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45743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45743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45743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45743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45743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45743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45743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45743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45743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45743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45743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45743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45743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45743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45743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45743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45743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45743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45743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45743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45743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45743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45743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45743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45743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45743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45743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45743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45743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45743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45743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45743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45743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45743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45743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45743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45743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45743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45743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45743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45743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45743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45743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45743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45743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45743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45743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45743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45743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45743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45743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45743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45743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45743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45743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45743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45743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45743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45743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45743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45743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45743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45743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45743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45743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45743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45743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45743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45743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45743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45743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45743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45743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45743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45743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45743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45743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45743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45743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45743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45743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45743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45743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45743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45743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45743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45743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45743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45743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45743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45743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45743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45743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45743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45743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45743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45743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45743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45743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45743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45743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45743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45743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45743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45743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45743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45743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45743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45743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45743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45743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45743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45743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45743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45743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45743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45743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45743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45743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45743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45743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45743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45743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45743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45743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45743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45743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45743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45743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45743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45743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45743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45743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45743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45743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45743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45743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45743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45743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45743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45743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45743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45743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45743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45743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45743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45743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45743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45743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45743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45743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45743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45743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45743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45743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45743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45743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45743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45743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45743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45743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45743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45743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45743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45743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45743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45743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45743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45743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45743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45743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45743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45743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45743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45743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45743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45743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45743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45743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45743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45743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45743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45743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45743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45743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45743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45743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45743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45743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45743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45743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45743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45743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45743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45743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45743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45743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45743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45743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45743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45743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45743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45743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45743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45743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45743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45743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45743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45743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45743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45743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45743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45743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45743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45743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45743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45743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45743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45743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45743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45743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45743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45743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45743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45743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45743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45743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45743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45743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45743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45743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45743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45743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45743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45743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45743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45743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45743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45743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45743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45743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45743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45743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45743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45743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45743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45743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45743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45743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45743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45743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45743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45743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45743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45743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45743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45743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45743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45743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45743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45743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45743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45743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45743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45743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45743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45743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45743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45743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45743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45743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45743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45743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45743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45743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45743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45743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45743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45743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45743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45743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45743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45743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45743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45743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45743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45743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45743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45743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45743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45743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45743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45743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45743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45743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45743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45743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45743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45743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45743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45743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45743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45743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45743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45743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45743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45743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45743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45743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45743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45743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45743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45743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45743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45743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45743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45743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45743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45743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45743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45743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45743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45743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45743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45743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45743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45743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45743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45743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45743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45743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45743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45743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45743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45743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45743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45743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45743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45743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45743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45743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45743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45743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45743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45743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45743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45743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45743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45743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45743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45743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45743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45743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45743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45743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45743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45743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45743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45743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45743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45743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45743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45743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45743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45743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45743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45743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45743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45743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45743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45743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45743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45743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45743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9290-2025</t>
        </is>
      </c>
      <c r="B1023" s="1" t="n">
        <v>45714</v>
      </c>
      <c r="C1023" s="1" t="n">
        <v>45743</v>
      </c>
      <c r="D1023" t="inlineStr">
        <is>
          <t>SKÅNE LÄN</t>
        </is>
      </c>
      <c r="E1023" t="inlineStr">
        <is>
          <t>KRISTIANSTAD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45743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45743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9898-2025</t>
        </is>
      </c>
      <c r="B1026" s="1" t="n">
        <v>45716</v>
      </c>
      <c r="C1026" s="1" t="n">
        <v>45743</v>
      </c>
      <c r="D1026" t="inlineStr">
        <is>
          <t>SKÅNE LÄN</t>
        </is>
      </c>
      <c r="E1026" t="inlineStr">
        <is>
          <t>KRISTIANSTAD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45743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9972-2025</t>
        </is>
      </c>
      <c r="B1028" s="1" t="n">
        <v>45719</v>
      </c>
      <c r="C1028" s="1" t="n">
        <v>45743</v>
      </c>
      <c r="D1028" t="inlineStr">
        <is>
          <t>SKÅNE LÄN</t>
        </is>
      </c>
      <c r="E1028" t="inlineStr">
        <is>
          <t>KRISTIANSTAD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10044-2025</t>
        </is>
      </c>
      <c r="B1029" s="1" t="n">
        <v>45719</v>
      </c>
      <c r="C1029" s="1" t="n">
        <v>45743</v>
      </c>
      <c r="D1029" t="inlineStr">
        <is>
          <t>SKÅNE LÄN</t>
        </is>
      </c>
      <c r="E1029" t="inlineStr">
        <is>
          <t>KRISTIANSTAD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10197-2025</t>
        </is>
      </c>
      <c r="B1030" s="1" t="n">
        <v>45719</v>
      </c>
      <c r="C1030" s="1" t="n">
        <v>45743</v>
      </c>
      <c r="D1030" t="inlineStr">
        <is>
          <t>SKÅNE LÄN</t>
        </is>
      </c>
      <c r="E1030" t="inlineStr">
        <is>
          <t>KRISTIANSTAD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10203-2025</t>
        </is>
      </c>
      <c r="B1031" s="1" t="n">
        <v>45719</v>
      </c>
      <c r="C1031" s="1" t="n">
        <v>45743</v>
      </c>
      <c r="D1031" t="inlineStr">
        <is>
          <t>SKÅNE LÄN</t>
        </is>
      </c>
      <c r="E1031" t="inlineStr">
        <is>
          <t>KRISTIANSTAD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10200-2025</t>
        </is>
      </c>
      <c r="B1032" s="1" t="n">
        <v>45719</v>
      </c>
      <c r="C1032" s="1" t="n">
        <v>45743</v>
      </c>
      <c r="D1032" t="inlineStr">
        <is>
          <t>SKÅNE LÄN</t>
        </is>
      </c>
      <c r="E1032" t="inlineStr">
        <is>
          <t>KRISTIANSTAD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10479-2025</t>
        </is>
      </c>
      <c r="B1033" s="1" t="n">
        <v>45721</v>
      </c>
      <c r="C1033" s="1" t="n">
        <v>45743</v>
      </c>
      <c r="D1033" t="inlineStr">
        <is>
          <t>SKÅNE LÄN</t>
        </is>
      </c>
      <c r="E1033" t="inlineStr">
        <is>
          <t>KRISTIANSTAD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45743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45743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10963-2025</t>
        </is>
      </c>
      <c r="B1036" s="1" t="n">
        <v>45723</v>
      </c>
      <c r="C1036" s="1" t="n">
        <v>45743</v>
      </c>
      <c r="D1036" t="inlineStr">
        <is>
          <t>SKÅNE LÄN</t>
        </is>
      </c>
      <c r="E1036" t="inlineStr">
        <is>
          <t>KRISTIANSTAD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10961-2025</t>
        </is>
      </c>
      <c r="B1037" s="1" t="n">
        <v>45723</v>
      </c>
      <c r="C1037" s="1" t="n">
        <v>45743</v>
      </c>
      <c r="D1037" t="inlineStr">
        <is>
          <t>SKÅNE LÄN</t>
        </is>
      </c>
      <c r="E1037" t="inlineStr">
        <is>
          <t>KRISTIANSTAD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45743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11105-2025</t>
        </is>
      </c>
      <c r="B1039" s="1" t="n">
        <v>45723</v>
      </c>
      <c r="C1039" s="1" t="n">
        <v>45743</v>
      </c>
      <c r="D1039" t="inlineStr">
        <is>
          <t>SKÅNE LÄN</t>
        </is>
      </c>
      <c r="E1039" t="inlineStr">
        <is>
          <t>KRISTIANSTAD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11150-2025</t>
        </is>
      </c>
      <c r="B1040" s="1" t="n">
        <v>45723</v>
      </c>
      <c r="C1040" s="1" t="n">
        <v>45743</v>
      </c>
      <c r="D1040" t="inlineStr">
        <is>
          <t>SKÅNE LÄN</t>
        </is>
      </c>
      <c r="E1040" t="inlineStr">
        <is>
          <t>KRISTIANSTAD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11642-2025</t>
        </is>
      </c>
      <c r="B1041" s="1" t="n">
        <v>45727</v>
      </c>
      <c r="C1041" s="1" t="n">
        <v>45743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45743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11693-2025</t>
        </is>
      </c>
      <c r="B1043" s="1" t="n">
        <v>45727</v>
      </c>
      <c r="C1043" s="1" t="n">
        <v>45743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45743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45743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45743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45743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45743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45743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45743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45743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13875-2025</t>
        </is>
      </c>
      <c r="B1052" s="1" t="n">
        <v>45737</v>
      </c>
      <c r="C1052" s="1" t="n">
        <v>45743</v>
      </c>
      <c r="D1052" t="inlineStr">
        <is>
          <t>SKÅNE LÄN</t>
        </is>
      </c>
      <c r="E1052" t="inlineStr">
        <is>
          <t>KRISTIANSTAD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13891-2025</t>
        </is>
      </c>
      <c r="B1053" s="1" t="n">
        <v>45737</v>
      </c>
      <c r="C1053" s="1" t="n">
        <v>45743</v>
      </c>
      <c r="D1053" t="inlineStr">
        <is>
          <t>SKÅNE LÄN</t>
        </is>
      </c>
      <c r="E1053" t="inlineStr">
        <is>
          <t>KRISTIANSTAD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45743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45743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13953-2025</t>
        </is>
      </c>
      <c r="B1056" s="1" t="n">
        <v>45737</v>
      </c>
      <c r="C1056" s="1" t="n">
        <v>45743</v>
      </c>
      <c r="D1056" t="inlineStr">
        <is>
          <t>SKÅNE LÄN</t>
        </is>
      </c>
      <c r="E1056" t="inlineStr">
        <is>
          <t>KRISTIANSTAD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45743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13977-2025</t>
        </is>
      </c>
      <c r="B1058" s="1" t="n">
        <v>45738</v>
      </c>
      <c r="C1058" s="1" t="n">
        <v>45743</v>
      </c>
      <c r="D1058" t="inlineStr">
        <is>
          <t>SKÅNE LÄN</t>
        </is>
      </c>
      <c r="E1058" t="inlineStr">
        <is>
          <t>KRISTIANSTAD</t>
        </is>
      </c>
      <c r="G1058" t="n">
        <v>8.9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45743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13972-2025</t>
        </is>
      </c>
      <c r="B1060" s="1" t="n">
        <v>45738</v>
      </c>
      <c r="C1060" s="1" t="n">
        <v>45743</v>
      </c>
      <c r="D1060" t="inlineStr">
        <is>
          <t>SKÅNE LÄN</t>
        </is>
      </c>
      <c r="E1060" t="inlineStr">
        <is>
          <t>KRISTIANSTAD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13976-2025</t>
        </is>
      </c>
      <c r="B1061" s="1" t="n">
        <v>45738</v>
      </c>
      <c r="C1061" s="1" t="n">
        <v>45743</v>
      </c>
      <c r="D1061" t="inlineStr">
        <is>
          <t>SKÅNE LÄN</t>
        </is>
      </c>
      <c r="E1061" t="inlineStr">
        <is>
          <t>KRISTIANSTAD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13974-2025</t>
        </is>
      </c>
      <c r="B1062" s="1" t="n">
        <v>45738</v>
      </c>
      <c r="C1062" s="1" t="n">
        <v>45743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2025-03-27T18:23:04Z</dcterms:created>
  <dcterms:modified xmlns:dcterms="http://purl.org/dc/terms/" xmlns:xsi="http://www.w3.org/2001/XMLSchema-instance" xsi:type="dcterms:W3CDTF">2025-03-27T18:23:05Z</dcterms:modified>
</cp:coreProperties>
</file>