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45739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45739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45739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45739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45739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45739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45739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45739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45739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45739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45739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45739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45739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45739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45739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HYPERLINK("https://klasma.github.io/Logging_1290/artfynd/A 12799-2025 artfynd.xlsx", "A 12799-2025")</f>
        <v/>
      </c>
      <c r="T16">
        <f>HYPERLINK("https://klasma.github.io/Logging_1290/kartor/A 12799-2025 karta.png", "A 12799-2025")</f>
        <v/>
      </c>
      <c r="V16">
        <f>HYPERLINK("https://klasma.github.io/Logging_1290/klagomål/A 12799-2025 FSC-klagomål.docx", "A 12799-2025")</f>
        <v/>
      </c>
      <c r="W16">
        <f>HYPERLINK("https://klasma.github.io/Logging_1290/klagomålsmail/A 12799-2025 FSC-klagomål mail.docx", "A 12799-2025")</f>
        <v/>
      </c>
      <c r="X16">
        <f>HYPERLINK("https://klasma.github.io/Logging_1290/tillsyn/A 12799-2025 tillsynsbegäran.docx", "A 12799-2025")</f>
        <v/>
      </c>
      <c r="Y16">
        <f>HYPERLINK("https://klasma.github.io/Logging_1290/tillsynsmail/A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45739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45739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45739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45739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45739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45739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45739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45739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45739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45739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45739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45739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45739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45739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45739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45739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45739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45739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45739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45739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45739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45739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45739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45739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45739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45739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45739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45739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45739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45739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45739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45739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45739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45739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45739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45739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45739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45739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45739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45739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45739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45739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45739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45739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45739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45739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45739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45739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45739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45739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45739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45739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45739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45739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45739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45739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45739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45739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45739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45739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45739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45739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45739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45739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45739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45739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45739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45739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45739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45739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45739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45739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45739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45739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45739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45739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45739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45739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45739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45739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45739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45739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45739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45739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45739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45739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45739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45739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45739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45739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45739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45739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45739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45739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45739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45739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45739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45739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45739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45739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45739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45739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45739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45739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45739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45739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45739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45739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45739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45739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45739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45739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45739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45739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45739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45739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45739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45739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45739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45739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45739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45739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45739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45739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45739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45739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45739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45739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45739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45739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45739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45739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45739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45739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45739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45739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45739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45739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45739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45739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45739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45739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45739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45739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45739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45739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45739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45739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45739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45739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45739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45739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45739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45739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45739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45739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45739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45739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45739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45739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45739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45739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45739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45739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45739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45739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45739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45739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45739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45739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45739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45739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45739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45739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45739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45739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45739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45739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45739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45739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45739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45739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45739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45739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45739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45739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45739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45739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45739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45739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45739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45739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45739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45739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45739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45739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45739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45739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45739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45739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45739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45739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45739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45739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45739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45739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45739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45739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45739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45739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45739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45739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45739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45739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45739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45739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45739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45739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45739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45739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45739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45739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45739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45739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45739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45739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45739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45739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45739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45739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45739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45739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45739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45739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45739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45739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45739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45739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45739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45739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45739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45739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45739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45739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45739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45739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45739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45739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45739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45739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45739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45739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45739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45739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45739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45739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45739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45739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45739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45739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45739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45739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45739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45739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45739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45739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45739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45739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45739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45739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45739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45739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45739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45739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45739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45739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45739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45739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45739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45739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45739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45739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45739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45739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45739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45739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45739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45739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45739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45739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45739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45739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45739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45739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45739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45739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45739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45739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45739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45739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45739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45739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45739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45739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45739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45739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45739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45739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45739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45739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45739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45739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45739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45739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45739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45739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45739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45739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45739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45739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45739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45739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45739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45739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45739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45739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45739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45739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45739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45739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45739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45739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45739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45739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45739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45739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45739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45739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45739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45739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45739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45739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45739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45739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45739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45739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45739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45739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45739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45739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45739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45739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45739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45739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45739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45739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45739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45739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45739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45739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45739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45739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45739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45739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45739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45739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45739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45739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45739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45739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45739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45739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45739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45739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45739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45739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45739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45739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45739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45739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45739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45739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45739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45739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45739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45739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45739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45739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45739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45739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45739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45739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45739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45739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45739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45739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45739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45739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45739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45739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45739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45739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45739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45739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45739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45739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45739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45739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45739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45739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45739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45739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45739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45739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45739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45739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45739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45739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45739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45739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45739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45739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45739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45739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45739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45739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45739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45739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45739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45739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45739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45739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45739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45739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45739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45739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45739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45739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45739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45739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45739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45739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45739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45739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45739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45739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45739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45739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45739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45739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45739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45739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45739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45739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45739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45739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45739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45739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45739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45739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45739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45739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45739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45739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45739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45739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45739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45739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45739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45739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45739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45739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45739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45739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45739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45739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45739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45739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45739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45739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45739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45739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45739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45739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45739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45739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45739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45739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45739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45739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45739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45739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45739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45739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45739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45739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45739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45739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45739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45739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45739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45739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45739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45739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45739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45739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45739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45739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45739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45739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45739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45739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45739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45739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45739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45739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45739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45739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45739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45739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45739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45739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45739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45739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45739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45739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45739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45739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45739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45739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45739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45739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45739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45739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45739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45739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45739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45739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45739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45739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45739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45739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45739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45739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45739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45739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45739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45739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45739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45739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45739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45739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45739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45739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45739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45739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45739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45739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45739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45739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45739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45739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45739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45739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45739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45739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45739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45739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45739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45739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45739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45739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45739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45739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45739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45739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45739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45739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45739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45739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45739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45739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45739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45739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45739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45739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45739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45739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45739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45739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45739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45739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45739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45739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45739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45739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45739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45739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45739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45739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45739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45739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45739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45739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45739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45739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45739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45739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45739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45739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45739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45739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45739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45739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45739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45739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45739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45739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45739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45739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45739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45739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45739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45739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45739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45739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45739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45739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45739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45739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45739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45739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45739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45739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45739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45739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45739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45739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45739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45739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45739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45739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45739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45739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45739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45739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45739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45739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45739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45739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45739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45739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45739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45739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45739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45739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45739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45739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45739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45739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45739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45739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45739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45739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45739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45739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45739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45739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45739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45739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45739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45739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45739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45739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45739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45739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45739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45739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45739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45739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45739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45739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45739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45739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45739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45739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45739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45739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45739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45739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45739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45739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45739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45739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45739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45739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45739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45739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45739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45739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45739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45739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45739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45739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45739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45739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45739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45739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45739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45739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45739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45739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45739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45739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45739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45739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45739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45739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45739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45739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45739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45739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45739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45739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45739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45739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45739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45739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45739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45739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45739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45739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45739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45739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45739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45739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45739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45739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45739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45739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45739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45739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45739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45739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45739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45739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45739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45739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45739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45739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45739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45739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45739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45739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45739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45739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45739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45739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45739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45739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45739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45739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45739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45739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45739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45739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45739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45739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45739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45739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45739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45739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45739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45739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45739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45739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45739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45739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45739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45739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45739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45739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45739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45739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45739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45739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45739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45739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45739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45739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45739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45739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45739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45739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45739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45739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45739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45739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45739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45739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45739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45739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45739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45739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45739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45739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45739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45739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45739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45739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45739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45739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45739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45739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45739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45739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45739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45739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45739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45739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45739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45739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45739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45739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45739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45739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45739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45739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45739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45739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45739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45739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45739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45739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45739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45739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45739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45739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45739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45739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45739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45739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45739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45739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45739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45739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45739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45739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45739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45739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45739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45739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45739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45739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45739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45739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45739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45739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45739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45739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45739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45739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45739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45739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45739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45739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45739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45739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45739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45739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45739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45739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45739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45739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45739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45739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45739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45739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45739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45739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45739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45739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45739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45739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45739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45739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45739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45739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45739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45739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45739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45739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45739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45739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45739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45739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45739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45739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45739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45739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45739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45739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45739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45739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45739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45739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45739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45739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45739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45739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45739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45739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45739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45739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45739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45739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45739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45739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45739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45739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45739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45739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45739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45739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45739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45739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45739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45739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45739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45739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45739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45739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45739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45739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45739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45739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45739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45739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45739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45739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45739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45739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45739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45739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45739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45739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45739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45739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45739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45739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45739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45739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45739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45739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45739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45739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45739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45739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45739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45739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45739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45739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45739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45739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45739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45739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45739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45739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45739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45739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45739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45739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45739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45739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45739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45739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45739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45739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45739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45739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45739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45739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45739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45739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45739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45739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45739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45739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45739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45739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45739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45739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45739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45739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45739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45739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45739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45739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45739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45739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45739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45739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8704-2025</t>
        </is>
      </c>
      <c r="B1019" s="1" t="n">
        <v>45712</v>
      </c>
      <c r="C1019" s="1" t="n">
        <v>45739</v>
      </c>
      <c r="D1019" t="inlineStr">
        <is>
          <t>SKÅNE LÄN</t>
        </is>
      </c>
      <c r="E1019" t="inlineStr">
        <is>
          <t>KRISTIANSTAD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8804-2025</t>
        </is>
      </c>
      <c r="B1020" s="1" t="n">
        <v>45712</v>
      </c>
      <c r="C1020" s="1" t="n">
        <v>45739</v>
      </c>
      <c r="D1020" t="inlineStr">
        <is>
          <t>SKÅNE LÄN</t>
        </is>
      </c>
      <c r="E1020" t="inlineStr">
        <is>
          <t>KRISTIANSTAD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45739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45739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9290-2025</t>
        </is>
      </c>
      <c r="B1023" s="1" t="n">
        <v>45714</v>
      </c>
      <c r="C1023" s="1" t="n">
        <v>45739</v>
      </c>
      <c r="D1023" t="inlineStr">
        <is>
          <t>SKÅNE LÄN</t>
        </is>
      </c>
      <c r="E1023" t="inlineStr">
        <is>
          <t>KRISTIANSTAD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45739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45739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9898-2025</t>
        </is>
      </c>
      <c r="B1026" s="1" t="n">
        <v>45716</v>
      </c>
      <c r="C1026" s="1" t="n">
        <v>45739</v>
      </c>
      <c r="D1026" t="inlineStr">
        <is>
          <t>SKÅNE LÄN</t>
        </is>
      </c>
      <c r="E1026" t="inlineStr">
        <is>
          <t>KRISTIANSTAD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45739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9972-2025</t>
        </is>
      </c>
      <c r="B1028" s="1" t="n">
        <v>45719</v>
      </c>
      <c r="C1028" s="1" t="n">
        <v>45739</v>
      </c>
      <c r="D1028" t="inlineStr">
        <is>
          <t>SKÅNE LÄN</t>
        </is>
      </c>
      <c r="E1028" t="inlineStr">
        <is>
          <t>KRISTIANSTAD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10044-2025</t>
        </is>
      </c>
      <c r="B1029" s="1" t="n">
        <v>45719</v>
      </c>
      <c r="C1029" s="1" t="n">
        <v>45739</v>
      </c>
      <c r="D1029" t="inlineStr">
        <is>
          <t>SKÅNE LÄN</t>
        </is>
      </c>
      <c r="E1029" t="inlineStr">
        <is>
          <t>KRISTIANSTAD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45739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45739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45739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10479-2025</t>
        </is>
      </c>
      <c r="B1033" s="1" t="n">
        <v>45721</v>
      </c>
      <c r="C1033" s="1" t="n">
        <v>45739</v>
      </c>
      <c r="D1033" t="inlineStr">
        <is>
          <t>SKÅNE LÄN</t>
        </is>
      </c>
      <c r="E1033" t="inlineStr">
        <is>
          <t>KRISTIANSTAD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45739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45739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10963-2025</t>
        </is>
      </c>
      <c r="B1036" s="1" t="n">
        <v>45723</v>
      </c>
      <c r="C1036" s="1" t="n">
        <v>45739</v>
      </c>
      <c r="D1036" t="inlineStr">
        <is>
          <t>SKÅNE LÄN</t>
        </is>
      </c>
      <c r="E1036" t="inlineStr">
        <is>
          <t>KRISTIANSTAD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45739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10961-2025</t>
        </is>
      </c>
      <c r="B1038" s="1" t="n">
        <v>45723</v>
      </c>
      <c r="C1038" s="1" t="n">
        <v>45739</v>
      </c>
      <c r="D1038" t="inlineStr">
        <is>
          <t>SKÅNE LÄN</t>
        </is>
      </c>
      <c r="E1038" t="inlineStr">
        <is>
          <t>KRISTIANSTAD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11105-2025</t>
        </is>
      </c>
      <c r="B1039" s="1" t="n">
        <v>45723</v>
      </c>
      <c r="C1039" s="1" t="n">
        <v>45739</v>
      </c>
      <c r="D1039" t="inlineStr">
        <is>
          <t>SKÅNE LÄN</t>
        </is>
      </c>
      <c r="E1039" t="inlineStr">
        <is>
          <t>KRISTIANSTAD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11150-2025</t>
        </is>
      </c>
      <c r="B1040" s="1" t="n">
        <v>45723</v>
      </c>
      <c r="C1040" s="1" t="n">
        <v>45739</v>
      </c>
      <c r="D1040" t="inlineStr">
        <is>
          <t>SKÅNE LÄN</t>
        </is>
      </c>
      <c r="E1040" t="inlineStr">
        <is>
          <t>KRISTIANSTAD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45739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11642-2025</t>
        </is>
      </c>
      <c r="B1042" s="1" t="n">
        <v>45727</v>
      </c>
      <c r="C1042" s="1" t="n">
        <v>45739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45739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45739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12315-2025</t>
        </is>
      </c>
      <c r="B1045" s="1" t="n">
        <v>45729</v>
      </c>
      <c r="C1045" s="1" t="n">
        <v>45739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45739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45739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45739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45739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45739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13875-2025</t>
        </is>
      </c>
      <c r="B1051" s="1" t="n">
        <v>45737</v>
      </c>
      <c r="C1051" s="1" t="n">
        <v>45739</v>
      </c>
      <c r="D1051" t="inlineStr">
        <is>
          <t>SKÅNE LÄN</t>
        </is>
      </c>
      <c r="E1051" t="inlineStr">
        <is>
          <t>KRISTIANSTAD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13891-2025</t>
        </is>
      </c>
      <c r="B1052" s="1" t="n">
        <v>45737</v>
      </c>
      <c r="C1052" s="1" t="n">
        <v>45739</v>
      </c>
      <c r="D1052" t="inlineStr">
        <is>
          <t>SKÅNE LÄN</t>
        </is>
      </c>
      <c r="E1052" t="inlineStr">
        <is>
          <t>KRISTIANSTAD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13928-2025</t>
        </is>
      </c>
      <c r="B1053" s="1" t="n">
        <v>45737</v>
      </c>
      <c r="C1053" s="1" t="n">
        <v>45739</v>
      </c>
      <c r="D1053" t="inlineStr">
        <is>
          <t>SKÅNE LÄN</t>
        </is>
      </c>
      <c r="E1053" t="inlineStr">
        <is>
          <t>KRISTIANSTAD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13940-2025</t>
        </is>
      </c>
      <c r="B1054" s="1" t="n">
        <v>45737</v>
      </c>
      <c r="C1054" s="1" t="n">
        <v>45739</v>
      </c>
      <c r="D1054" t="inlineStr">
        <is>
          <t>SKÅNE LÄN</t>
        </is>
      </c>
      <c r="E1054" t="inlineStr">
        <is>
          <t>KRISTIANSTAD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13953-2025</t>
        </is>
      </c>
      <c r="B1055" s="1" t="n">
        <v>45737</v>
      </c>
      <c r="C1055" s="1" t="n">
        <v>45739</v>
      </c>
      <c r="D1055" t="inlineStr">
        <is>
          <t>SKÅNE LÄN</t>
        </is>
      </c>
      <c r="E1055" t="inlineStr">
        <is>
          <t>KRISTIANSTAD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45739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13952-2025</t>
        </is>
      </c>
      <c r="B1057" s="1" t="n">
        <v>45737</v>
      </c>
      <c r="C1057" s="1" t="n">
        <v>45739</v>
      </c>
      <c r="D1057" t="inlineStr">
        <is>
          <t>SKÅNE LÄN</t>
        </is>
      </c>
      <c r="E1057" t="inlineStr">
        <is>
          <t>KRISTIANSTAD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13974-2025</t>
        </is>
      </c>
      <c r="B1058" s="1" t="n">
        <v>45738</v>
      </c>
      <c r="C1058" s="1" t="n">
        <v>45739</v>
      </c>
      <c r="D1058" t="inlineStr">
        <is>
          <t>SKÅNE LÄN</t>
        </is>
      </c>
      <c r="E1058" t="inlineStr">
        <is>
          <t>KRISTIANSTAD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13972-2025</t>
        </is>
      </c>
      <c r="B1059" s="1" t="n">
        <v>45738</v>
      </c>
      <c r="C1059" s="1" t="n">
        <v>45739</v>
      </c>
      <c r="D1059" t="inlineStr">
        <is>
          <t>SKÅNE LÄN</t>
        </is>
      </c>
      <c r="E1059" t="inlineStr">
        <is>
          <t>KRISTIANSTAD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45739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13975-2025</t>
        </is>
      </c>
      <c r="B1061" s="1" t="n">
        <v>45738</v>
      </c>
      <c r="C1061" s="1" t="n">
        <v>45739</v>
      </c>
      <c r="D1061" t="inlineStr">
        <is>
          <t>SKÅNE LÄN</t>
        </is>
      </c>
      <c r="E1061" t="inlineStr">
        <is>
          <t>KRISTIANSTAD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13977-2025</t>
        </is>
      </c>
      <c r="B1062" s="1" t="n">
        <v>45738</v>
      </c>
      <c r="C1062" s="1" t="n">
        <v>45739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2025-03-23T17:21:21Z</dcterms:created>
  <dcterms:modified xmlns:dcterms="http://purl.org/dc/terms/" xmlns:xsi="http://www.w3.org/2001/XMLSchema-instance" xsi:type="dcterms:W3CDTF">2025-03-23T17:21:22Z</dcterms:modified>
</cp:coreProperties>
</file>