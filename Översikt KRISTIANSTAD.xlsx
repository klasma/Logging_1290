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46291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46291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46291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46291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46291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46291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46291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46291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46291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46291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46291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46291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46291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46291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46291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46291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46291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46291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46291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46291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46291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46291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46291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46291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46291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46291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46291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46291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46291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46291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46291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46291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46291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46291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46291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46291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46291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46291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46291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46291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46291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46291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46291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46291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46291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46291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46291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46291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46291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60333-2022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46291</v>
      </c>
      <c r="F61" t="inlineStr">
        <is>
          <t>SKÅNE LÄN</t>
        </is>
      </c>
      <c r="G61" t="inlineStr">
        <is>
          <t>KRISTIANSTAD</t>
        </is>
      </c>
      <c r="I61" t="n">
        <v>4.1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1</v>
      </c>
      <c r="V61" s="2" t="inlineStr">
        <is>
          <t>Sandödla
Åkersyska</t>
        </is>
      </c>
      <c r="W61">
        <f>HYPERLINK("https://klasma.github.io/Logging_1290/artfynd/A 60333-2022 artfynd.xlsx", "A 60333-2022")</f>
        <v/>
      </c>
      <c r="X61">
        <f>HYPERLINK("https://klasma.github.io/Logging_1290/kartor/A 60333-2022 karta.png", "A 60333-2022")</f>
        <v/>
      </c>
      <c r="Y61">
        <f>HYPERLINK("https://klasma.github.io/Logging_1290/kartor_geotiff/A 60333-2022 georefererad karta.tif", "A 60333-2022")</f>
        <v/>
      </c>
      <c r="AA61">
        <f>HYPERLINK("https://klasma.github.io/Logging_1290/klagomål/A 60333-2022 FSC-klagomål.docx", "A 60333-2022")</f>
        <v/>
      </c>
      <c r="AB61">
        <f>HYPERLINK("https://klasma.github.io/Logging_1290/klagomålsmail/A 60333-2022 FSC-klagomål mail.docx", "A 60333-2022")</f>
        <v/>
      </c>
      <c r="AC61">
        <f>HYPERLINK("https://klasma.github.io/Logging_1290/tillsyn/A 60333-2022 tillsynsbegäran.docx", "A 60333-2022")</f>
        <v/>
      </c>
      <c r="AD61">
        <f>HYPERLINK("https://klasma.github.io/Logging_1290/tillsynsmail/A 60333-2022 tillsynsbegäran mail.docx", "A 60333-2022")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46291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46291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46291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46291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46291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46291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46291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46291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46291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46291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46291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46291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46291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46291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46291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46291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46291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46291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46291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46291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46291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46291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46291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46291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46291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46291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50702-2025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46291</v>
      </c>
      <c r="F89" t="inlineStr">
        <is>
          <t>SKÅNE LÄN</t>
        </is>
      </c>
      <c r="G89" t="inlineStr">
        <is>
          <t>KRISTIANSTAD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HYPERLINK("https://klasma.github.io/Logging_1290/artfynd/A 50702-2025 artfynd.xlsx", "A 50702-2025")</f>
        <v/>
      </c>
      <c r="X89">
        <f>HYPERLINK("https://klasma.github.io/Logging_1290/kartor/A 50702-2025 karta.png", "A 50702-2025")</f>
        <v/>
      </c>
      <c r="Y89">
        <f>HYPERLINK("https://klasma.github.io/Logging_1290/kartor_geotiff/A 50702-2025 georefererad karta.tif", "A 50702-2025")</f>
        <v/>
      </c>
      <c r="AA89">
        <f>HYPERLINK("https://klasma.github.io/Logging_1290/klagomål/A 50702-2025 FSC-klagomål.docx", "A 50702-2025")</f>
        <v/>
      </c>
      <c r="AB89">
        <f>HYPERLINK("https://klasma.github.io/Logging_1290/klagomålsmail/A 50702-2025 FSC-klagomål mail.docx", "A 50702-2025")</f>
        <v/>
      </c>
      <c r="AC89">
        <f>HYPERLINK("https://klasma.github.io/Logging_1290/tillsyn/A 50702-2025 tillsynsbegäran.docx", "A 50702-2025")</f>
        <v/>
      </c>
      <c r="AD89">
        <f>HYPERLINK("https://klasma.github.io/Logging_1290/tillsynsmail/A 50702-2025 tillsynsbegäran mail.docx", "A 50702-2025")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46291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46291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47317-2025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46291</v>
      </c>
      <c r="F92" t="inlineStr">
        <is>
          <t>SKÅNE LÄN</t>
        </is>
      </c>
      <c r="G92" t="inlineStr">
        <is>
          <t>KRISTIANSTAD</t>
        </is>
      </c>
      <c r="I92" t="n">
        <v>10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Lungrot</t>
        </is>
      </c>
      <c r="W92">
        <f>HYPERLINK("https://klasma.github.io/Logging_1290/artfynd/A 47317-2025 artfynd.xlsx", "A 47317-2025")</f>
        <v/>
      </c>
      <c r="X92">
        <f>HYPERLINK("https://klasma.github.io/Logging_1290/kartor/A 47317-2025 karta.png", "A 47317-2025")</f>
        <v/>
      </c>
      <c r="Y92">
        <f>HYPERLINK("https://klasma.github.io/Logging_1290/kartor_geotiff/A 47317-2025 georefererad karta.tif", "A 47317-2025")</f>
        <v/>
      </c>
      <c r="AA92">
        <f>HYPERLINK("https://klasma.github.io/Logging_1290/klagomål/A 47317-2025 FSC-klagomål.docx", "A 47317-2025")</f>
        <v/>
      </c>
      <c r="AB92">
        <f>HYPERLINK("https://klasma.github.io/Logging_1290/klagomålsmail/A 47317-2025 FSC-klagomål mail.docx", "A 47317-2025")</f>
        <v/>
      </c>
      <c r="AC92">
        <f>HYPERLINK("https://klasma.github.io/Logging_1290/tillsyn/A 47317-2025 tillsynsbegäran.docx", "A 47317-2025")</f>
        <v/>
      </c>
      <c r="AD92">
        <f>HYPERLINK("https://klasma.github.io/Logging_1290/tillsynsmail/A 47317-2025 tillsynsbegäran mail.docx", "A 47317-2025")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46291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46291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46291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46291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13977-2025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45738</v>
      </c>
      <c r="E97" s="1" t="n">
        <v>46291</v>
      </c>
      <c r="F97" t="inlineStr">
        <is>
          <t>SKÅNE LÄN</t>
        </is>
      </c>
      <c r="G97" t="inlineStr">
        <is>
          <t>KRISTIANSTAD</t>
        </is>
      </c>
      <c r="I97" t="n">
        <v>8.9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Rostfläck</t>
        </is>
      </c>
      <c r="W97">
        <f>HYPERLINK("https://klasma.github.io/Logging_1290/artfynd/A 13977-2025 artfynd.xlsx", "A 13977-2025")</f>
        <v/>
      </c>
      <c r="X97">
        <f>HYPERLINK("https://klasma.github.io/Logging_1290/kartor/A 13977-2025 karta.png", "A 13977-2025")</f>
        <v/>
      </c>
      <c r="Y97">
        <f>HYPERLINK("https://klasma.github.io/Logging_1290/kartor_geotiff/A 13977-2025 georefererad karta.tif", "A 13977-2025")</f>
        <v/>
      </c>
      <c r="AA97">
        <f>HYPERLINK("https://klasma.github.io/Logging_1290/klagomål/A 13977-2025 FSC-klagomål.docx", "A 13977-2025")</f>
        <v/>
      </c>
      <c r="AB97">
        <f>HYPERLINK("https://klasma.github.io/Logging_1290/klagomålsmail/A 13977-2025 FSC-klagomål mail.docx", "A 13977-2025")</f>
        <v/>
      </c>
      <c r="AC97">
        <f>HYPERLINK("https://klasma.github.io/Logging_1290/tillsyn/A 13977-2025 tillsynsbegäran.docx", "A 13977-2025")</f>
        <v/>
      </c>
      <c r="AD97">
        <f>HYPERLINK("https://klasma.github.io/Logging_1290/tillsynsmail/A 13977-2025 tillsynsbegäran mail.docx", "A 13977-2025")</f>
        <v/>
      </c>
    </row>
    <row r="98" ht="15" customHeight="1">
      <c r="A98" t="inlineStr">
        <is>
          <t>A 16079-2026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46291</v>
      </c>
      <c r="F98" t="inlineStr">
        <is>
          <t>SKÅNE LÄN</t>
        </is>
      </c>
      <c r="G98" t="inlineStr">
        <is>
          <t>KRISTIANSTAD</t>
        </is>
      </c>
      <c r="I98" t="n">
        <v>13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2</v>
      </c>
      <c r="V98" s="2" t="inlineStr">
        <is>
          <t>Småvänderot</t>
        </is>
      </c>
      <c r="W98">
        <f>HYPERLINK("https://klasma.github.io/Logging_1290/artfynd/A 16079-2026 artfynd.xlsx", "A 16079-2026")</f>
        <v/>
      </c>
      <c r="X98">
        <f>HYPERLINK("https://klasma.github.io/Logging_1290/kartor/A 16079-2026 karta.png", "A 16079-2026")</f>
        <v/>
      </c>
      <c r="Y98">
        <f>HYPERLINK("https://klasma.github.io/Logging_1290/kartor_geotiff/A 16079-2026 georefererad karta.tif", "A 16079-2026")</f>
        <v/>
      </c>
      <c r="AA98">
        <f>HYPERLINK("https://klasma.github.io/Logging_1290/klagomål/A 16079-2026 FSC-klagomål.docx", "A 16079-2026")</f>
        <v/>
      </c>
      <c r="AB98">
        <f>HYPERLINK("https://klasma.github.io/Logging_1290/klagomålsmail/A 16079-2026 FSC-klagomål mail.docx", "A 16079-2026")</f>
        <v/>
      </c>
      <c r="AC98">
        <f>HYPERLINK("https://klasma.github.io/Logging_1290/tillsyn/A 16079-2026 tillsynsbegäran.docx", "A 16079-2026")</f>
        <v/>
      </c>
      <c r="AD98">
        <f>HYPERLINK("https://klasma.github.io/Logging_1290/tillsynsmail/A 16079-2026 tillsynsbegäran mail.docx", "A 16079-2026")</f>
        <v/>
      </c>
    </row>
    <row r="99" ht="15" customHeight="1">
      <c r="A99" t="inlineStr">
        <is>
          <t>A 27234-2025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46291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Småvänderot</t>
        </is>
      </c>
      <c r="W99">
        <f>HYPERLINK("https://klasma.github.io/Logging_1290/artfynd/A 27234-2025 artfynd.xlsx", "A 27234-2025")</f>
        <v/>
      </c>
      <c r="X99">
        <f>HYPERLINK("https://klasma.github.io/Logging_1290/kartor/A 27234-2025 karta.png", "A 27234-2025")</f>
        <v/>
      </c>
      <c r="Y99">
        <f>HYPERLINK("https://klasma.github.io/Logging_1290/kartor_geotiff/A 27234-2025 georefererad karta.tif", "A 27234-2025")</f>
        <v/>
      </c>
      <c r="AA99">
        <f>HYPERLINK("https://klasma.github.io/Logging_1290/klagomål/A 27234-2025 FSC-klagomål.docx", "A 27234-2025")</f>
        <v/>
      </c>
      <c r="AB99">
        <f>HYPERLINK("https://klasma.github.io/Logging_1290/klagomålsmail/A 27234-2025 FSC-klagomål mail.docx", "A 27234-2025")</f>
        <v/>
      </c>
      <c r="AC99">
        <f>HYPERLINK("https://klasma.github.io/Logging_1290/tillsyn/A 27234-2025 tillsynsbegäran.docx", "A 27234-2025")</f>
        <v/>
      </c>
      <c r="AD99">
        <f>HYPERLINK("https://klasma.github.io/Logging_1290/tillsynsmail/A 27234-2025 tillsynsbegäran mail.docx", "A 27234-2025")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46291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46291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46291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41004-2022 artfynd.xlsx", "A 41004-2022")</f>
        <v/>
      </c>
      <c r="X102">
        <f>HYPERLINK("https://klasma.github.io/Logging_1290/kartor/A 41004-2022 karta.png", "A 41004-2022")</f>
        <v/>
      </c>
      <c r="Y102">
        <f>HYPERLINK("https://klasma.github.io/Logging_1290/kartor_geotiff/A 41004-2022 georefererad karta.tif", "A 41004-2022")</f>
        <v/>
      </c>
      <c r="AA102">
        <f>HYPERLINK("https://klasma.github.io/Logging_1290/klagomål/A 41004-2022 FSC-klagomål.docx", "A 41004-2022")</f>
        <v/>
      </c>
      <c r="AB102">
        <f>HYPERLINK("https://klasma.github.io/Logging_1290/klagomålsmail/A 41004-2022 FSC-klagomål mail.docx", "A 41004-2022")</f>
        <v/>
      </c>
      <c r="AC102">
        <f>HYPERLINK("https://klasma.github.io/Logging_1290/tillsyn/A 41004-2022 tillsynsbegäran.docx", "A 41004-2022")</f>
        <v/>
      </c>
      <c r="AD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19704-2026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46291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Desmeknopp</t>
        </is>
      </c>
      <c r="W103">
        <f>HYPERLINK("https://klasma.github.io/Logging_1290/artfynd/A 19704-2026 artfynd.xlsx", "A 19704-2026")</f>
        <v/>
      </c>
      <c r="X103">
        <f>HYPERLINK("https://klasma.github.io/Logging_1290/kartor/A 19704-2026 karta.png", "A 19704-2026")</f>
        <v/>
      </c>
      <c r="Y103">
        <f>HYPERLINK("https://klasma.github.io/Logging_1290/kartor_geotiff/A 19704-2026 georefererad karta.tif", "A 19704-2026")</f>
        <v/>
      </c>
      <c r="AA103">
        <f>HYPERLINK("https://klasma.github.io/Logging_1290/klagomål/A 19704-2026 FSC-klagomål.docx", "A 19704-2026")</f>
        <v/>
      </c>
      <c r="AB103">
        <f>HYPERLINK("https://klasma.github.io/Logging_1290/klagomålsmail/A 19704-2026 FSC-klagomål mail.docx", "A 19704-2026")</f>
        <v/>
      </c>
      <c r="AC103">
        <f>HYPERLINK("https://klasma.github.io/Logging_1290/tillsyn/A 19704-2026 tillsynsbegäran.docx", "A 19704-2026")</f>
        <v/>
      </c>
      <c r="AD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58474-2025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46291</v>
      </c>
      <c r="F104" t="inlineStr">
        <is>
          <t>SKÅNE LÄN</t>
        </is>
      </c>
      <c r="G104" t="inlineStr">
        <is>
          <t>KRISTIANSTAD</t>
        </is>
      </c>
      <c r="I104" t="n">
        <v>4.7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Storspov</t>
        </is>
      </c>
      <c r="W104">
        <f>HYPERLINK("https://klasma.github.io/Logging_1290/artfynd/A 58474-2025 artfynd.xlsx", "A 58474-2025")</f>
        <v/>
      </c>
      <c r="X104">
        <f>HYPERLINK("https://klasma.github.io/Logging_1290/kartor/A 58474-2025 karta.png", "A 58474-2025")</f>
        <v/>
      </c>
      <c r="Y104">
        <f>HYPERLINK("https://klasma.github.io/Logging_1290/kartor_geotiff/A 58474-2025 georefererad karta.tif", "A 58474-2025")</f>
        <v/>
      </c>
      <c r="AA104">
        <f>HYPERLINK("https://klasma.github.io/Logging_1290/klagomål/A 58474-2025 FSC-klagomål.docx", "A 58474-2025")</f>
        <v/>
      </c>
      <c r="AB104">
        <f>HYPERLINK("https://klasma.github.io/Logging_1290/klagomålsmail/A 58474-2025 FSC-klagomål mail.docx", "A 58474-2025")</f>
        <v/>
      </c>
      <c r="AC104">
        <f>HYPERLINK("https://klasma.github.io/Logging_1290/tillsyn/A 58474-2025 tillsynsbegäran.docx", "A 58474-2025")</f>
        <v/>
      </c>
      <c r="AD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60006-2025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46291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4.8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Ekoxe</t>
        </is>
      </c>
      <c r="W105">
        <f>HYPERLINK("https://klasma.github.io/Logging_1290/artfynd/A 60006-2025 artfynd.xlsx", "A 60006-2025")</f>
        <v/>
      </c>
      <c r="X105">
        <f>HYPERLINK("https://klasma.github.io/Logging_1290/kartor/A 60006-2025 karta.png", "A 60006-2025")</f>
        <v/>
      </c>
      <c r="Y105">
        <f>HYPERLINK("https://klasma.github.io/Logging_1290/kartor_geotiff/A 60006-2025 georefererad karta.tif", "A 60006-2025")</f>
        <v/>
      </c>
      <c r="AA105">
        <f>HYPERLINK("https://klasma.github.io/Logging_1290/klagomål/A 60006-2025 FSC-klagomål.docx", "A 60006-2025")</f>
        <v/>
      </c>
      <c r="AB105">
        <f>HYPERLINK("https://klasma.github.io/Logging_1290/klagomålsmail/A 60006-2025 FSC-klagomål mail.docx", "A 60006-2025")</f>
        <v/>
      </c>
      <c r="AC105">
        <f>HYPERLINK("https://klasma.github.io/Logging_1290/tillsyn/A 60006-2025 tillsynsbegäran.docx", "A 60006-2025")</f>
        <v/>
      </c>
      <c r="AD105">
        <f>HYPERLINK("https://klasma.github.io/Logging_1290/tillsynsmail/A 60006-2025 tillsynsbegäran mail.docx", "A 60006-2025")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46291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15105-2023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45015</v>
      </c>
      <c r="E107" s="1" t="n">
        <v>46291</v>
      </c>
      <c r="F107" t="inlineStr">
        <is>
          <t>SKÅNE LÄN</t>
        </is>
      </c>
      <c r="G107" t="inlineStr">
        <is>
          <t>KRISTIANSTAD</t>
        </is>
      </c>
      <c r="H107" t="inlineStr">
        <is>
          <t>Kyrkan</t>
        </is>
      </c>
      <c r="I107" t="n">
        <v>3.2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Liten baronmossa</t>
        </is>
      </c>
      <c r="W107">
        <f>HYPERLINK("https://klasma.github.io/Logging_1290/artfynd/A 15105-2023 artfynd.xlsx", "A 15105-2023")</f>
        <v/>
      </c>
      <c r="X107">
        <f>HYPERLINK("https://klasma.github.io/Logging_1290/kartor/A 15105-2023 karta.png", "A 15105-2023")</f>
        <v/>
      </c>
      <c r="Y107">
        <f>HYPERLINK("https://klasma.github.io/Logging_1290/kartor_geotiff/A 15105-2023 georefererad karta.tif", "A 15105-2023")</f>
        <v/>
      </c>
      <c r="AA107">
        <f>HYPERLINK("https://klasma.github.io/Logging_1290/klagomål/A 15105-2023 FSC-klagomål.docx", "A 15105-2023")</f>
        <v/>
      </c>
      <c r="AB107">
        <f>HYPERLINK("https://klasma.github.io/Logging_1290/klagomålsmail/A 15105-2023 FSC-klagomål mail.docx", "A 15105-2023")</f>
        <v/>
      </c>
      <c r="AC107">
        <f>HYPERLINK("https://klasma.github.io/Logging_1290/tillsyn/A 15105-2023 tillsynsbegäran.docx", "A 15105-2023")</f>
        <v/>
      </c>
      <c r="AD107">
        <f>HYPERLINK("https://klasma.github.io/Logging_1290/tillsynsmail/A 15105-2023 tillsynsbegäran mail.docx", "A 15105-2023")</f>
        <v/>
      </c>
    </row>
    <row r="108" ht="15" customHeight="1">
      <c r="A108" t="inlineStr">
        <is>
          <t>A 50699-2025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46291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Guldlockmossa</t>
        </is>
      </c>
      <c r="W108">
        <f>HYPERLINK("https://klasma.github.io/Logging_1290/artfynd/A 50699-2025 artfynd.xlsx", "A 50699-2025")</f>
        <v/>
      </c>
      <c r="X108">
        <f>HYPERLINK("https://klasma.github.io/Logging_1290/kartor/A 50699-2025 karta.png", "A 50699-2025")</f>
        <v/>
      </c>
      <c r="Y108">
        <f>HYPERLINK("https://klasma.github.io/Logging_1290/kartor_geotiff/A 50699-2025 georefererad karta.tif", "A 50699-2025")</f>
        <v/>
      </c>
      <c r="AA108">
        <f>HYPERLINK("https://klasma.github.io/Logging_1290/klagomål/A 50699-2025 FSC-klagomål.docx", "A 50699-2025")</f>
        <v/>
      </c>
      <c r="AB108">
        <f>HYPERLINK("https://klasma.github.io/Logging_1290/klagomålsmail/A 50699-2025 FSC-klagomål mail.docx", "A 50699-2025")</f>
        <v/>
      </c>
      <c r="AC108">
        <f>HYPERLINK("https://klasma.github.io/Logging_1290/tillsyn/A 50699-2025 tillsynsbegäran.docx", "A 50699-2025")</f>
        <v/>
      </c>
      <c r="AD108">
        <f>HYPERLINK("https://klasma.github.io/Logging_1290/tillsynsmail/A 50699-2025 tillsynsbegäran mail.docx", "A 50699-2025")</f>
        <v/>
      </c>
    </row>
    <row r="109" ht="15" customHeight="1">
      <c r="A109" t="inlineStr">
        <is>
          <t>A 21835-2026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46291</v>
      </c>
      <c r="F109" t="inlineStr">
        <is>
          <t>SKÅNE LÄN</t>
        </is>
      </c>
      <c r="G109" t="inlineStr">
        <is>
          <t>KRISTIANSTAD</t>
        </is>
      </c>
      <c r="I109" t="n">
        <v>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Skogsbräsma</t>
        </is>
      </c>
      <c r="W109">
        <f>HYPERLINK("https://klasma.github.io/Logging_1290/artfynd/A 21835-2026 artfynd.xlsx", "A 21835-2026")</f>
        <v/>
      </c>
      <c r="X109">
        <f>HYPERLINK("https://klasma.github.io/Logging_1290/kartor/A 21835-2026 karta.png", "A 21835-2026")</f>
        <v/>
      </c>
      <c r="Y109">
        <f>HYPERLINK("https://klasma.github.io/Logging_1290/kartor_geotiff/A 21835-2026 georefererad karta.tif", "A 21835-2026")</f>
        <v/>
      </c>
      <c r="AA109">
        <f>HYPERLINK("https://klasma.github.io/Logging_1290/klagomål/A 21835-2026 FSC-klagomål.docx", "A 21835-2026")</f>
        <v/>
      </c>
      <c r="AB109">
        <f>HYPERLINK("https://klasma.github.io/Logging_1290/klagomålsmail/A 21835-2026 FSC-klagomål mail.docx", "A 21835-2026")</f>
        <v/>
      </c>
      <c r="AC109">
        <f>HYPERLINK("https://klasma.github.io/Logging_1290/tillsyn/A 21835-2026 tillsynsbegäran.docx", "A 21835-2026")</f>
        <v/>
      </c>
      <c r="AD109">
        <f>HYPERLINK("https://klasma.github.io/Logging_1290/tillsynsmail/A 21835-2026 tillsynsbegäran mail.docx", "A 21835-2026")</f>
        <v/>
      </c>
    </row>
    <row r="110" ht="15" customHeight="1">
      <c r="A110" t="inlineStr">
        <is>
          <t>A 7054-2024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46291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Törnskata</t>
        </is>
      </c>
      <c r="W110">
        <f>HYPERLINK("https://klasma.github.io/Logging_1290/artfynd/A 7054-2024 artfynd.xlsx", "A 7054-2024")</f>
        <v/>
      </c>
      <c r="X110">
        <f>HYPERLINK("https://klasma.github.io/Logging_1290/kartor/A 7054-2024 karta.png", "A 7054-2024")</f>
        <v/>
      </c>
      <c r="Y110">
        <f>HYPERLINK("https://klasma.github.io/Logging_1290/kartor_geotiff/A 7054-2024 georefererad karta.tif", "A 7054-2024")</f>
        <v/>
      </c>
      <c r="AA110">
        <f>HYPERLINK("https://klasma.github.io/Logging_1290/klagomål/A 7054-2024 FSC-klagomål.docx", "A 7054-2024")</f>
        <v/>
      </c>
      <c r="AB110">
        <f>HYPERLINK("https://klasma.github.io/Logging_1290/klagomålsmail/A 7054-2024 FSC-klagomål mail.docx", "A 7054-2024")</f>
        <v/>
      </c>
      <c r="AC110">
        <f>HYPERLINK("https://klasma.github.io/Logging_1290/tillsyn/A 7054-2024 tillsynsbegäran.docx", "A 7054-2024")</f>
        <v/>
      </c>
      <c r="AD110">
        <f>HYPERLINK("https://klasma.github.io/Logging_1290/tillsynsmail/A 7054-2024 tillsynsbegäran mail.docx", "A 7054-2024")</f>
        <v/>
      </c>
      <c r="AE110">
        <f>HYPERLINK("https://klasma.github.io/Logging_1290/fåglar/A 7054-2024 prioriterade fågelarter.docx", "A 7054-2024")</f>
        <v/>
      </c>
    </row>
    <row r="111" ht="15" customHeight="1">
      <c r="A111" t="inlineStr">
        <is>
          <t>A 32219-2025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46291</v>
      </c>
      <c r="F111" t="inlineStr">
        <is>
          <t>SKÅNE LÄN</t>
        </is>
      </c>
      <c r="G111" t="inlineStr">
        <is>
          <t>KRISTIANSTAD</t>
        </is>
      </c>
      <c r="I111" t="n">
        <v>2.6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Ägretthäger</t>
        </is>
      </c>
      <c r="W111">
        <f>HYPERLINK("https://klasma.github.io/Logging_1290/artfynd/A 32219-2025 artfynd.xlsx", "A 32219-2025")</f>
        <v/>
      </c>
      <c r="X111">
        <f>HYPERLINK("https://klasma.github.io/Logging_1290/kartor/A 32219-2025 karta.png", "A 32219-2025")</f>
        <v/>
      </c>
      <c r="Y111">
        <f>HYPERLINK("https://klasma.github.io/Logging_1290/kartor_geotiff/A 32219-2025 georefererad karta.tif", "A 32219-2025")</f>
        <v/>
      </c>
      <c r="AA111">
        <f>HYPERLINK("https://klasma.github.io/Logging_1290/klagomål/A 32219-2025 FSC-klagomål.docx", "A 32219-2025")</f>
        <v/>
      </c>
      <c r="AB111">
        <f>HYPERLINK("https://klasma.github.io/Logging_1290/klagomålsmail/A 32219-2025 FSC-klagomål mail.docx", "A 32219-2025")</f>
        <v/>
      </c>
      <c r="AC111">
        <f>HYPERLINK("https://klasma.github.io/Logging_1290/tillsyn/A 32219-2025 tillsynsbegäran.docx", "A 32219-2025")</f>
        <v/>
      </c>
      <c r="AD111">
        <f>HYPERLINK("https://klasma.github.io/Logging_1290/tillsynsmail/A 32219-2025 tillsynsbegäran mail.docx", "A 32219-2025")</f>
        <v/>
      </c>
      <c r="AE111">
        <f>HYPERLINK("https://klasma.github.io/Logging_1290/fåglar/A 32219-2025 prioriterade fågelarter.docx", "A 32219-2025")</f>
        <v/>
      </c>
    </row>
    <row r="112" ht="15" customHeight="1">
      <c r="A112" t="inlineStr">
        <is>
          <t>A 16783-2025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46291</v>
      </c>
      <c r="F112" t="inlineStr">
        <is>
          <t>SKÅNE LÄN</t>
        </is>
      </c>
      <c r="G112" t="inlineStr">
        <is>
          <t>KRISTIANSTAD</t>
        </is>
      </c>
      <c r="I112" t="n">
        <v>20.2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Öring</t>
        </is>
      </c>
      <c r="W112">
        <f>HYPERLINK("https://klasma.github.io/Logging_1290/artfynd/A 16783-2025 artfynd.xlsx", "A 16783-2025")</f>
        <v/>
      </c>
      <c r="X112">
        <f>HYPERLINK("https://klasma.github.io/Logging_1290/kartor/A 16783-2025 karta.png", "A 16783-2025")</f>
        <v/>
      </c>
      <c r="Y112">
        <f>HYPERLINK("https://klasma.github.io/Logging_1290/kartor_geotiff/A 16783-2025 georefererad karta.tif", "A 16783-2025")</f>
        <v/>
      </c>
      <c r="AA112">
        <f>HYPERLINK("https://klasma.github.io/Logging_1290/klagomål/A 16783-2025 FSC-klagomål.docx", "A 16783-2025")</f>
        <v/>
      </c>
      <c r="AB112">
        <f>HYPERLINK("https://klasma.github.io/Logging_1290/klagomålsmail/A 16783-2025 FSC-klagomål mail.docx", "A 16783-2025")</f>
        <v/>
      </c>
      <c r="AC112">
        <f>HYPERLINK("https://klasma.github.io/Logging_1290/tillsyn/A 16783-2025 tillsynsbegäran.docx", "A 16783-2025")</f>
        <v/>
      </c>
      <c r="AD112">
        <f>HYPERLINK("https://klasma.github.io/Logging_1290/tillsynsmail/A 16783-2025 tillsynsbegäran mail.docx", "A 16783-2025")</f>
        <v/>
      </c>
    </row>
    <row r="113" ht="15" customHeight="1">
      <c r="A113" t="inlineStr">
        <is>
          <t>A 52012-2024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46291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52012-2024 artfynd.xlsx", "A 52012-2024")</f>
        <v/>
      </c>
      <c r="X113">
        <f>HYPERLINK("https://klasma.github.io/Logging_1290/kartor/A 52012-2024 karta.png", "A 52012-2024")</f>
        <v/>
      </c>
      <c r="Y113">
        <f>HYPERLINK("https://klasma.github.io/Logging_1290/kartor_geotiff/A 52012-2024 georefererad karta.tif", "A 52012-2024")</f>
        <v/>
      </c>
      <c r="AA113">
        <f>HYPERLINK("https://klasma.github.io/Logging_1290/klagomål/A 52012-2024 FSC-klagomål.docx", "A 52012-2024")</f>
        <v/>
      </c>
      <c r="AB113">
        <f>HYPERLINK("https://klasma.github.io/Logging_1290/klagomålsmail/A 52012-2024 FSC-klagomål mail.docx", "A 52012-2024")</f>
        <v/>
      </c>
      <c r="AC113">
        <f>HYPERLINK("https://klasma.github.io/Logging_1290/tillsyn/A 52012-2024 tillsynsbegäran.docx", "A 52012-2024")</f>
        <v/>
      </c>
      <c r="AD113">
        <f>HYPERLINK("https://klasma.github.io/Logging_1290/tillsynsmail/A 52012-2024 tillsynsbegäran mail.docx", "A 52012-2024")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46291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27606-2026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46291</v>
      </c>
      <c r="F115" t="inlineStr">
        <is>
          <t>SKÅNE LÄN</t>
        </is>
      </c>
      <c r="G115" t="inlineStr">
        <is>
          <t>KRISTIANSTAD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Flodpärlmussla</t>
        </is>
      </c>
      <c r="W115">
        <f>HYPERLINK("https://klasma.github.io/Logging_1290/artfynd/A 27606-2026 artfynd.xlsx", "A 27606-2026")</f>
        <v/>
      </c>
      <c r="X115">
        <f>HYPERLINK("https://klasma.github.io/Logging_1290/kartor/A 27606-2026 karta.png", "A 27606-2026")</f>
        <v/>
      </c>
      <c r="Y115">
        <f>HYPERLINK("https://klasma.github.io/Logging_1290/kartor_geotiff/A 27606-2026 georefererad karta.tif", "A 27606-2026")</f>
        <v/>
      </c>
      <c r="AA115">
        <f>HYPERLINK("https://klasma.github.io/Logging_1290/klagomål/A 27606-2026 FSC-klagomål.docx", "A 27606-2026")</f>
        <v/>
      </c>
      <c r="AB115">
        <f>HYPERLINK("https://klasma.github.io/Logging_1290/klagomålsmail/A 27606-2026 FSC-klagomål mail.docx", "A 27606-2026")</f>
        <v/>
      </c>
      <c r="AC115">
        <f>HYPERLINK("https://klasma.github.io/Logging_1290/tillsyn/A 27606-2026 tillsynsbegäran.docx", "A 27606-2026")</f>
        <v/>
      </c>
      <c r="AD115">
        <f>HYPERLINK("https://klasma.github.io/Logging_1290/tillsynsmail/A 27606-2026 tillsynsbegäran mail.docx", "A 27606-2026")</f>
        <v/>
      </c>
    </row>
    <row r="116" ht="15" customHeight="1">
      <c r="A116" t="inlineStr">
        <is>
          <t>A 33883-2025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45842</v>
      </c>
      <c r="E116" s="1" t="n">
        <v>46291</v>
      </c>
      <c r="F116" t="inlineStr">
        <is>
          <t>SKÅNE LÄN</t>
        </is>
      </c>
      <c r="G116" t="inlineStr">
        <is>
          <t>KRISTIANSTAD</t>
        </is>
      </c>
      <c r="I116" t="n">
        <v>2.3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Stor häxört</t>
        </is>
      </c>
      <c r="W116">
        <f>HYPERLINK("https://klasma.github.io/Logging_1290/artfynd/A 33883-2025 artfynd.xlsx", "A 33883-2025")</f>
        <v/>
      </c>
      <c r="X116">
        <f>HYPERLINK("https://klasma.github.io/Logging_1290/kartor/A 33883-2025 karta.png", "A 33883-2025")</f>
        <v/>
      </c>
      <c r="Y116">
        <f>HYPERLINK("https://klasma.github.io/Logging_1290/kartor_geotiff/A 33883-2025 georefererad karta.tif", "A 33883-2025")</f>
        <v/>
      </c>
      <c r="AA116">
        <f>HYPERLINK("https://klasma.github.io/Logging_1290/klagomål/A 33883-2025 FSC-klagomål.docx", "A 33883-2025")</f>
        <v/>
      </c>
      <c r="AB116">
        <f>HYPERLINK("https://klasma.github.io/Logging_1290/klagomålsmail/A 33883-2025 FSC-klagomål mail.docx", "A 33883-2025")</f>
        <v/>
      </c>
      <c r="AC116">
        <f>HYPERLINK("https://klasma.github.io/Logging_1290/tillsyn/A 33883-2025 tillsynsbegäran.docx", "A 33883-2025")</f>
        <v/>
      </c>
      <c r="AD116">
        <f>HYPERLINK("https://klasma.github.io/Logging_1290/tillsynsmail/A 33883-2025 tillsynsbegäran mail.docx", "A 33883-2025")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46291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27462-2026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46291</v>
      </c>
      <c r="F118" t="inlineStr">
        <is>
          <t>SKÅNE LÄN</t>
        </is>
      </c>
      <c r="G118" t="inlineStr">
        <is>
          <t>KRISTIANSTAD</t>
        </is>
      </c>
      <c r="I118" t="n">
        <v>9.1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Skuggsprötmossa</t>
        </is>
      </c>
      <c r="W118">
        <f>HYPERLINK("https://klasma.github.io/Logging_1290/artfynd/A 27462-2026 artfynd.xlsx", "A 27462-2026")</f>
        <v/>
      </c>
      <c r="X118">
        <f>HYPERLINK("https://klasma.github.io/Logging_1290/kartor/A 27462-2026 karta.png", "A 27462-2026")</f>
        <v/>
      </c>
      <c r="Y118">
        <f>HYPERLINK("https://klasma.github.io/Logging_1290/kartor_geotiff/A 27462-2026 georefererad karta.tif", "A 27462-2026")</f>
        <v/>
      </c>
      <c r="AA118">
        <f>HYPERLINK("https://klasma.github.io/Logging_1290/klagomål/A 27462-2026 FSC-klagomål.docx", "A 27462-2026")</f>
        <v/>
      </c>
      <c r="AB118">
        <f>HYPERLINK("https://klasma.github.io/Logging_1290/klagomålsmail/A 27462-2026 FSC-klagomål mail.docx", "A 27462-2026")</f>
        <v/>
      </c>
      <c r="AC118">
        <f>HYPERLINK("https://klasma.github.io/Logging_1290/tillsyn/A 27462-2026 tillsynsbegäran.docx", "A 27462-2026")</f>
        <v/>
      </c>
      <c r="AD118">
        <f>HYPERLINK("https://klasma.github.io/Logging_1290/tillsynsmail/A 27462-2026 tillsynsbegäran mail.docx", "A 27462-2026")</f>
        <v/>
      </c>
    </row>
    <row r="119" ht="15" customHeight="1">
      <c r="A119" t="inlineStr">
        <is>
          <t>A 38440-2024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46291</v>
      </c>
      <c r="F119" t="inlineStr">
        <is>
          <t>SKÅNE LÄN</t>
        </is>
      </c>
      <c r="G119" t="inlineStr">
        <is>
          <t>KRISTIANSTAD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HYPERLINK("https://klasma.github.io/Logging_1290/artfynd/A 38440-2024 artfynd.xlsx", "A 38440-2024")</f>
        <v/>
      </c>
      <c r="X119">
        <f>HYPERLINK("https://klasma.github.io/Logging_1290/kartor/A 38440-2024 karta.png", "A 38440-2024")</f>
        <v/>
      </c>
      <c r="Y119">
        <f>HYPERLINK("https://klasma.github.io/Logging_1290/kartor_geotiff/A 38440-2024 georefererad karta.tif", "A 38440-2024")</f>
        <v/>
      </c>
      <c r="AA119">
        <f>HYPERLINK("https://klasma.github.io/Logging_1290/klagomål/A 38440-2024 FSC-klagomål.docx", "A 38440-2024")</f>
        <v/>
      </c>
      <c r="AB119">
        <f>HYPERLINK("https://klasma.github.io/Logging_1290/klagomålsmail/A 38440-2024 FSC-klagomål mail.docx", "A 38440-2024")</f>
        <v/>
      </c>
      <c r="AC119">
        <f>HYPERLINK("https://klasma.github.io/Logging_1290/tillsyn/A 38440-2024 tillsynsbegäran.docx", "A 38440-2024")</f>
        <v/>
      </c>
      <c r="AD119">
        <f>HYPERLINK("https://klasma.github.io/Logging_1290/tillsynsmail/A 38440-2024 tillsynsbegäran mail.docx", "A 38440-2024")</f>
        <v/>
      </c>
    </row>
    <row r="120" ht="15" customHeight="1">
      <c r="A120" t="inlineStr">
        <is>
          <t>A 17023-2025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45755</v>
      </c>
      <c r="E120" s="1" t="n">
        <v>46291</v>
      </c>
      <c r="F120" t="inlineStr">
        <is>
          <t>SKÅNE LÄN</t>
        </is>
      </c>
      <c r="G120" t="inlineStr">
        <is>
          <t>KRISTIANSTAD</t>
        </is>
      </c>
      <c r="I120" t="n">
        <v>5.7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Ekskinn</t>
        </is>
      </c>
      <c r="W120">
        <f>HYPERLINK("https://klasma.github.io/Logging_1290/artfynd/A 17023-2025 artfynd.xlsx", "A 17023-2025")</f>
        <v/>
      </c>
      <c r="X120">
        <f>HYPERLINK("https://klasma.github.io/Logging_1290/kartor/A 17023-2025 karta.png", "A 17023-2025")</f>
        <v/>
      </c>
      <c r="Y120">
        <f>HYPERLINK("https://klasma.github.io/Logging_1290/kartor_geotiff/A 17023-2025 georefererad karta.tif", "A 17023-2025")</f>
        <v/>
      </c>
      <c r="AA120">
        <f>HYPERLINK("https://klasma.github.io/Logging_1290/klagomål/A 17023-2025 FSC-klagomål.docx", "A 17023-2025")</f>
        <v/>
      </c>
      <c r="AB120">
        <f>HYPERLINK("https://klasma.github.io/Logging_1290/klagomålsmail/A 17023-2025 FSC-klagomål mail.docx", "A 17023-2025")</f>
        <v/>
      </c>
      <c r="AC120">
        <f>HYPERLINK("https://klasma.github.io/Logging_1290/tillsyn/A 17023-2025 tillsynsbegäran.docx", "A 17023-2025")</f>
        <v/>
      </c>
      <c r="AD120">
        <f>HYPERLINK("https://klasma.github.io/Logging_1290/tillsynsmail/A 17023-2025 tillsynsbegäran mail.docx", "A 17023-2025")</f>
        <v/>
      </c>
    </row>
    <row r="121" ht="15" customHeight="1">
      <c r="A121" t="inlineStr">
        <is>
          <t>A 32101-2024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46291</v>
      </c>
      <c r="F121" t="inlineStr">
        <is>
          <t>SKÅNE LÄN</t>
        </is>
      </c>
      <c r="G121" t="inlineStr">
        <is>
          <t>KRISTIANSTAD</t>
        </is>
      </c>
      <c r="I121" t="n">
        <v>6.6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Skogsknipprot</t>
        </is>
      </c>
      <c r="W121">
        <f>HYPERLINK("https://klasma.github.io/Logging_1290/artfynd/A 32101-2024 artfynd.xlsx", "A 32101-2024")</f>
        <v/>
      </c>
      <c r="X121">
        <f>HYPERLINK("https://klasma.github.io/Logging_1290/kartor/A 32101-2024 karta.png", "A 32101-2024")</f>
        <v/>
      </c>
      <c r="Y121">
        <f>HYPERLINK("https://klasma.github.io/Logging_1290/kartor_geotiff/A 32101-2024 georefererad karta.tif", "A 32101-2024")</f>
        <v/>
      </c>
      <c r="AA121">
        <f>HYPERLINK("https://klasma.github.io/Logging_1290/klagomål/A 32101-2024 FSC-klagomål.docx", "A 32101-2024")</f>
        <v/>
      </c>
      <c r="AB121">
        <f>HYPERLINK("https://klasma.github.io/Logging_1290/klagomålsmail/A 32101-2024 FSC-klagomål mail.docx", "A 32101-2024")</f>
        <v/>
      </c>
      <c r="AC121">
        <f>HYPERLINK("https://klasma.github.io/Logging_1290/tillsyn/A 32101-2024 tillsynsbegäran.docx", "A 32101-2024")</f>
        <v/>
      </c>
      <c r="AD121">
        <f>HYPERLINK("https://klasma.github.io/Logging_1290/tillsynsmail/A 32101-2024 tillsynsbegäran mail.docx", "A 32101-2024")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46291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34113-2026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46253</v>
      </c>
      <c r="E123" s="1" t="n">
        <v>46291</v>
      </c>
      <c r="F123" t="inlineStr">
        <is>
          <t>SKÅNE LÄN</t>
        </is>
      </c>
      <c r="G123" t="inlineStr">
        <is>
          <t>KRISTIANSTAD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Småvänderot</t>
        </is>
      </c>
      <c r="W123">
        <f>HYPERLINK("https://klasma.github.io/Logging_1290/artfynd/A 34113-2026 artfynd.xlsx", "A 34113-2026")</f>
        <v/>
      </c>
      <c r="X123">
        <f>HYPERLINK("https://klasma.github.io/Logging_1290/kartor/A 34113-2026 karta.png", "A 34113-2026")</f>
        <v/>
      </c>
      <c r="Y123">
        <f>HYPERLINK("https://klasma.github.io/Logging_1290/kartor_geotiff/A 34113-2026 georefererad karta.tif", "A 34113-2026")</f>
        <v/>
      </c>
      <c r="AA123">
        <f>HYPERLINK("https://klasma.github.io/Logging_1290/klagomål/A 34113-2026 FSC-klagomål.docx", "A 34113-2026")</f>
        <v/>
      </c>
      <c r="AB123">
        <f>HYPERLINK("https://klasma.github.io/Logging_1290/klagomålsmail/A 34113-2026 FSC-klagomål mail.docx", "A 34113-2026")</f>
        <v/>
      </c>
      <c r="AC123">
        <f>HYPERLINK("https://klasma.github.io/Logging_1290/tillsyn/A 34113-2026 tillsynsbegäran.docx", "A 34113-2026")</f>
        <v/>
      </c>
      <c r="AD123">
        <f>HYPERLINK("https://klasma.github.io/Logging_1290/tillsynsmail/A 34113-2026 tillsynsbegäran mail.docx", "A 34113-2026")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46291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4615-2024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46291</v>
      </c>
      <c r="F125" t="inlineStr">
        <is>
          <t>SKÅNE LÄN</t>
        </is>
      </c>
      <c r="G125" t="inlineStr">
        <is>
          <t>KRISTIANSTAD</t>
        </is>
      </c>
      <c r="I125" t="n">
        <v>6.6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Skogslysing</t>
        </is>
      </c>
      <c r="W125">
        <f>HYPERLINK("https://klasma.github.io/Logging_1290/artfynd/A 4615-2024 artfynd.xlsx", "A 4615-2024")</f>
        <v/>
      </c>
      <c r="X125">
        <f>HYPERLINK("https://klasma.github.io/Logging_1290/kartor/A 4615-2024 karta.png", "A 4615-2024")</f>
        <v/>
      </c>
      <c r="Y125">
        <f>HYPERLINK("https://klasma.github.io/Logging_1290/kartor_geotiff/A 4615-2024 georefererad karta.tif", "A 4615-2024")</f>
        <v/>
      </c>
      <c r="AA125">
        <f>HYPERLINK("https://klasma.github.io/Logging_1290/klagomål/A 4615-2024 FSC-klagomål.docx", "A 4615-2024")</f>
        <v/>
      </c>
      <c r="AB125">
        <f>HYPERLINK("https://klasma.github.io/Logging_1290/klagomålsmail/A 4615-2024 FSC-klagomål mail.docx", "A 4615-2024")</f>
        <v/>
      </c>
      <c r="AC125">
        <f>HYPERLINK("https://klasma.github.io/Logging_1290/tillsyn/A 4615-2024 tillsynsbegäran.docx", "A 4615-2024")</f>
        <v/>
      </c>
      <c r="AD125">
        <f>HYPERLINK("https://klasma.github.io/Logging_1290/tillsynsmail/A 4615-2024 tillsynsbegäran mail.docx", "A 4615-2024")</f>
        <v/>
      </c>
    </row>
    <row r="126" ht="15" customHeight="1">
      <c r="A126" t="inlineStr">
        <is>
          <t>A 8290-2024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46291</v>
      </c>
      <c r="F126" t="inlineStr">
        <is>
          <t>SKÅNE LÄN</t>
        </is>
      </c>
      <c r="G126" t="inlineStr">
        <is>
          <t>KRISTIANSTAD</t>
        </is>
      </c>
      <c r="I126" t="n">
        <v>0.7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Lömsk flugsvamp</t>
        </is>
      </c>
      <c r="W126">
        <f>HYPERLINK("https://klasma.github.io/Logging_1290/artfynd/A 8290-2024 artfynd.xlsx", "A 8290-2024")</f>
        <v/>
      </c>
      <c r="X126">
        <f>HYPERLINK("https://klasma.github.io/Logging_1290/kartor/A 8290-2024 karta.png", "A 8290-2024")</f>
        <v/>
      </c>
      <c r="Y126">
        <f>HYPERLINK("https://klasma.github.io/Logging_1290/kartor_geotiff/A 8290-2024 georefererad karta.tif", "A 8290-2024")</f>
        <v/>
      </c>
      <c r="AA126">
        <f>HYPERLINK("https://klasma.github.io/Logging_1290/klagomål/A 8290-2024 FSC-klagomål.docx", "A 8290-2024")</f>
        <v/>
      </c>
      <c r="AB126">
        <f>HYPERLINK("https://klasma.github.io/Logging_1290/klagomålsmail/A 8290-2024 FSC-klagomål mail.docx", "A 8290-2024")</f>
        <v/>
      </c>
      <c r="AC126">
        <f>HYPERLINK("https://klasma.github.io/Logging_1290/tillsyn/A 8290-2024 tillsynsbegäran.docx", "A 8290-2024")</f>
        <v/>
      </c>
      <c r="AD126">
        <f>HYPERLINK("https://klasma.github.io/Logging_1290/tillsynsmail/A 8290-2024 tillsynsbegäran mail.docx", "A 8290-2024")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46291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46291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39238-2026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46291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4.5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Grönvit nattviol</t>
        </is>
      </c>
      <c r="W129">
        <f>HYPERLINK("https://klasma.github.io/Logging_1290/artfynd/A 39238-2026 artfynd.xlsx", "A 39238-2026")</f>
        <v/>
      </c>
      <c r="X129">
        <f>HYPERLINK("https://klasma.github.io/Logging_1290/kartor/A 39238-2026 karta.png", "A 39238-2026")</f>
        <v/>
      </c>
      <c r="Y129">
        <f>HYPERLINK("https://klasma.github.io/Logging_1290/kartor_geotiff/A 39238-2026 georefererad karta.tif", "A 39238-2026")</f>
        <v/>
      </c>
      <c r="AA129">
        <f>HYPERLINK("https://klasma.github.io/Logging_1290/klagomål/A 39238-2026 FSC-klagomål.docx", "A 39238-2026")</f>
        <v/>
      </c>
      <c r="AB129">
        <f>HYPERLINK("https://klasma.github.io/Logging_1290/klagomålsmail/A 39238-2026 FSC-klagomål mail.docx", "A 39238-2026")</f>
        <v/>
      </c>
      <c r="AC129">
        <f>HYPERLINK("https://klasma.github.io/Logging_1290/tillsyn/A 39238-2026 tillsynsbegäran.docx", "A 39238-2026")</f>
        <v/>
      </c>
      <c r="AD129">
        <f>HYPERLINK("https://klasma.github.io/Logging_1290/tillsynsmail/A 39238-2026 tillsynsbegäran mail.docx", "A 39238-2026")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46291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30918-2022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46291</v>
      </c>
      <c r="F131" t="inlineStr">
        <is>
          <t>SKÅNE LÄN</t>
        </is>
      </c>
      <c r="G131" t="inlineStr">
        <is>
          <t>KRISTIANSTAD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Sjötåtel</t>
        </is>
      </c>
      <c r="W131">
        <f>HYPERLINK("https://klasma.github.io/Logging_1290/artfynd/A 30918-2022 artfynd.xlsx", "A 30918-2022")</f>
        <v/>
      </c>
      <c r="X131">
        <f>HYPERLINK("https://klasma.github.io/Logging_1290/kartor/A 30918-2022 karta.png", "A 30918-2022")</f>
        <v/>
      </c>
      <c r="Y131">
        <f>HYPERLINK("https://klasma.github.io/Logging_1290/kartor_geotiff/A 30918-2022 georefererad karta.tif", "A 30918-2022")</f>
        <v/>
      </c>
      <c r="AA131">
        <f>HYPERLINK("https://klasma.github.io/Logging_1290/klagomål/A 30918-2022 FSC-klagomål.docx", "A 30918-2022")</f>
        <v/>
      </c>
      <c r="AB131">
        <f>HYPERLINK("https://klasma.github.io/Logging_1290/klagomålsmail/A 30918-2022 FSC-klagomål mail.docx", "A 30918-2022")</f>
        <v/>
      </c>
      <c r="AC131">
        <f>HYPERLINK("https://klasma.github.io/Logging_1290/tillsyn/A 30918-2022 tillsynsbegäran.docx", "A 30918-2022")</f>
        <v/>
      </c>
      <c r="AD131">
        <f>HYPERLINK("https://klasma.github.io/Logging_1290/tillsynsmail/A 30918-2022 tillsynsbegäran mail.docx", "A 30918-2022")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46291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33362-2023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46291</v>
      </c>
      <c r="F133" t="inlineStr">
        <is>
          <t>SKÅNE LÄN</t>
        </is>
      </c>
      <c r="G133" t="inlineStr">
        <is>
          <t>KRISTIANSTAD</t>
        </is>
      </c>
      <c r="I133" t="n">
        <v>4.9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Rostfläck</t>
        </is>
      </c>
      <c r="W133">
        <f>HYPERLINK("https://klasma.github.io/Logging_1290/artfynd/A 33362-2023 artfynd.xlsx", "A 33362-2023")</f>
        <v/>
      </c>
      <c r="X133">
        <f>HYPERLINK("https://klasma.github.io/Logging_1290/kartor/A 33362-2023 karta.png", "A 33362-2023")</f>
        <v/>
      </c>
      <c r="Y133">
        <f>HYPERLINK("https://klasma.github.io/Logging_1290/kartor_geotiff/A 33362-2023 georefererad karta.tif", "A 33362-2023")</f>
        <v/>
      </c>
      <c r="AA133">
        <f>HYPERLINK("https://klasma.github.io/Logging_1290/klagomål/A 33362-2023 FSC-klagomål.docx", "A 33362-2023")</f>
        <v/>
      </c>
      <c r="AB133">
        <f>HYPERLINK("https://klasma.github.io/Logging_1290/klagomålsmail/A 33362-2023 FSC-klagomål mail.docx", "A 33362-2023")</f>
        <v/>
      </c>
      <c r="AC133">
        <f>HYPERLINK("https://klasma.github.io/Logging_1290/tillsyn/A 33362-2023 tillsynsbegäran.docx", "A 33362-2023")</f>
        <v/>
      </c>
      <c r="AD133">
        <f>HYPERLINK("https://klasma.github.io/Logging_1290/tillsynsmail/A 33362-2023 tillsynsbegäran mail.docx", "A 33362-2023")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46291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46291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46291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28425-2024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46291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Missne</t>
        </is>
      </c>
      <c r="W137">
        <f>HYPERLINK("https://klasma.github.io/Logging_1290/artfynd/A 28425-2024 artfynd.xlsx", "A 28425-2024")</f>
        <v/>
      </c>
      <c r="X137">
        <f>HYPERLINK("https://klasma.github.io/Logging_1290/kartor/A 28425-2024 karta.png", "A 28425-2024")</f>
        <v/>
      </c>
      <c r="Y137">
        <f>HYPERLINK("https://klasma.github.io/Logging_1290/kartor_geotiff/A 28425-2024 georefererad karta.tif", "A 28425-2024")</f>
        <v/>
      </c>
      <c r="AA137">
        <f>HYPERLINK("https://klasma.github.io/Logging_1290/klagomål/A 28425-2024 FSC-klagomål.docx", "A 28425-2024")</f>
        <v/>
      </c>
      <c r="AB137">
        <f>HYPERLINK("https://klasma.github.io/Logging_1290/klagomålsmail/A 28425-2024 FSC-klagomål mail.docx", "A 28425-2024")</f>
        <v/>
      </c>
      <c r="AC137">
        <f>HYPERLINK("https://klasma.github.io/Logging_1290/tillsyn/A 28425-2024 tillsynsbegäran.docx", "A 28425-2024")</f>
        <v/>
      </c>
      <c r="AD137">
        <f>HYPERLINK("https://klasma.github.io/Logging_1290/tillsynsmail/A 28425-2024 tillsynsbegäran mail.docx", "A 28425-2024")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46291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46291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46291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46291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46291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46291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46291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46291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46291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46291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46291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46291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46291</v>
      </c>
      <c r="F150" t="inlineStr">
        <is>
          <t>SKÅNE LÄN</t>
        </is>
      </c>
      <c r="G150" t="inlineStr">
        <is>
          <t>KRISTIANSTAD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70357-2021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44536</v>
      </c>
      <c r="E151" s="1" t="n">
        <v>46291</v>
      </c>
      <c r="F151" t="inlineStr">
        <is>
          <t>SKÅNE LÄN</t>
        </is>
      </c>
      <c r="G151" t="inlineStr">
        <is>
          <t>KRISTIANSTAD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44670</v>
      </c>
      <c r="E152" s="1" t="n">
        <v>46291</v>
      </c>
      <c r="F152" t="inlineStr">
        <is>
          <t>SKÅNE LÄN</t>
        </is>
      </c>
      <c r="G152" t="inlineStr">
        <is>
          <t>KRISTIANSTAD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46291</v>
      </c>
      <c r="F153" t="inlineStr">
        <is>
          <t>SKÅNE LÄN</t>
        </is>
      </c>
      <c r="G153" t="inlineStr">
        <is>
          <t>KRISTIANSTAD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46291</v>
      </c>
      <c r="F154" t="inlineStr">
        <is>
          <t>SKÅNE LÄN</t>
        </is>
      </c>
      <c r="G154" t="inlineStr">
        <is>
          <t>KRISTIANSTAD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74289-2021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44558</v>
      </c>
      <c r="E155" s="1" t="n">
        <v>46291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44744</v>
      </c>
      <c r="E156" s="1" t="n">
        <v>46291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46291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46291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46291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46291</v>
      </c>
      <c r="F160" t="inlineStr">
        <is>
          <t>SKÅNE LÄN</t>
        </is>
      </c>
      <c r="G160" t="inlineStr">
        <is>
          <t>KRISTIANSTAD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46291</v>
      </c>
      <c r="F161" t="inlineStr">
        <is>
          <t>SKÅNE LÄN</t>
        </is>
      </c>
      <c r="G161" t="inlineStr">
        <is>
          <t>KRISTIANSTAD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46291</v>
      </c>
      <c r="F162" t="inlineStr">
        <is>
          <t>SKÅNE LÄN</t>
        </is>
      </c>
      <c r="G162" t="inlineStr">
        <is>
          <t>KRISTIANSTAD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46291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46291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46291</v>
      </c>
      <c r="F165" t="inlineStr">
        <is>
          <t>SKÅNE LÄN</t>
        </is>
      </c>
      <c r="G165" t="inlineStr">
        <is>
          <t>KRISTIANSTAD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46291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43663-2022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44837</v>
      </c>
      <c r="E167" s="1" t="n">
        <v>46291</v>
      </c>
      <c r="F167" t="inlineStr">
        <is>
          <t>SKÅNE LÄN</t>
        </is>
      </c>
      <c r="G167" t="inlineStr">
        <is>
          <t>KRISTIANSTAD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46291</v>
      </c>
      <c r="F168" t="inlineStr">
        <is>
          <t>SKÅNE LÄN</t>
        </is>
      </c>
      <c r="G168" t="inlineStr">
        <is>
          <t>KRISTIANSTAD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46291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44744</v>
      </c>
      <c r="E170" s="1" t="n">
        <v>46291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44491</v>
      </c>
      <c r="E171" s="1" t="n">
        <v>46291</v>
      </c>
      <c r="F171" t="inlineStr">
        <is>
          <t>SKÅNE LÄN</t>
        </is>
      </c>
      <c r="G171" t="inlineStr">
        <is>
          <t>KRISTIANSTAD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46291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46291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46291</v>
      </c>
      <c r="F174" t="inlineStr">
        <is>
          <t>SKÅNE LÄN</t>
        </is>
      </c>
      <c r="G174" t="inlineStr">
        <is>
          <t>KRISTIANSTAD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46291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46291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46291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46291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46291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46291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46291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46291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46291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46291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46291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46291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46291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46291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46291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46291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46291</v>
      </c>
      <c r="F191" t="inlineStr">
        <is>
          <t>SKÅNE LÄN</t>
        </is>
      </c>
      <c r="G191" t="inlineStr">
        <is>
          <t>KRISTIANSTAD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46291</v>
      </c>
      <c r="F192" t="inlineStr">
        <is>
          <t>SKÅNE LÄN</t>
        </is>
      </c>
      <c r="G192" t="inlineStr">
        <is>
          <t>KRISTIANSTAD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46291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46291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46291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46291</v>
      </c>
      <c r="F196" t="inlineStr">
        <is>
          <t>SKÅNE LÄN</t>
        </is>
      </c>
      <c r="G196" t="inlineStr">
        <is>
          <t>KRISTIANSTAD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46291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46291</v>
      </c>
      <c r="F198" t="inlineStr">
        <is>
          <t>SKÅNE LÄN</t>
        </is>
      </c>
      <c r="G198" t="inlineStr">
        <is>
          <t>KRISTIANSTAD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46291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46291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46291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46291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46291</v>
      </c>
      <c r="F203" t="inlineStr">
        <is>
          <t>SKÅNE LÄN</t>
        </is>
      </c>
      <c r="G203" t="inlineStr">
        <is>
          <t>KRISTIANSTAD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46291</v>
      </c>
      <c r="F204" t="inlineStr">
        <is>
          <t>SKÅNE LÄN</t>
        </is>
      </c>
      <c r="G204" t="inlineStr">
        <is>
          <t>KRISTIANSTAD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46291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45336</v>
      </c>
      <c r="E206" s="1" t="n">
        <v>46291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45416</v>
      </c>
      <c r="E207" s="1" t="n">
        <v>46291</v>
      </c>
      <c r="F207" t="inlineStr">
        <is>
          <t>SKÅNE LÄN</t>
        </is>
      </c>
      <c r="G207" t="inlineStr">
        <is>
          <t>KRISTIANSTAD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46291</v>
      </c>
      <c r="F208" t="inlineStr">
        <is>
          <t>SKÅNE LÄN</t>
        </is>
      </c>
      <c r="G208" t="inlineStr">
        <is>
          <t>KRISTIANSTAD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46291</v>
      </c>
      <c r="F209" t="inlineStr">
        <is>
          <t>SKÅNE LÄN</t>
        </is>
      </c>
      <c r="G209" t="inlineStr">
        <is>
          <t>KRISTIANSTAD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46291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45121</v>
      </c>
      <c r="E211" s="1" t="n">
        <v>46291</v>
      </c>
      <c r="F211" t="inlineStr">
        <is>
          <t>SKÅNE LÄN</t>
        </is>
      </c>
      <c r="G211" t="inlineStr">
        <is>
          <t>KRISTIANSTAD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46291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45144</v>
      </c>
      <c r="E213" s="1" t="n">
        <v>46291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15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46291</v>
      </c>
      <c r="F214" t="inlineStr">
        <is>
          <t>SKÅNE LÄN</t>
        </is>
      </c>
      <c r="G214" t="inlineStr">
        <is>
          <t>KRISTIANSTAD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46291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45465</v>
      </c>
      <c r="E216" s="1" t="n">
        <v>46291</v>
      </c>
      <c r="F216" t="inlineStr">
        <is>
          <t>SKÅNE LÄN</t>
        </is>
      </c>
      <c r="G216" t="inlineStr">
        <is>
          <t>KRISTIANSTAD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45470</v>
      </c>
      <c r="E217" s="1" t="n">
        <v>46291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46291</v>
      </c>
      <c r="F218" t="inlineStr">
        <is>
          <t>SKÅNE LÄN</t>
        </is>
      </c>
      <c r="G218" t="inlineStr">
        <is>
          <t>KRISTIANSTAD</t>
        </is>
      </c>
      <c r="I218" t="n">
        <v>18.8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46291</v>
      </c>
      <c r="F219" t="inlineStr">
        <is>
          <t>SKÅNE LÄN</t>
        </is>
      </c>
      <c r="G219" t="inlineStr">
        <is>
          <t>KRISTIANSTAD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46291</v>
      </c>
      <c r="F220" t="inlineStr">
        <is>
          <t>SKÅNE LÄN</t>
        </is>
      </c>
      <c r="G220" t="inlineStr">
        <is>
          <t>KRISTIANSTAD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45498</v>
      </c>
      <c r="E221" s="1" t="n">
        <v>46291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45282</v>
      </c>
      <c r="E222" s="1" t="n">
        <v>46291</v>
      </c>
      <c r="F222" t="inlineStr">
        <is>
          <t>SKÅNE LÄN</t>
        </is>
      </c>
      <c r="G222" t="inlineStr">
        <is>
          <t>KRISTIANSTAD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46291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46291</v>
      </c>
      <c r="F224" t="inlineStr">
        <is>
          <t>SKÅNE LÄN</t>
        </is>
      </c>
      <c r="G224" t="inlineStr">
        <is>
          <t>KRISTIANSTAD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46291</v>
      </c>
      <c r="F225" t="inlineStr">
        <is>
          <t>SKÅNE LÄN</t>
        </is>
      </c>
      <c r="G225" t="inlineStr">
        <is>
          <t>KRISTIANSTAD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46291</v>
      </c>
      <c r="F226" t="inlineStr">
        <is>
          <t>SKÅNE LÄN</t>
        </is>
      </c>
      <c r="G226" t="inlineStr">
        <is>
          <t>KRISTIANSTAD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46291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46291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46291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46291</v>
      </c>
      <c r="F230" t="inlineStr">
        <is>
          <t>SKÅNE LÄN</t>
        </is>
      </c>
      <c r="G230" t="inlineStr">
        <is>
          <t>KRISTIANSTAD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46291</v>
      </c>
      <c r="F231" t="inlineStr">
        <is>
          <t>SKÅNE LÄN</t>
        </is>
      </c>
      <c r="G231" t="inlineStr">
        <is>
          <t>KRISTIANSTAD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46291</v>
      </c>
      <c r="F232" t="inlineStr">
        <is>
          <t>SKÅNE LÄN</t>
        </is>
      </c>
      <c r="G232" t="inlineStr">
        <is>
          <t>KRISTIANSTAD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46291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46031</v>
      </c>
      <c r="E234" s="1" t="n">
        <v>46291</v>
      </c>
      <c r="F234" t="inlineStr">
        <is>
          <t>SKÅNE LÄN</t>
        </is>
      </c>
      <c r="G234" t="inlineStr">
        <is>
          <t>KRISTIANSTAD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46291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46291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46291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45511</v>
      </c>
      <c r="E238" s="1" t="n">
        <v>46291</v>
      </c>
      <c r="F238" t="inlineStr">
        <is>
          <t>SKÅNE LÄN</t>
        </is>
      </c>
      <c r="G238" t="inlineStr">
        <is>
          <t>KRISTIANSTAD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46291</v>
      </c>
      <c r="F239" t="inlineStr">
        <is>
          <t>SKÅNE LÄN</t>
        </is>
      </c>
      <c r="G239" t="inlineStr">
        <is>
          <t>KRISTIANSTAD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46291</v>
      </c>
      <c r="F240" t="inlineStr">
        <is>
          <t>SKÅNE LÄN</t>
        </is>
      </c>
      <c r="G240" t="inlineStr">
        <is>
          <t>KRISTIANSTAD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46291</v>
      </c>
      <c r="F241" t="inlineStr">
        <is>
          <t>SKÅNE LÄN</t>
        </is>
      </c>
      <c r="G241" t="inlineStr">
        <is>
          <t>KRISTIANSTAD</t>
        </is>
      </c>
      <c r="I241" t="n">
        <v>12.8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46291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46291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46291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19.7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40500-2025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45896</v>
      </c>
      <c r="E245" s="1" t="n">
        <v>46291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46291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46291</v>
      </c>
      <c r="F247" t="inlineStr">
        <is>
          <t>SKÅNE LÄN</t>
        </is>
      </c>
      <c r="G247" t="inlineStr">
        <is>
          <t>KRISTIANSTAD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46291</v>
      </c>
      <c r="F248" t="inlineStr">
        <is>
          <t>SKÅNE LÄN</t>
        </is>
      </c>
      <c r="G248" t="inlineStr">
        <is>
          <t>KRISTIANSTAD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46291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46291</v>
      </c>
      <c r="F250" t="inlineStr">
        <is>
          <t>SKÅNE LÄN</t>
        </is>
      </c>
      <c r="G250" t="inlineStr">
        <is>
          <t>KRISTIANSTAD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46291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46291</v>
      </c>
      <c r="F252" t="inlineStr">
        <is>
          <t>SKÅNE LÄN</t>
        </is>
      </c>
      <c r="G252" t="inlineStr">
        <is>
          <t>KRISTIANSTAD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46291</v>
      </c>
      <c r="F253" t="inlineStr">
        <is>
          <t>SKÅNE LÄN</t>
        </is>
      </c>
      <c r="G253" t="inlineStr">
        <is>
          <t>KRISTIANSTAD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46291</v>
      </c>
      <c r="F254" t="inlineStr">
        <is>
          <t>SKÅNE LÄN</t>
        </is>
      </c>
      <c r="G254" t="inlineStr">
        <is>
          <t>KRISTIANSTAD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46291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46291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45737</v>
      </c>
      <c r="E257" s="1" t="n">
        <v>46291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46291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45900</v>
      </c>
      <c r="E259" s="1" t="n">
        <v>46291</v>
      </c>
      <c r="F259" t="inlineStr">
        <is>
          <t>SKÅNE LÄN</t>
        </is>
      </c>
      <c r="G259" t="inlineStr">
        <is>
          <t>KRISTIANSTAD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46291</v>
      </c>
      <c r="F260" t="inlineStr">
        <is>
          <t>SKÅNE LÄN</t>
        </is>
      </c>
      <c r="G260" t="inlineStr">
        <is>
          <t>KRISTIANSTAD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46291</v>
      </c>
      <c r="F261" t="inlineStr">
        <is>
          <t>SKÅNE LÄN</t>
        </is>
      </c>
      <c r="G261" t="inlineStr">
        <is>
          <t>KRISTIANSTAD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46291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46291</v>
      </c>
      <c r="F263" t="inlineStr">
        <is>
          <t>SKÅNE LÄN</t>
        </is>
      </c>
      <c r="G263" t="inlineStr">
        <is>
          <t>KRISTIANSTAD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46291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45900</v>
      </c>
      <c r="E265" s="1" t="n">
        <v>46291</v>
      </c>
      <c r="F265" t="inlineStr">
        <is>
          <t>SKÅNE LÄN</t>
        </is>
      </c>
      <c r="G265" t="inlineStr">
        <is>
          <t>KRISTIANSTAD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46291</v>
      </c>
      <c r="F266" t="inlineStr">
        <is>
          <t>SKÅNE LÄN</t>
        </is>
      </c>
      <c r="G266" t="inlineStr">
        <is>
          <t>KRISTIANSTAD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46291</v>
      </c>
      <c r="F267" t="inlineStr">
        <is>
          <t>SKÅNE LÄN</t>
        </is>
      </c>
      <c r="G267" t="inlineStr">
        <is>
          <t>KRISTIANSTAD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46291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46291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46291</v>
      </c>
      <c r="F270" t="inlineStr">
        <is>
          <t>SKÅNE LÄN</t>
        </is>
      </c>
      <c r="G270" t="inlineStr">
        <is>
          <t>KRISTIANSTAD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45648</v>
      </c>
      <c r="E271" s="1" t="n">
        <v>46291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46291</v>
      </c>
      <c r="F272" t="inlineStr">
        <is>
          <t>SKÅNE LÄN</t>
        </is>
      </c>
      <c r="G272" t="inlineStr">
        <is>
          <t>KRISTIANSTAD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46291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46291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46291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46291</v>
      </c>
      <c r="F276" t="inlineStr">
        <is>
          <t>SKÅNE LÄN</t>
        </is>
      </c>
      <c r="G276" t="inlineStr">
        <is>
          <t>KRISTIANSTAD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46291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46291</v>
      </c>
      <c r="F278" t="inlineStr">
        <is>
          <t>SKÅNE LÄN</t>
        </is>
      </c>
      <c r="G278" t="inlineStr">
        <is>
          <t>KRISTIANSTAD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44599</v>
      </c>
      <c r="E279" s="1" t="n">
        <v>46291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46291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46291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46291</v>
      </c>
      <c r="F282" t="inlineStr">
        <is>
          <t>SKÅNE LÄN</t>
        </is>
      </c>
      <c r="G282" t="inlineStr">
        <is>
          <t>KRISTIANSTAD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46291</v>
      </c>
      <c r="F283" t="inlineStr">
        <is>
          <t>SKÅNE LÄN</t>
        </is>
      </c>
      <c r="G283" t="inlineStr">
        <is>
          <t>KRISTIANSTAD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46291</v>
      </c>
      <c r="F284" t="inlineStr">
        <is>
          <t>SKÅNE LÄN</t>
        </is>
      </c>
      <c r="G284" t="inlineStr">
        <is>
          <t>KRISTIANSTAD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46291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46291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46291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44923</v>
      </c>
      <c r="E288" s="1" t="n">
        <v>46291</v>
      </c>
      <c r="F288" t="inlineStr">
        <is>
          <t>SKÅNE LÄN</t>
        </is>
      </c>
      <c r="G288" t="inlineStr">
        <is>
          <t>KRISTIANSTAD</t>
        </is>
      </c>
      <c r="I288" t="n">
        <v>12.6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46291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46291</v>
      </c>
      <c r="F290" t="inlineStr">
        <is>
          <t>SKÅNE LÄN</t>
        </is>
      </c>
      <c r="G290" t="inlineStr">
        <is>
          <t>KRISTIANSTAD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46291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46291</v>
      </c>
      <c r="F292" t="inlineStr">
        <is>
          <t>SKÅNE LÄN</t>
        </is>
      </c>
      <c r="G292" t="inlineStr">
        <is>
          <t>KRISTIANSTAD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46291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46291</v>
      </c>
      <c r="F294" t="inlineStr">
        <is>
          <t>SKÅNE LÄN</t>
        </is>
      </c>
      <c r="G294" t="inlineStr">
        <is>
          <t>KRISTIANSTAD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44894</v>
      </c>
      <c r="E295" s="1" t="n">
        <v>46291</v>
      </c>
      <c r="F295" t="inlineStr">
        <is>
          <t>SKÅNE LÄN</t>
        </is>
      </c>
      <c r="G295" t="inlineStr">
        <is>
          <t>KRISTIANSTAD</t>
        </is>
      </c>
      <c r="H295" t="inlineStr">
        <is>
          <t>Kyrkan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45042</v>
      </c>
      <c r="E296" s="1" t="n">
        <v>46291</v>
      </c>
      <c r="F296" t="inlineStr">
        <is>
          <t>SKÅNE LÄN</t>
        </is>
      </c>
      <c r="G296" t="inlineStr">
        <is>
          <t>KRISTIANSTAD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46291</v>
      </c>
      <c r="F297" t="inlineStr">
        <is>
          <t>SKÅNE LÄN</t>
        </is>
      </c>
      <c r="G297" t="inlineStr">
        <is>
          <t>KRISTIANSTAD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46291</v>
      </c>
      <c r="F298" t="inlineStr">
        <is>
          <t>SKÅNE LÄN</t>
        </is>
      </c>
      <c r="G298" t="inlineStr">
        <is>
          <t>KRISTIANSTAD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46291</v>
      </c>
      <c r="F299" t="inlineStr">
        <is>
          <t>SKÅNE LÄN</t>
        </is>
      </c>
      <c r="G299" t="inlineStr">
        <is>
          <t>KRISTIANSTAD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46291</v>
      </c>
      <c r="F300" t="inlineStr">
        <is>
          <t>SKÅNE LÄN</t>
        </is>
      </c>
      <c r="G300" t="inlineStr">
        <is>
          <t>KRISTIANSTAD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45396</v>
      </c>
      <c r="E301" s="1" t="n">
        <v>46291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46291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46291</v>
      </c>
      <c r="F303" t="inlineStr">
        <is>
          <t>SKÅNE LÄN</t>
        </is>
      </c>
      <c r="G303" t="inlineStr">
        <is>
          <t>KRISTIANSTAD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46291</v>
      </c>
      <c r="F304" t="inlineStr">
        <is>
          <t>SKÅNE LÄN</t>
        </is>
      </c>
      <c r="G304" t="inlineStr">
        <is>
          <t>KRISTIANSTAD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46291</v>
      </c>
      <c r="F305" t="inlineStr">
        <is>
          <t>SKÅNE LÄN</t>
        </is>
      </c>
      <c r="G305" t="inlineStr">
        <is>
          <t>KRISTIANSTAD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46291</v>
      </c>
      <c r="F306" t="inlineStr">
        <is>
          <t>SKÅNE LÄN</t>
        </is>
      </c>
      <c r="G306" t="inlineStr">
        <is>
          <t>KRISTIANSTAD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46291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46291</v>
      </c>
      <c r="F308" t="inlineStr">
        <is>
          <t>SKÅNE LÄN</t>
        </is>
      </c>
      <c r="G308" t="inlineStr">
        <is>
          <t>KRISTIANSTAD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43966-2025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45915</v>
      </c>
      <c r="E309" s="1" t="n">
        <v>46291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46291</v>
      </c>
      <c r="F310" t="inlineStr">
        <is>
          <t>SKÅNE LÄN</t>
        </is>
      </c>
      <c r="G310" t="inlineStr">
        <is>
          <t>KRISTIANSTAD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46291</v>
      </c>
      <c r="F311" t="inlineStr">
        <is>
          <t>SKÅNE LÄN</t>
        </is>
      </c>
      <c r="G311" t="inlineStr">
        <is>
          <t>KRISTIANSTAD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46291</v>
      </c>
      <c r="F312" t="inlineStr">
        <is>
          <t>SKÅNE LÄN</t>
        </is>
      </c>
      <c r="G312" t="inlineStr">
        <is>
          <t>KRISTIANSTAD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46291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46291</v>
      </c>
      <c r="F314" t="inlineStr">
        <is>
          <t>SKÅNE LÄN</t>
        </is>
      </c>
      <c r="G314" t="inlineStr">
        <is>
          <t>KRISTIANSTAD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46291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46291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46291</v>
      </c>
      <c r="F317" t="inlineStr">
        <is>
          <t>SKÅNE LÄN</t>
        </is>
      </c>
      <c r="G317" t="inlineStr">
        <is>
          <t>KRISTIANSTAD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46291</v>
      </c>
      <c r="F318" t="inlineStr">
        <is>
          <t>SKÅNE LÄN</t>
        </is>
      </c>
      <c r="G318" t="inlineStr">
        <is>
          <t>KRISTIANSTAD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46291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46291</v>
      </c>
      <c r="F320" t="inlineStr">
        <is>
          <t>SKÅNE LÄN</t>
        </is>
      </c>
      <c r="G320" t="inlineStr">
        <is>
          <t>KRISTIANSTAD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46095</v>
      </c>
      <c r="E321" s="1" t="n">
        <v>46291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46291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46291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44744</v>
      </c>
      <c r="E324" s="1" t="n">
        <v>46291</v>
      </c>
      <c r="F324" t="inlineStr">
        <is>
          <t>SKÅNE LÄN</t>
        </is>
      </c>
      <c r="G324" t="inlineStr">
        <is>
          <t>KRISTIANSTAD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45228</v>
      </c>
      <c r="E325" s="1" t="n">
        <v>46291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46291</v>
      </c>
      <c r="F326" t="inlineStr">
        <is>
          <t>SKÅNE LÄN</t>
        </is>
      </c>
      <c r="G326" t="inlineStr">
        <is>
          <t>KRISTIANSTAD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46291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46291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46291</v>
      </c>
      <c r="F329" t="inlineStr">
        <is>
          <t>SKÅNE LÄN</t>
        </is>
      </c>
      <c r="G329" t="inlineStr">
        <is>
          <t>KRISTIANSTAD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46291</v>
      </c>
      <c r="F330" t="inlineStr">
        <is>
          <t>SKÅNE LÄN</t>
        </is>
      </c>
      <c r="G330" t="inlineStr">
        <is>
          <t>KRISTIANSTAD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45398</v>
      </c>
      <c r="E331" s="1" t="n">
        <v>46291</v>
      </c>
      <c r="F331" t="inlineStr">
        <is>
          <t>SKÅNE LÄN</t>
        </is>
      </c>
      <c r="G331" t="inlineStr">
        <is>
          <t>KRISTIANSTAD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46291</v>
      </c>
      <c r="F332" t="inlineStr">
        <is>
          <t>SKÅNE LÄN</t>
        </is>
      </c>
      <c r="G332" t="inlineStr">
        <is>
          <t>KRISTIANSTAD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46291</v>
      </c>
      <c r="F333" t="inlineStr">
        <is>
          <t>SKÅNE LÄN</t>
        </is>
      </c>
      <c r="G333" t="inlineStr">
        <is>
          <t>KRISTIANSTAD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46291</v>
      </c>
      <c r="F334" t="inlineStr">
        <is>
          <t>SKÅNE LÄN</t>
        </is>
      </c>
      <c r="G334" t="inlineStr">
        <is>
          <t>KRISTIANSTAD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46291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46291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46291</v>
      </c>
      <c r="F337" t="inlineStr">
        <is>
          <t>SKÅNE LÄN</t>
        </is>
      </c>
      <c r="G337" t="inlineStr">
        <is>
          <t>KRISTIANSTAD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46291</v>
      </c>
      <c r="F338" t="inlineStr">
        <is>
          <t>SKÅNE LÄN</t>
        </is>
      </c>
      <c r="G338" t="inlineStr">
        <is>
          <t>KRISTIANSTAD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46291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46291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45712</v>
      </c>
      <c r="E341" s="1" t="n">
        <v>46291</v>
      </c>
      <c r="F341" t="inlineStr">
        <is>
          <t>SKÅNE LÄN</t>
        </is>
      </c>
      <c r="G341" t="inlineStr">
        <is>
          <t>KRISTIANSTAD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46291</v>
      </c>
      <c r="F342" t="inlineStr">
        <is>
          <t>SKÅNE LÄN</t>
        </is>
      </c>
      <c r="G342" t="inlineStr">
        <is>
          <t>KRISTIANSTAD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46291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44634</v>
      </c>
      <c r="E344" s="1" t="n">
        <v>46291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46291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46291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46291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46291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32717-2023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46291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46291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45112</v>
      </c>
      <c r="E351" s="1" t="n">
        <v>46291</v>
      </c>
      <c r="F351" t="inlineStr">
        <is>
          <t>SKÅNE LÄN</t>
        </is>
      </c>
      <c r="G351" t="inlineStr">
        <is>
          <t>KRISTIANSTAD</t>
        </is>
      </c>
      <c r="H351" t="inlineStr">
        <is>
          <t>Sveaskog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45577</v>
      </c>
      <c r="E352" s="1" t="n">
        <v>46291</v>
      </c>
      <c r="F352" t="inlineStr">
        <is>
          <t>SKÅNE LÄN</t>
        </is>
      </c>
      <c r="G352" t="inlineStr">
        <is>
          <t>KRISTIANSTAD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46120</v>
      </c>
      <c r="E353" s="1" t="n">
        <v>46291</v>
      </c>
      <c r="F353" t="inlineStr">
        <is>
          <t>SKÅNE LÄN</t>
        </is>
      </c>
      <c r="G353" t="inlineStr">
        <is>
          <t>KRISTIANSTAD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46120</v>
      </c>
      <c r="E354" s="1" t="n">
        <v>46291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46291</v>
      </c>
      <c r="F355" t="inlineStr">
        <is>
          <t>SKÅNE LÄN</t>
        </is>
      </c>
      <c r="G355" t="inlineStr">
        <is>
          <t>KRISTIANSTAD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45307</v>
      </c>
      <c r="E356" s="1" t="n">
        <v>46291</v>
      </c>
      <c r="F356" t="inlineStr">
        <is>
          <t>SKÅNE LÄN</t>
        </is>
      </c>
      <c r="G356" t="inlineStr">
        <is>
          <t>KRISTIANSTAD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46291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9.199999999999999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46291</v>
      </c>
      <c r="F358" t="inlineStr">
        <is>
          <t>SKÅNE LÄN</t>
        </is>
      </c>
      <c r="G358" t="inlineStr">
        <is>
          <t>KRISTIANSTAD</t>
        </is>
      </c>
      <c r="I358" t="n">
        <v>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46291</v>
      </c>
      <c r="F359" t="inlineStr">
        <is>
          <t>SKÅNE LÄN</t>
        </is>
      </c>
      <c r="G359" t="inlineStr">
        <is>
          <t>KRISTIANSTAD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44995</v>
      </c>
      <c r="E360" s="1" t="n">
        <v>46291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45079</v>
      </c>
      <c r="E361" s="1" t="n">
        <v>46291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46291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46291</v>
      </c>
      <c r="F363" t="inlineStr">
        <is>
          <t>SKÅNE LÄN</t>
        </is>
      </c>
      <c r="G363" t="inlineStr">
        <is>
          <t>KRISTIANSTAD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46291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46291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46291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46291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46291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46291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45144</v>
      </c>
      <c r="E370" s="1" t="n">
        <v>46291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46291</v>
      </c>
      <c r="F371" t="inlineStr">
        <is>
          <t>SKÅNE LÄN</t>
        </is>
      </c>
      <c r="G371" t="inlineStr">
        <is>
          <t>KRISTIANSTAD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44992</v>
      </c>
      <c r="E372" s="1" t="n">
        <v>46291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45275</v>
      </c>
      <c r="E373" s="1" t="n">
        <v>46291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46291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45420</v>
      </c>
      <c r="E375" s="1" t="n">
        <v>46291</v>
      </c>
      <c r="F375" t="inlineStr">
        <is>
          <t>SKÅNE LÄN</t>
        </is>
      </c>
      <c r="G375" t="inlineStr">
        <is>
          <t>KRISTIANSTAD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46291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46291</v>
      </c>
      <c r="F377" t="inlineStr">
        <is>
          <t>SKÅNE LÄN</t>
        </is>
      </c>
      <c r="G377" t="inlineStr">
        <is>
          <t>KRISTIANSTAD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46291</v>
      </c>
      <c r="F378" t="inlineStr">
        <is>
          <t>SKÅNE LÄN</t>
        </is>
      </c>
      <c r="G378" t="inlineStr">
        <is>
          <t>KRISTIANSTAD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45465</v>
      </c>
      <c r="E379" s="1" t="n">
        <v>46291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45014</v>
      </c>
      <c r="E380" s="1" t="n">
        <v>46291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46291</v>
      </c>
      <c r="F381" t="inlineStr">
        <is>
          <t>SKÅNE LÄN</t>
        </is>
      </c>
      <c r="G381" t="inlineStr">
        <is>
          <t>KRISTIANSTAD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46291</v>
      </c>
      <c r="F382" t="inlineStr">
        <is>
          <t>SKÅNE LÄN</t>
        </is>
      </c>
      <c r="G382" t="inlineStr">
        <is>
          <t>KRISTIANSTAD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45357</v>
      </c>
      <c r="E383" s="1" t="n">
        <v>46291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45668</v>
      </c>
      <c r="E384" s="1" t="n">
        <v>46291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45482</v>
      </c>
      <c r="E385" s="1" t="n">
        <v>46291</v>
      </c>
      <c r="F385" t="inlineStr">
        <is>
          <t>SKÅNE LÄN</t>
        </is>
      </c>
      <c r="G385" t="inlineStr">
        <is>
          <t>KRISTIANSTAD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45987</v>
      </c>
      <c r="E386" s="1" t="n">
        <v>46291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46291</v>
      </c>
      <c r="F387" t="inlineStr">
        <is>
          <t>SKÅNE LÄN</t>
        </is>
      </c>
      <c r="G387" t="inlineStr">
        <is>
          <t>KRISTIANSTAD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46291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46291</v>
      </c>
      <c r="F389" t="inlineStr">
        <is>
          <t>SKÅNE LÄN</t>
        </is>
      </c>
      <c r="G389" t="inlineStr">
        <is>
          <t>KRISTIANSTAD</t>
        </is>
      </c>
      <c r="H389" t="inlineStr">
        <is>
          <t>Kyrkan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46291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70705-2021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46291</v>
      </c>
      <c r="F391" t="inlineStr">
        <is>
          <t>SKÅNE LÄN</t>
        </is>
      </c>
      <c r="G391" t="inlineStr">
        <is>
          <t>KRISTIANSTAD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46291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46291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46291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46291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46291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46291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46291</v>
      </c>
      <c r="F398" t="inlineStr">
        <is>
          <t>SKÅNE LÄN</t>
        </is>
      </c>
      <c r="G398" t="inlineStr">
        <is>
          <t>KRISTIANSTAD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46291</v>
      </c>
      <c r="F399" t="inlineStr">
        <is>
          <t>SKÅNE LÄN</t>
        </is>
      </c>
      <c r="G399" t="inlineStr">
        <is>
          <t>KRISTIANSTAD</t>
        </is>
      </c>
      <c r="H399" t="inlineStr">
        <is>
          <t>Kyrkan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45707</v>
      </c>
      <c r="E400" s="1" t="n">
        <v>46291</v>
      </c>
      <c r="F400" t="inlineStr">
        <is>
          <t>SKÅNE LÄN</t>
        </is>
      </c>
      <c r="G400" t="inlineStr">
        <is>
          <t>KRISTIANSTAD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20302-2026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46136</v>
      </c>
      <c r="E401" s="1" t="n">
        <v>46291</v>
      </c>
      <c r="F401" t="inlineStr">
        <is>
          <t>SKÅNE LÄN</t>
        </is>
      </c>
      <c r="G401" t="inlineStr">
        <is>
          <t>KRISTIANSTAD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46291</v>
      </c>
      <c r="F402" t="inlineStr">
        <is>
          <t>SKÅNE LÄN</t>
        </is>
      </c>
      <c r="G402" t="inlineStr">
        <is>
          <t>KRISTIANSTAD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46291</v>
      </c>
      <c r="F403" t="inlineStr">
        <is>
          <t>SKÅNE LÄN</t>
        </is>
      </c>
      <c r="G403" t="inlineStr">
        <is>
          <t>KRISTIANSTAD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46291</v>
      </c>
      <c r="F404" t="inlineStr">
        <is>
          <t>SKÅNE LÄN</t>
        </is>
      </c>
      <c r="G404" t="inlineStr">
        <is>
          <t>KRISTIANSTAD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8455-2025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45709</v>
      </c>
      <c r="E405" s="1" t="n">
        <v>46291</v>
      </c>
      <c r="F405" t="inlineStr">
        <is>
          <t>SKÅNE LÄN</t>
        </is>
      </c>
      <c r="G405" t="inlineStr">
        <is>
          <t>KRISTIANSTAD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46291</v>
      </c>
      <c r="F406" t="inlineStr">
        <is>
          <t>SKÅNE LÄN</t>
        </is>
      </c>
      <c r="G406" t="inlineStr">
        <is>
          <t>KRISTIANSTAD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45461</v>
      </c>
      <c r="E407" s="1" t="n">
        <v>46291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46291</v>
      </c>
      <c r="F408" t="inlineStr">
        <is>
          <t>SKÅNE LÄN</t>
        </is>
      </c>
      <c r="G408" t="inlineStr">
        <is>
          <t>KRISTIANSTAD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46291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46291</v>
      </c>
      <c r="F410" t="inlineStr">
        <is>
          <t>SKÅNE LÄN</t>
        </is>
      </c>
      <c r="G410" t="inlineStr">
        <is>
          <t>KRISTIANSTAD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46291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45338</v>
      </c>
      <c r="E412" s="1" t="n">
        <v>46291</v>
      </c>
      <c r="F412" t="inlineStr">
        <is>
          <t>SKÅNE LÄN</t>
        </is>
      </c>
      <c r="G412" t="inlineStr">
        <is>
          <t>KRISTIANSTAD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25671-2023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45089</v>
      </c>
      <c r="E413" s="1" t="n">
        <v>46291</v>
      </c>
      <c r="F413" t="inlineStr">
        <is>
          <t>SKÅNE LÄN</t>
        </is>
      </c>
      <c r="G413" t="inlineStr">
        <is>
          <t>KRISTIANSTAD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44853</v>
      </c>
      <c r="E414" s="1" t="n">
        <v>46291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46291</v>
      </c>
      <c r="F415" t="inlineStr">
        <is>
          <t>SKÅNE LÄN</t>
        </is>
      </c>
      <c r="G415" t="inlineStr">
        <is>
          <t>KRISTIANSTAD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46291</v>
      </c>
      <c r="F416" t="inlineStr">
        <is>
          <t>SKÅNE LÄN</t>
        </is>
      </c>
      <c r="G416" t="inlineStr">
        <is>
          <t>KRISTIANSTAD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46291</v>
      </c>
      <c r="F417" t="inlineStr">
        <is>
          <t>SKÅNE LÄN</t>
        </is>
      </c>
      <c r="G417" t="inlineStr">
        <is>
          <t>KRISTIANSTAD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46291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46291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33984-2025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45843</v>
      </c>
      <c r="E420" s="1" t="n">
        <v>46291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46291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45738</v>
      </c>
      <c r="E422" s="1" t="n">
        <v>46291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45197</v>
      </c>
      <c r="E423" s="1" t="n">
        <v>46291</v>
      </c>
      <c r="F423" t="inlineStr">
        <is>
          <t>SKÅNE LÄN</t>
        </is>
      </c>
      <c r="G423" t="inlineStr">
        <is>
          <t>KRISTIANSTAD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20651-2026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46141</v>
      </c>
      <c r="E424" s="1" t="n">
        <v>46291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46291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46291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27590-2024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45474</v>
      </c>
      <c r="E427" s="1" t="n">
        <v>46291</v>
      </c>
      <c r="F427" t="inlineStr">
        <is>
          <t>SKÅNE LÄN</t>
        </is>
      </c>
      <c r="G427" t="inlineStr">
        <is>
          <t>KRISTIANSTAD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46291</v>
      </c>
      <c r="F428" t="inlineStr">
        <is>
          <t>SKÅNE LÄN</t>
        </is>
      </c>
      <c r="G428" t="inlineStr">
        <is>
          <t>KRISTIANSTAD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14441-2023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45012</v>
      </c>
      <c r="E429" s="1" t="n">
        <v>46291</v>
      </c>
      <c r="F429" t="inlineStr">
        <is>
          <t>SKÅNE LÄN</t>
        </is>
      </c>
      <c r="G429" t="inlineStr">
        <is>
          <t>KRISTIANSTAD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46291</v>
      </c>
      <c r="F430" t="inlineStr">
        <is>
          <t>SKÅNE LÄN</t>
        </is>
      </c>
      <c r="G430" t="inlineStr">
        <is>
          <t>KRISTIANSTAD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10988-2023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44991</v>
      </c>
      <c r="E431" s="1" t="n">
        <v>46291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46291</v>
      </c>
      <c r="F432" t="inlineStr">
        <is>
          <t>SKÅNE LÄN</t>
        </is>
      </c>
      <c r="G432" t="inlineStr">
        <is>
          <t>KRISTIANSTAD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45465</v>
      </c>
      <c r="E433" s="1" t="n">
        <v>46291</v>
      </c>
      <c r="F433" t="inlineStr">
        <is>
          <t>SKÅNE LÄN</t>
        </is>
      </c>
      <c r="G433" t="inlineStr">
        <is>
          <t>KRISTIANSTAD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46291</v>
      </c>
      <c r="F434" t="inlineStr">
        <is>
          <t>SKÅNE LÄN</t>
        </is>
      </c>
      <c r="G434" t="inlineStr">
        <is>
          <t>KRISTIANSTAD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46291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46291</v>
      </c>
      <c r="F436" t="inlineStr">
        <is>
          <t>SKÅNE LÄN</t>
        </is>
      </c>
      <c r="G436" t="inlineStr">
        <is>
          <t>KRISTIANSTAD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46291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46291</v>
      </c>
      <c r="F438" t="inlineStr">
        <is>
          <t>SKÅNE LÄN</t>
        </is>
      </c>
      <c r="G438" t="inlineStr">
        <is>
          <t>KRISTIANSTAD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46291</v>
      </c>
      <c r="F439" t="inlineStr">
        <is>
          <t>SKÅNE LÄN</t>
        </is>
      </c>
      <c r="G439" t="inlineStr">
        <is>
          <t>KRISTIANSTAD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45764-2022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46291</v>
      </c>
      <c r="F440" t="inlineStr">
        <is>
          <t>SKÅNE LÄN</t>
        </is>
      </c>
      <c r="G440" t="inlineStr">
        <is>
          <t>KRISTIANSTAD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45098</v>
      </c>
      <c r="E441" s="1" t="n">
        <v>46291</v>
      </c>
      <c r="F441" t="inlineStr">
        <is>
          <t>SKÅNE LÄN</t>
        </is>
      </c>
      <c r="G441" t="inlineStr">
        <is>
          <t>KRISTIANSTAD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46291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46291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46291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46291</v>
      </c>
      <c r="F445" t="inlineStr">
        <is>
          <t>SKÅNE LÄN</t>
        </is>
      </c>
      <c r="G445" t="inlineStr">
        <is>
          <t>KRISTIANSTAD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46291</v>
      </c>
      <c r="F446" t="inlineStr">
        <is>
          <t>SKÅNE LÄN</t>
        </is>
      </c>
      <c r="G446" t="inlineStr">
        <is>
          <t>KRISTIANSTAD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46291</v>
      </c>
      <c r="F447" t="inlineStr">
        <is>
          <t>SKÅNE LÄN</t>
        </is>
      </c>
      <c r="G447" t="inlineStr">
        <is>
          <t>KRISTIANSTAD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46291</v>
      </c>
      <c r="F448" t="inlineStr">
        <is>
          <t>SKÅNE LÄN</t>
        </is>
      </c>
      <c r="G448" t="inlineStr">
        <is>
          <t>KRISTIANSTAD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46291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46291</v>
      </c>
      <c r="F450" t="inlineStr">
        <is>
          <t>SKÅNE LÄN</t>
        </is>
      </c>
      <c r="G450" t="inlineStr">
        <is>
          <t>KRISTIANSTAD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45440</v>
      </c>
      <c r="E451" s="1" t="n">
        <v>46291</v>
      </c>
      <c r="F451" t="inlineStr">
        <is>
          <t>SKÅNE LÄN</t>
        </is>
      </c>
      <c r="G451" t="inlineStr">
        <is>
          <t>KRISTIANSTAD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45723</v>
      </c>
      <c r="E452" s="1" t="n">
        <v>46291</v>
      </c>
      <c r="F452" t="inlineStr">
        <is>
          <t>SKÅNE LÄN</t>
        </is>
      </c>
      <c r="G452" t="inlineStr">
        <is>
          <t>KRISTIANSTAD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46291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46291</v>
      </c>
      <c r="F454" t="inlineStr">
        <is>
          <t>SKÅNE LÄN</t>
        </is>
      </c>
      <c r="G454" t="inlineStr">
        <is>
          <t>KRISTIANSTAD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44579</v>
      </c>
      <c r="E455" s="1" t="n">
        <v>46291</v>
      </c>
      <c r="F455" t="inlineStr">
        <is>
          <t>SKÅNE LÄN</t>
        </is>
      </c>
      <c r="G455" t="inlineStr">
        <is>
          <t>KRISTIANSTAD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30601-2024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45493</v>
      </c>
      <c r="E456" s="1" t="n">
        <v>46291</v>
      </c>
      <c r="F456" t="inlineStr">
        <is>
          <t>SKÅNE LÄN</t>
        </is>
      </c>
      <c r="G456" t="inlineStr">
        <is>
          <t>KRISTIANSTAD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46291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45453</v>
      </c>
      <c r="E458" s="1" t="n">
        <v>46291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45738</v>
      </c>
      <c r="E459" s="1" t="n">
        <v>46291</v>
      </c>
      <c r="F459" t="inlineStr">
        <is>
          <t>SKÅNE LÄN</t>
        </is>
      </c>
      <c r="G459" t="inlineStr">
        <is>
          <t>KRISTIANSTAD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45738</v>
      </c>
      <c r="E460" s="1" t="n">
        <v>46291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46291</v>
      </c>
      <c r="F461" t="inlineStr">
        <is>
          <t>SKÅNE LÄN</t>
        </is>
      </c>
      <c r="G461" t="inlineStr">
        <is>
          <t>KRISTIANSTAD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45311</v>
      </c>
      <c r="E462" s="1" t="n">
        <v>46291</v>
      </c>
      <c r="F462" t="inlineStr">
        <is>
          <t>SKÅNE LÄN</t>
        </is>
      </c>
      <c r="G462" t="inlineStr">
        <is>
          <t>KRISTIANSTAD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45307</v>
      </c>
      <c r="E463" s="1" t="n">
        <v>46291</v>
      </c>
      <c r="F463" t="inlineStr">
        <is>
          <t>SKÅNE LÄN</t>
        </is>
      </c>
      <c r="G463" t="inlineStr">
        <is>
          <t>KRISTIANSTAD</t>
        </is>
      </c>
      <c r="H463" t="inlineStr">
        <is>
          <t>Övriga Aktiebolag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45761</v>
      </c>
      <c r="E464" s="1" t="n">
        <v>46291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45582</v>
      </c>
      <c r="E465" s="1" t="n">
        <v>46291</v>
      </c>
      <c r="F465" t="inlineStr">
        <is>
          <t>SKÅNE LÄN</t>
        </is>
      </c>
      <c r="G465" t="inlineStr">
        <is>
          <t>KRISTIANSTAD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46291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45446</v>
      </c>
      <c r="E467" s="1" t="n">
        <v>46291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46291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45898</v>
      </c>
      <c r="E469" s="1" t="n">
        <v>46291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45716</v>
      </c>
      <c r="E470" s="1" t="n">
        <v>46291</v>
      </c>
      <c r="F470" t="inlineStr">
        <is>
          <t>SKÅNE LÄN</t>
        </is>
      </c>
      <c r="G470" t="inlineStr">
        <is>
          <t>KRISTIANSTAD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46291</v>
      </c>
      <c r="F471" t="inlineStr">
        <is>
          <t>SKÅNE LÄN</t>
        </is>
      </c>
      <c r="G471" t="inlineStr">
        <is>
          <t>KRISTIANSTAD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46291</v>
      </c>
      <c r="F472" t="inlineStr">
        <is>
          <t>SKÅNE LÄN</t>
        </is>
      </c>
      <c r="G472" t="inlineStr">
        <is>
          <t>KRISTIANSTAD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45321</v>
      </c>
      <c r="E473" s="1" t="n">
        <v>46291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46291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45715</v>
      </c>
      <c r="E475" s="1" t="n">
        <v>46291</v>
      </c>
      <c r="F475" t="inlineStr">
        <is>
          <t>SKÅNE LÄN</t>
        </is>
      </c>
      <c r="G475" t="inlineStr">
        <is>
          <t>KRISTIANSTAD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46291</v>
      </c>
      <c r="F476" t="inlineStr">
        <is>
          <t>SKÅNE LÄN</t>
        </is>
      </c>
      <c r="G476" t="inlineStr">
        <is>
          <t>KRISTIANSTAD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46291</v>
      </c>
      <c r="F477" t="inlineStr">
        <is>
          <t>SKÅNE LÄN</t>
        </is>
      </c>
      <c r="G477" t="inlineStr">
        <is>
          <t>KRISTIANSTAD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46291</v>
      </c>
      <c r="F478" t="inlineStr">
        <is>
          <t>SKÅNE LÄN</t>
        </is>
      </c>
      <c r="G478" t="inlineStr">
        <is>
          <t>KRISTIANSTAD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46291</v>
      </c>
      <c r="F479" t="inlineStr">
        <is>
          <t>SKÅNE LÄN</t>
        </is>
      </c>
      <c r="G479" t="inlineStr">
        <is>
          <t>KRISTIANSTAD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46291</v>
      </c>
      <c r="F480" t="inlineStr">
        <is>
          <t>SKÅNE LÄN</t>
        </is>
      </c>
      <c r="G480" t="inlineStr">
        <is>
          <t>KRISTIANSTAD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45609</v>
      </c>
      <c r="E481" s="1" t="n">
        <v>46291</v>
      </c>
      <c r="F481" t="inlineStr">
        <is>
          <t>SKÅNE LÄN</t>
        </is>
      </c>
      <c r="G481" t="inlineStr">
        <is>
          <t>KRISTIANSTAD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46291</v>
      </c>
      <c r="F482" t="inlineStr">
        <is>
          <t>SKÅNE LÄN</t>
        </is>
      </c>
      <c r="G482" t="inlineStr">
        <is>
          <t>KRISTIANSTAD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46291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28161-2025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46291</v>
      </c>
      <c r="F484" t="inlineStr">
        <is>
          <t>SKÅNE LÄN</t>
        </is>
      </c>
      <c r="G484" t="inlineStr">
        <is>
          <t>KRISTIANSTAD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46291</v>
      </c>
      <c r="F485" t="inlineStr">
        <is>
          <t>SKÅNE LÄN</t>
        </is>
      </c>
      <c r="G485" t="inlineStr">
        <is>
          <t>KRISTIANSTAD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46291</v>
      </c>
      <c r="F486" t="inlineStr">
        <is>
          <t>SKÅNE LÄN</t>
        </is>
      </c>
      <c r="G486" t="inlineStr">
        <is>
          <t>KRISTIANSTAD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46291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45247</v>
      </c>
      <c r="E488" s="1" t="n">
        <v>46291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46291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45860</v>
      </c>
      <c r="E490" s="1" t="n">
        <v>46291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45882</v>
      </c>
      <c r="E491" s="1" t="n">
        <v>46291</v>
      </c>
      <c r="F491" t="inlineStr">
        <is>
          <t>SKÅNE LÄN</t>
        </is>
      </c>
      <c r="G491" t="inlineStr">
        <is>
          <t>KRISTIANSTAD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46291</v>
      </c>
      <c r="F492" t="inlineStr">
        <is>
          <t>SKÅNE LÄN</t>
        </is>
      </c>
      <c r="G492" t="inlineStr">
        <is>
          <t>KRISTIANSTAD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46291</v>
      </c>
      <c r="F493" t="inlineStr">
        <is>
          <t>SKÅNE LÄN</t>
        </is>
      </c>
      <c r="G493" t="inlineStr">
        <is>
          <t>KRISTIANSTAD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46291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46291</v>
      </c>
      <c r="F495" t="inlineStr">
        <is>
          <t>SKÅNE LÄN</t>
        </is>
      </c>
      <c r="G495" t="inlineStr">
        <is>
          <t>KRISTIANSTAD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50294-2024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46291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46291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13070-2023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45002</v>
      </c>
      <c r="E498" s="1" t="n">
        <v>46291</v>
      </c>
      <c r="F498" t="inlineStr">
        <is>
          <t>SKÅNE LÄN</t>
        </is>
      </c>
      <c r="G498" t="inlineStr">
        <is>
          <t>KRISTIANSTAD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46291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30457-2025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45827</v>
      </c>
      <c r="E500" s="1" t="n">
        <v>46291</v>
      </c>
      <c r="F500" t="inlineStr">
        <is>
          <t>SKÅNE LÄN</t>
        </is>
      </c>
      <c r="G500" t="inlineStr">
        <is>
          <t>KRISTIANSTAD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45326</v>
      </c>
      <c r="E501" s="1" t="n">
        <v>46291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46291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37983-2024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45544</v>
      </c>
      <c r="E503" s="1" t="n">
        <v>46291</v>
      </c>
      <c r="F503" t="inlineStr">
        <is>
          <t>SKÅNE LÄN</t>
        </is>
      </c>
      <c r="G503" t="inlineStr">
        <is>
          <t>KRISTIANSTAD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44824</v>
      </c>
      <c r="E504" s="1" t="n">
        <v>46291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45121</v>
      </c>
      <c r="E505" s="1" t="n">
        <v>46291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64626-2023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45281</v>
      </c>
      <c r="E506" s="1" t="n">
        <v>46291</v>
      </c>
      <c r="F506" t="inlineStr">
        <is>
          <t>SKÅNE LÄN</t>
        </is>
      </c>
      <c r="G506" t="inlineStr">
        <is>
          <t>KRISTIANSTAD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72100-2021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46291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46291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25565-2026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46291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45394</v>
      </c>
      <c r="E510" s="1" t="n">
        <v>46291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46291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46291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45577</v>
      </c>
      <c r="E513" s="1" t="n">
        <v>46291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46291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46291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26168-2026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46291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45180</v>
      </c>
      <c r="E517" s="1" t="n">
        <v>46291</v>
      </c>
      <c r="F517" t="inlineStr">
        <is>
          <t>SKÅNE LÄN</t>
        </is>
      </c>
      <c r="G517" t="inlineStr">
        <is>
          <t>KRISTIANSTAD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60380-2024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45643</v>
      </c>
      <c r="E518" s="1" t="n">
        <v>46291</v>
      </c>
      <c r="F518" t="inlineStr">
        <is>
          <t>SKÅNE LÄN</t>
        </is>
      </c>
      <c r="G518" t="inlineStr">
        <is>
          <t>KRISTIANSTAD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45149</v>
      </c>
      <c r="E519" s="1" t="n">
        <v>46291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46291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46291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46291</v>
      </c>
      <c r="F522" t="inlineStr">
        <is>
          <t>SKÅNE LÄN</t>
        </is>
      </c>
      <c r="G522" t="inlineStr">
        <is>
          <t>KRISTIANSTAD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45168</v>
      </c>
      <c r="E523" s="1" t="n">
        <v>46291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44587</v>
      </c>
      <c r="E524" s="1" t="n">
        <v>46291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46291</v>
      </c>
      <c r="F525" t="inlineStr">
        <is>
          <t>SKÅNE LÄN</t>
        </is>
      </c>
      <c r="G525" t="inlineStr">
        <is>
          <t>KRISTIANSTAD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46291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45902</v>
      </c>
      <c r="E527" s="1" t="n">
        <v>46291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46291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46291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46291</v>
      </c>
      <c r="F530" t="inlineStr">
        <is>
          <t>SKÅNE LÄN</t>
        </is>
      </c>
      <c r="G530" t="inlineStr">
        <is>
          <t>KRISTIANSTAD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46291</v>
      </c>
      <c r="F531" t="inlineStr">
        <is>
          <t>SKÅNE LÄN</t>
        </is>
      </c>
      <c r="G531" t="inlineStr">
        <is>
          <t>KRISTIANSTAD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46291</v>
      </c>
      <c r="F532" t="inlineStr">
        <is>
          <t>SKÅNE LÄN</t>
        </is>
      </c>
      <c r="G532" t="inlineStr">
        <is>
          <t>KRISTIANSTAD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45668</v>
      </c>
      <c r="E533" s="1" t="n">
        <v>46291</v>
      </c>
      <c r="F533" t="inlineStr">
        <is>
          <t>SKÅNE LÄN</t>
        </is>
      </c>
      <c r="G533" t="inlineStr">
        <is>
          <t>KRISTIANSTAD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45127</v>
      </c>
      <c r="E534" s="1" t="n">
        <v>46291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46291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45755</v>
      </c>
      <c r="E536" s="1" t="n">
        <v>46291</v>
      </c>
      <c r="F536" t="inlineStr">
        <is>
          <t>SKÅNE LÄN</t>
        </is>
      </c>
      <c r="G536" t="inlineStr">
        <is>
          <t>KRISTIANSTAD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46291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46291</v>
      </c>
      <c r="F538" t="inlineStr">
        <is>
          <t>SKÅNE LÄN</t>
        </is>
      </c>
      <c r="G538" t="inlineStr">
        <is>
          <t>KRISTIANSTAD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46291</v>
      </c>
      <c r="F539" t="inlineStr">
        <is>
          <t>SKÅNE LÄN</t>
        </is>
      </c>
      <c r="G539" t="inlineStr">
        <is>
          <t>KRISTIANSTAD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45729</v>
      </c>
      <c r="E540" s="1" t="n">
        <v>46291</v>
      </c>
      <c r="F540" t="inlineStr">
        <is>
          <t>SKÅNE LÄN</t>
        </is>
      </c>
      <c r="G540" t="inlineStr">
        <is>
          <t>KRISTIANSTAD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45712</v>
      </c>
      <c r="E541" s="1" t="n">
        <v>46291</v>
      </c>
      <c r="F541" t="inlineStr">
        <is>
          <t>SKÅNE LÄN</t>
        </is>
      </c>
      <c r="G541" t="inlineStr">
        <is>
          <t>KRISTIANSTAD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45586</v>
      </c>
      <c r="E542" s="1" t="n">
        <v>46291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45586</v>
      </c>
      <c r="E543" s="1" t="n">
        <v>46291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38021-2023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45159</v>
      </c>
      <c r="E544" s="1" t="n">
        <v>46291</v>
      </c>
      <c r="F544" t="inlineStr">
        <is>
          <t>SKÅNE LÄN</t>
        </is>
      </c>
      <c r="G544" t="inlineStr">
        <is>
          <t>KRISTIANSTAD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46291</v>
      </c>
      <c r="F545" t="inlineStr">
        <is>
          <t>SKÅNE LÄN</t>
        </is>
      </c>
      <c r="G545" t="inlineStr">
        <is>
          <t>KRISTIANSTAD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45338</v>
      </c>
      <c r="E546" s="1" t="n">
        <v>46291</v>
      </c>
      <c r="F546" t="inlineStr">
        <is>
          <t>SKÅNE LÄN</t>
        </is>
      </c>
      <c r="G546" t="inlineStr">
        <is>
          <t>KRISTIANSTAD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44627</v>
      </c>
      <c r="E547" s="1" t="n">
        <v>46291</v>
      </c>
      <c r="F547" t="inlineStr">
        <is>
          <t>SKÅNE LÄN</t>
        </is>
      </c>
      <c r="G547" t="inlineStr">
        <is>
          <t>KRISTIANSTAD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44363-2024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45573</v>
      </c>
      <c r="E548" s="1" t="n">
        <v>46291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46291</v>
      </c>
      <c r="F549" t="inlineStr">
        <is>
          <t>SKÅNE LÄN</t>
        </is>
      </c>
      <c r="G549" t="inlineStr">
        <is>
          <t>KRISTIANSTAD</t>
        </is>
      </c>
      <c r="I549" t="n">
        <v>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46291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45418</v>
      </c>
      <c r="E551" s="1" t="n">
        <v>46291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46291</v>
      </c>
      <c r="F552" t="inlineStr">
        <is>
          <t>SKÅNE LÄN</t>
        </is>
      </c>
      <c r="G552" t="inlineStr">
        <is>
          <t>KRISTIANSTAD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46291</v>
      </c>
      <c r="F553" t="inlineStr">
        <is>
          <t>SKÅNE LÄN</t>
        </is>
      </c>
      <c r="G553" t="inlineStr">
        <is>
          <t>KRISTIANSTAD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46291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19.8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46291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51898-2024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46291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46291</v>
      </c>
      <c r="F557" t="inlineStr">
        <is>
          <t>SKÅNE LÄN</t>
        </is>
      </c>
      <c r="G557" t="inlineStr">
        <is>
          <t>KRISTIANSTAD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46291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46291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40419-2024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45555</v>
      </c>
      <c r="E560" s="1" t="n">
        <v>46291</v>
      </c>
      <c r="F560" t="inlineStr">
        <is>
          <t>SKÅNE LÄN</t>
        </is>
      </c>
      <c r="G560" t="inlineStr">
        <is>
          <t>KRISTIANSTAD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44607</v>
      </c>
      <c r="E561" s="1" t="n">
        <v>46291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46291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45189</v>
      </c>
      <c r="E563" s="1" t="n">
        <v>46291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46291</v>
      </c>
      <c r="F564" t="inlineStr">
        <is>
          <t>SKÅNE LÄN</t>
        </is>
      </c>
      <c r="G564" t="inlineStr">
        <is>
          <t>KRISTIANSTAD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45165</v>
      </c>
      <c r="E565" s="1" t="n">
        <v>46291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46250</v>
      </c>
      <c r="E566" s="1" t="n">
        <v>46291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46291</v>
      </c>
      <c r="F567" t="inlineStr">
        <is>
          <t>SKÅNE LÄN</t>
        </is>
      </c>
      <c r="G567" t="inlineStr">
        <is>
          <t>KRISTIANSTAD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46291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46250</v>
      </c>
      <c r="E569" s="1" t="n">
        <v>46291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34293-2026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46291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46291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46291</v>
      </c>
      <c r="F572" t="inlineStr">
        <is>
          <t>SKÅNE LÄN</t>
        </is>
      </c>
      <c r="G572" t="inlineStr">
        <is>
          <t>KRISTIANSTAD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45665</v>
      </c>
      <c r="E573" s="1" t="n">
        <v>46291</v>
      </c>
      <c r="F573" t="inlineStr">
        <is>
          <t>SKÅNE LÄN</t>
        </is>
      </c>
      <c r="G573" t="inlineStr">
        <is>
          <t>KRISTIANSTAD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34291-2026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46291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34723-2023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45141</v>
      </c>
      <c r="E575" s="1" t="n">
        <v>46291</v>
      </c>
      <c r="F575" t="inlineStr">
        <is>
          <t>SKÅNE LÄN</t>
        </is>
      </c>
      <c r="G575" t="inlineStr">
        <is>
          <t>KRISTIANSTAD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45141</v>
      </c>
      <c r="E576" s="1" t="n">
        <v>46291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45083</v>
      </c>
      <c r="E577" s="1" t="n">
        <v>46291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10.5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46291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46291</v>
      </c>
      <c r="F579" t="inlineStr">
        <is>
          <t>SKÅNE LÄN</t>
        </is>
      </c>
      <c r="G579" t="inlineStr">
        <is>
          <t>KRISTIANSTAD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46291</v>
      </c>
      <c r="F580" t="inlineStr">
        <is>
          <t>SKÅNE LÄN</t>
        </is>
      </c>
      <c r="G580" t="inlineStr">
        <is>
          <t>KRISTIANSTAD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46291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46214</v>
      </c>
      <c r="E582" s="1" t="n">
        <v>46291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46291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46291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46291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44694</v>
      </c>
      <c r="E586" s="1" t="n">
        <v>46291</v>
      </c>
      <c r="F586" t="inlineStr">
        <is>
          <t>SKÅNE LÄN</t>
        </is>
      </c>
      <c r="G586" t="inlineStr">
        <is>
          <t>KRISTIANSTAD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46291</v>
      </c>
      <c r="F587" t="inlineStr">
        <is>
          <t>SKÅNE LÄN</t>
        </is>
      </c>
      <c r="G587" t="inlineStr">
        <is>
          <t>KRISTIANSTAD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33592-2023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45132</v>
      </c>
      <c r="E588" s="1" t="n">
        <v>46291</v>
      </c>
      <c r="F588" t="inlineStr">
        <is>
          <t>SKÅNE LÄN</t>
        </is>
      </c>
      <c r="G588" t="inlineStr">
        <is>
          <t>KRISTIANSTAD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46260</v>
      </c>
      <c r="E589" s="1" t="n">
        <v>46291</v>
      </c>
      <c r="F589" t="inlineStr">
        <is>
          <t>SKÅNE LÄN</t>
        </is>
      </c>
      <c r="G589" t="inlineStr">
        <is>
          <t>KRISTIANSTAD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45415</v>
      </c>
      <c r="E590" s="1" t="n">
        <v>46291</v>
      </c>
      <c r="F590" t="inlineStr">
        <is>
          <t>SKÅNE LÄN</t>
        </is>
      </c>
      <c r="G590" t="inlineStr">
        <is>
          <t>KRISTIANSTAD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31219-2026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46217</v>
      </c>
      <c r="E591" s="1" t="n">
        <v>46291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46291</v>
      </c>
      <c r="F592" t="inlineStr">
        <is>
          <t>SKÅNE LÄN</t>
        </is>
      </c>
      <c r="G592" t="inlineStr">
        <is>
          <t>KRISTIANSTAD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46256</v>
      </c>
      <c r="E593" s="1" t="n">
        <v>46291</v>
      </c>
      <c r="F593" t="inlineStr">
        <is>
          <t>SKÅNE LÄN</t>
        </is>
      </c>
      <c r="G593" t="inlineStr">
        <is>
          <t>KRISTIANSTAD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6597-2025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45700</v>
      </c>
      <c r="E594" s="1" t="n">
        <v>46291</v>
      </c>
      <c r="F594" t="inlineStr">
        <is>
          <t>SKÅNE LÄN</t>
        </is>
      </c>
      <c r="G594" t="inlineStr">
        <is>
          <t>KRISTIANSTAD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14524-2022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44655</v>
      </c>
      <c r="E595" s="1" t="n">
        <v>46291</v>
      </c>
      <c r="F595" t="inlineStr">
        <is>
          <t>SKÅNE LÄN</t>
        </is>
      </c>
      <c r="G595" t="inlineStr">
        <is>
          <t>KRISTIANSTAD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46291</v>
      </c>
      <c r="F596" t="inlineStr">
        <is>
          <t>SKÅNE LÄN</t>
        </is>
      </c>
      <c r="G596" t="inlineStr">
        <is>
          <t>KRISTIANSTAD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31292-2026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46218</v>
      </c>
      <c r="E597" s="1" t="n">
        <v>46291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45387</v>
      </c>
      <c r="E598" s="1" t="n">
        <v>46291</v>
      </c>
      <c r="F598" t="inlineStr">
        <is>
          <t>SKÅNE LÄN</t>
        </is>
      </c>
      <c r="G598" t="inlineStr">
        <is>
          <t>KRISTIANSTAD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44339-2023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45188</v>
      </c>
      <c r="E599" s="1" t="n">
        <v>46291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46291</v>
      </c>
      <c r="F600" t="inlineStr">
        <is>
          <t>SKÅNE LÄN</t>
        </is>
      </c>
      <c r="G600" t="inlineStr">
        <is>
          <t>KRISTIANSTAD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46291</v>
      </c>
      <c r="F601" t="inlineStr">
        <is>
          <t>SKÅNE LÄN</t>
        </is>
      </c>
      <c r="G601" t="inlineStr">
        <is>
          <t>KRISTIANSTAD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45244</v>
      </c>
      <c r="E602" s="1" t="n">
        <v>46291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46291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46291</v>
      </c>
      <c r="F604" t="inlineStr">
        <is>
          <t>SKÅNE LÄN</t>
        </is>
      </c>
      <c r="G604" t="inlineStr">
        <is>
          <t>KRISTIANSTAD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46291</v>
      </c>
      <c r="F605" t="inlineStr">
        <is>
          <t>SKÅNE LÄN</t>
        </is>
      </c>
      <c r="G605" t="inlineStr">
        <is>
          <t>KRISTIANSTAD</t>
        </is>
      </c>
      <c r="I605" t="n">
        <v>17.1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45173</v>
      </c>
      <c r="E606" s="1" t="n">
        <v>46291</v>
      </c>
      <c r="F606" t="inlineStr">
        <is>
          <t>SKÅNE LÄN</t>
        </is>
      </c>
      <c r="G606" t="inlineStr">
        <is>
          <t>KRISTIANSTAD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45300</v>
      </c>
      <c r="E607" s="1" t="n">
        <v>46291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46291</v>
      </c>
      <c r="F608" t="inlineStr">
        <is>
          <t>SKÅNE LÄN</t>
        </is>
      </c>
      <c r="G608" t="inlineStr">
        <is>
          <t>KRISTIANSTAD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45315</v>
      </c>
      <c r="E609" s="1" t="n">
        <v>46291</v>
      </c>
      <c r="F609" t="inlineStr">
        <is>
          <t>SKÅNE LÄN</t>
        </is>
      </c>
      <c r="G609" t="inlineStr">
        <is>
          <t>KRISTIANSTAD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45315</v>
      </c>
      <c r="E610" s="1" t="n">
        <v>46291</v>
      </c>
      <c r="F610" t="inlineStr">
        <is>
          <t>SKÅNE LÄN</t>
        </is>
      </c>
      <c r="G610" t="inlineStr">
        <is>
          <t>KRISTIANSTAD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46291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45328</v>
      </c>
      <c r="E612" s="1" t="n">
        <v>46291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44817</v>
      </c>
      <c r="E613" s="1" t="n">
        <v>46291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45338</v>
      </c>
      <c r="E614" s="1" t="n">
        <v>46291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46291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45343</v>
      </c>
      <c r="E616" s="1" t="n">
        <v>46291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46271</v>
      </c>
      <c r="E617" s="1" t="n">
        <v>46291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46271</v>
      </c>
      <c r="E618" s="1" t="n">
        <v>46291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48693-2022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44855</v>
      </c>
      <c r="E619" s="1" t="n">
        <v>46291</v>
      </c>
      <c r="F619" t="inlineStr">
        <is>
          <t>SKÅNE LÄN</t>
        </is>
      </c>
      <c r="G619" t="inlineStr">
        <is>
          <t>KRISTIANSTAD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46291</v>
      </c>
      <c r="F620" t="inlineStr">
        <is>
          <t>SKÅNE LÄN</t>
        </is>
      </c>
      <c r="G620" t="inlineStr">
        <is>
          <t>KRISTIANSTAD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8876-2024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46291</v>
      </c>
      <c r="F621" t="inlineStr">
        <is>
          <t>SKÅNE LÄN</t>
        </is>
      </c>
      <c r="G621" t="inlineStr">
        <is>
          <t>KRISTIANSTAD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46291</v>
      </c>
      <c r="F622" t="inlineStr">
        <is>
          <t>SKÅNE LÄN</t>
        </is>
      </c>
      <c r="G622" t="inlineStr">
        <is>
          <t>KRISTIANSTAD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36833-2026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46272</v>
      </c>
      <c r="E623" s="1" t="n">
        <v>46291</v>
      </c>
      <c r="F623" t="inlineStr">
        <is>
          <t>SKÅNE LÄN</t>
        </is>
      </c>
      <c r="G623" t="inlineStr">
        <is>
          <t>KRISTIANSTAD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46291</v>
      </c>
      <c r="F624" t="inlineStr">
        <is>
          <t>SKÅNE LÄN</t>
        </is>
      </c>
      <c r="G624" t="inlineStr">
        <is>
          <t>KRISTIANSTAD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46273</v>
      </c>
      <c r="E625" s="1" t="n">
        <v>46291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44961</v>
      </c>
      <c r="E626" s="1" t="n">
        <v>46291</v>
      </c>
      <c r="F626" t="inlineStr">
        <is>
          <t>SKÅNE LÄN</t>
        </is>
      </c>
      <c r="G626" t="inlineStr">
        <is>
          <t>KRISTIANSTAD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59625-2022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44907</v>
      </c>
      <c r="E627" s="1" t="n">
        <v>46291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44595</v>
      </c>
      <c r="E628" s="1" t="n">
        <v>46291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61198-2021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44497</v>
      </c>
      <c r="E629" s="1" t="n">
        <v>46291</v>
      </c>
      <c r="F629" t="inlineStr">
        <is>
          <t>SKÅNE LÄN</t>
        </is>
      </c>
      <c r="G629" t="inlineStr">
        <is>
          <t>KRISTIANSTAD</t>
        </is>
      </c>
      <c r="I629" t="n">
        <v>13.8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62350-2023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45267</v>
      </c>
      <c r="E630" s="1" t="n">
        <v>46291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46291</v>
      </c>
      <c r="F631" t="inlineStr">
        <is>
          <t>SKÅNE LÄN</t>
        </is>
      </c>
      <c r="G631" t="inlineStr">
        <is>
          <t>KRISTIANSTAD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64844-2023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45282</v>
      </c>
      <c r="E632" s="1" t="n">
        <v>46291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46291</v>
      </c>
      <c r="F633" t="inlineStr">
        <is>
          <t>SKÅNE LÄN</t>
        </is>
      </c>
      <c r="G633" t="inlineStr">
        <is>
          <t>KRISTIANSTAD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46276</v>
      </c>
      <c r="E634" s="1" t="n">
        <v>46291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46291</v>
      </c>
      <c r="F635" t="inlineStr">
        <is>
          <t>SKÅNE LÄN</t>
        </is>
      </c>
      <c r="G635" t="inlineStr">
        <is>
          <t>KRISTIANSTAD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46276</v>
      </c>
      <c r="E636" s="1" t="n">
        <v>46291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61550-2023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45265</v>
      </c>
      <c r="E637" s="1" t="n">
        <v>46291</v>
      </c>
      <c r="F637" t="inlineStr">
        <is>
          <t>SKÅNE LÄN</t>
        </is>
      </c>
      <c r="G637" t="inlineStr">
        <is>
          <t>KRISTIANSTAD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37571-2026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46276</v>
      </c>
      <c r="E638" s="1" t="n">
        <v>46291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37525-2026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46276</v>
      </c>
      <c r="E639" s="1" t="n">
        <v>46291</v>
      </c>
      <c r="F639" t="inlineStr">
        <is>
          <t>SKÅNE LÄN</t>
        </is>
      </c>
      <c r="G639" t="inlineStr">
        <is>
          <t>KRISTIANSTAD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54458-2023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45226</v>
      </c>
      <c r="E640" s="1" t="n">
        <v>46291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32263-2026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46291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45405</v>
      </c>
      <c r="E642" s="1" t="n">
        <v>46291</v>
      </c>
      <c r="F642" t="inlineStr">
        <is>
          <t>SKÅNE LÄN</t>
        </is>
      </c>
      <c r="G642" t="inlineStr">
        <is>
          <t>KRISTIANSTAD</t>
        </is>
      </c>
      <c r="I642" t="n">
        <v>12.2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46291</v>
      </c>
      <c r="F643" t="inlineStr">
        <is>
          <t>SKÅNE LÄN</t>
        </is>
      </c>
      <c r="G643" t="inlineStr">
        <is>
          <t>KRISTIANSTAD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38072-2026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46280</v>
      </c>
      <c r="E644" s="1" t="n">
        <v>46291</v>
      </c>
      <c r="F644" t="inlineStr">
        <is>
          <t>SKÅNE LÄN</t>
        </is>
      </c>
      <c r="G644" t="inlineStr">
        <is>
          <t>KRISTIANSTAD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46515-2022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44847</v>
      </c>
      <c r="E645" s="1" t="n">
        <v>46291</v>
      </c>
      <c r="F645" t="inlineStr">
        <is>
          <t>SKÅNE LÄN</t>
        </is>
      </c>
      <c r="G645" t="inlineStr">
        <is>
          <t>KRISTIANSTAD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46291</v>
      </c>
      <c r="F646" t="inlineStr">
        <is>
          <t>SKÅNE LÄN</t>
        </is>
      </c>
      <c r="G646" t="inlineStr">
        <is>
          <t>KRISTIANSTAD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45348-2023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45191</v>
      </c>
      <c r="E647" s="1" t="n">
        <v>46291</v>
      </c>
      <c r="F647" t="inlineStr">
        <is>
          <t>SKÅNE LÄN</t>
        </is>
      </c>
      <c r="G647" t="inlineStr">
        <is>
          <t>KRISTIANSTAD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61878-2024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45652</v>
      </c>
      <c r="E648" s="1" t="n">
        <v>46291</v>
      </c>
      <c r="F648" t="inlineStr">
        <is>
          <t>SKÅNE LÄN</t>
        </is>
      </c>
      <c r="G648" t="inlineStr">
        <is>
          <t>KRISTIANSTAD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65097-2021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44513</v>
      </c>
      <c r="E649" s="1" t="n">
        <v>46291</v>
      </c>
      <c r="F649" t="inlineStr">
        <is>
          <t>SKÅNE LÄN</t>
        </is>
      </c>
      <c r="G649" t="inlineStr">
        <is>
          <t>KRISTIANSTAD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46284</v>
      </c>
      <c r="E650" s="1" t="n">
        <v>46291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45274</v>
      </c>
      <c r="E651" s="1" t="n">
        <v>46291</v>
      </c>
      <c r="F651" t="inlineStr">
        <is>
          <t>SKÅNE LÄN</t>
        </is>
      </c>
      <c r="G651" t="inlineStr">
        <is>
          <t>KRISTIANSTAD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39230-2026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46291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46291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42916-2024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46291</v>
      </c>
      <c r="F654" t="inlineStr">
        <is>
          <t>SKÅNE LÄN</t>
        </is>
      </c>
      <c r="G654" t="inlineStr">
        <is>
          <t>KRISTIANSTAD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39417-2026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46288</v>
      </c>
      <c r="E655" s="1" t="n">
        <v>46291</v>
      </c>
      <c r="F655" t="inlineStr">
        <is>
          <t>SKÅNE LÄN</t>
        </is>
      </c>
      <c r="G655" t="inlineStr">
        <is>
          <t>KRISTIANSTAD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44972</v>
      </c>
      <c r="E656" s="1" t="n">
        <v>46291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46271</v>
      </c>
      <c r="E657" s="1" t="n">
        <v>46291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44601</v>
      </c>
      <c r="E658" s="1" t="n">
        <v>46291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46291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44998</v>
      </c>
      <c r="E660" s="1" t="n">
        <v>46291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46291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46291</v>
      </c>
      <c r="F662" t="inlineStr">
        <is>
          <t>SKÅNE LÄN</t>
        </is>
      </c>
      <c r="G662" t="inlineStr">
        <is>
          <t>KRISTIANSTAD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46291</v>
      </c>
      <c r="F663" t="inlineStr">
        <is>
          <t>SKÅNE LÄN</t>
        </is>
      </c>
      <c r="G663" t="inlineStr">
        <is>
          <t>KRISTIANSTAD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46291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45072</v>
      </c>
      <c r="E665" s="1" t="n">
        <v>46291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27402-2026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46189</v>
      </c>
      <c r="E666" s="1" t="n">
        <v>46291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47652-2023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45198</v>
      </c>
      <c r="E667" s="1" t="n">
        <v>46291</v>
      </c>
      <c r="F667" t="inlineStr">
        <is>
          <t>SKÅNE LÄN</t>
        </is>
      </c>
      <c r="G667" t="inlineStr">
        <is>
          <t>KRISTIANSTAD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55954-2023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45233</v>
      </c>
      <c r="E668" s="1" t="n">
        <v>46291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55959-2023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46291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45331</v>
      </c>
      <c r="E670" s="1" t="n">
        <v>46291</v>
      </c>
      <c r="F670" t="inlineStr">
        <is>
          <t>SKÅNE LÄN</t>
        </is>
      </c>
      <c r="G670" t="inlineStr">
        <is>
          <t>KRISTIANSTAD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7043-2024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45343</v>
      </c>
      <c r="E671" s="1" t="n">
        <v>46291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46291</v>
      </c>
      <c r="F672" t="inlineStr">
        <is>
          <t>SKÅNE LÄN</t>
        </is>
      </c>
      <c r="G672" t="inlineStr">
        <is>
          <t>KRISTIANSTAD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27979-2024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45476</v>
      </c>
      <c r="E673" s="1" t="n">
        <v>46291</v>
      </c>
      <c r="F673" t="inlineStr">
        <is>
          <t>SKÅNE LÄN</t>
        </is>
      </c>
      <c r="G673" t="inlineStr">
        <is>
          <t>KRISTIANSTAD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39558-2026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46289</v>
      </c>
      <c r="E674" s="1" t="n">
        <v>46291</v>
      </c>
      <c r="F674" t="inlineStr">
        <is>
          <t>SKÅNE LÄN</t>
        </is>
      </c>
      <c r="G674" t="inlineStr">
        <is>
          <t>KRISTIANSTAD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49239-2022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44858</v>
      </c>
      <c r="E675" s="1" t="n">
        <v>46291</v>
      </c>
      <c r="F675" t="inlineStr">
        <is>
          <t>SKÅNE LÄN</t>
        </is>
      </c>
      <c r="G675" t="inlineStr">
        <is>
          <t>KRISTIANSTAD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1228-2022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44572</v>
      </c>
      <c r="E676" s="1" t="n">
        <v>46291</v>
      </c>
      <c r="F676" t="inlineStr">
        <is>
          <t>SKÅNE LÄN</t>
        </is>
      </c>
      <c r="G676" t="inlineStr">
        <is>
          <t>KRISTIANSTAD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46291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39743-2026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46291</v>
      </c>
      <c r="F678" t="inlineStr">
        <is>
          <t>SKÅNE LÄN</t>
        </is>
      </c>
      <c r="G678" t="inlineStr">
        <is>
          <t>KRISTIANSTAD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44743</v>
      </c>
      <c r="E679" s="1" t="n">
        <v>46291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44767</v>
      </c>
      <c r="E680" s="1" t="n">
        <v>46291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53299-2023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45229</v>
      </c>
      <c r="E681" s="1" t="n">
        <v>46291</v>
      </c>
      <c r="F681" t="inlineStr">
        <is>
          <t>SKÅNE LÄN</t>
        </is>
      </c>
      <c r="G681" t="inlineStr">
        <is>
          <t>KRISTIANSTAD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53466-2022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44879</v>
      </c>
      <c r="E682" s="1" t="n">
        <v>46291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9794-2023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44984</v>
      </c>
      <c r="E683" s="1" t="n">
        <v>46291</v>
      </c>
      <c r="F683" t="inlineStr">
        <is>
          <t>SKÅNE LÄN</t>
        </is>
      </c>
      <c r="G683" t="inlineStr">
        <is>
          <t>KRISTIANSTAD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59302-2023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45253</v>
      </c>
      <c r="E684" s="1" t="n">
        <v>46291</v>
      </c>
      <c r="F684" t="inlineStr">
        <is>
          <t>SKÅNE LÄN</t>
        </is>
      </c>
      <c r="G684" t="inlineStr">
        <is>
          <t>KRISTIANSTAD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62156-2022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46291</v>
      </c>
      <c r="F685" t="inlineStr">
        <is>
          <t>SKÅNE LÄN</t>
        </is>
      </c>
      <c r="G685" t="inlineStr">
        <is>
          <t>KRISTIANSTAD</t>
        </is>
      </c>
      <c r="H685" t="inlineStr">
        <is>
          <t>Kyrkan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25764-2024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45465</v>
      </c>
      <c r="E686" s="1" t="n">
        <v>46291</v>
      </c>
      <c r="F686" t="inlineStr">
        <is>
          <t>SKÅNE LÄN</t>
        </is>
      </c>
      <c r="G686" t="inlineStr">
        <is>
          <t>KRISTIANSTAD</t>
        </is>
      </c>
      <c r="I686" t="n">
        <v>9.800000000000001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45496</v>
      </c>
      <c r="E687" s="1" t="n">
        <v>46291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52064-2024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45608</v>
      </c>
      <c r="E688" s="1" t="n">
        <v>46291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18735-2024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45426</v>
      </c>
      <c r="E689" s="1" t="n">
        <v>46291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26827-2024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46291</v>
      </c>
      <c r="F690" t="inlineStr">
        <is>
          <t>SKÅNE LÄN</t>
        </is>
      </c>
      <c r="G690" t="inlineStr">
        <is>
          <t>KRISTIANSTAD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53982-2022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44876</v>
      </c>
      <c r="E691" s="1" t="n">
        <v>46291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44684</v>
      </c>
      <c r="E692" s="1" t="n">
        <v>46291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11067-2022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44628</v>
      </c>
      <c r="E693" s="1" t="n">
        <v>46291</v>
      </c>
      <c r="F693" t="inlineStr">
        <is>
          <t>SKÅNE LÄN</t>
        </is>
      </c>
      <c r="G693" t="inlineStr">
        <is>
          <t>KRISTIANSTAD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46291</v>
      </c>
      <c r="F694" t="inlineStr">
        <is>
          <t>SKÅNE LÄN</t>
        </is>
      </c>
      <c r="G694" t="inlineStr">
        <is>
          <t>KRISTIANSTAD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45664</v>
      </c>
      <c r="E695" s="1" t="n">
        <v>46291</v>
      </c>
      <c r="F695" t="inlineStr">
        <is>
          <t>SKÅNE LÄN</t>
        </is>
      </c>
      <c r="G695" t="inlineStr">
        <is>
          <t>KRISTIANSTAD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44923</v>
      </c>
      <c r="E696" s="1" t="n">
        <v>46291</v>
      </c>
      <c r="F696" t="inlineStr">
        <is>
          <t>SKÅNE LÄN</t>
        </is>
      </c>
      <c r="G696" t="inlineStr">
        <is>
          <t>KRISTIANSTAD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46291</v>
      </c>
      <c r="F697" t="inlineStr">
        <is>
          <t>SKÅNE LÄN</t>
        </is>
      </c>
      <c r="G697" t="inlineStr">
        <is>
          <t>KRISTIANSTAD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10971-2023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44991</v>
      </c>
      <c r="E698" s="1" t="n">
        <v>46291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13431-2022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44645</v>
      </c>
      <c r="E699" s="1" t="n">
        <v>46291</v>
      </c>
      <c r="F699" t="inlineStr">
        <is>
          <t>SKÅNE LÄN</t>
        </is>
      </c>
      <c r="G699" t="inlineStr">
        <is>
          <t>KRISTIANSTAD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46291</v>
      </c>
      <c r="F700" t="inlineStr">
        <is>
          <t>SKÅNE LÄN</t>
        </is>
      </c>
      <c r="G700" t="inlineStr">
        <is>
          <t>KRISTIANSTAD</t>
        </is>
      </c>
      <c r="H700" t="inlineStr">
        <is>
          <t>Övriga Aktiebolag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24947-2023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45085</v>
      </c>
      <c r="E701" s="1" t="n">
        <v>46291</v>
      </c>
      <c r="F701" t="inlineStr">
        <is>
          <t>SKÅNE LÄN</t>
        </is>
      </c>
      <c r="G701" t="inlineStr">
        <is>
          <t>KRISTIANSTAD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46291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46291</v>
      </c>
      <c r="F703" t="inlineStr">
        <is>
          <t>SKÅNE LÄN</t>
        </is>
      </c>
      <c r="G703" t="inlineStr">
        <is>
          <t>KRISTIANSTAD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45370</v>
      </c>
      <c r="E704" s="1" t="n">
        <v>46291</v>
      </c>
      <c r="F704" t="inlineStr">
        <is>
          <t>SKÅNE LÄN</t>
        </is>
      </c>
      <c r="G704" t="inlineStr">
        <is>
          <t>KRISTIANSTAD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46291</v>
      </c>
      <c r="F705" t="inlineStr">
        <is>
          <t>SKÅNE LÄN</t>
        </is>
      </c>
      <c r="G705" t="inlineStr">
        <is>
          <t>KRISTIANSTAD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35026-2023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45144</v>
      </c>
      <c r="E706" s="1" t="n">
        <v>46291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45532</v>
      </c>
      <c r="E707" s="1" t="n">
        <v>46291</v>
      </c>
      <c r="F707" t="inlineStr">
        <is>
          <t>SKÅNE LÄN</t>
        </is>
      </c>
      <c r="G707" t="inlineStr">
        <is>
          <t>KRISTIANSTAD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33752-2024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46291</v>
      </c>
      <c r="F708" t="inlineStr">
        <is>
          <t>SKÅNE LÄN</t>
        </is>
      </c>
      <c r="G708" t="inlineStr">
        <is>
          <t>KRISTIANSTAD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44945</v>
      </c>
      <c r="E709" s="1" t="n">
        <v>46291</v>
      </c>
      <c r="F709" t="inlineStr">
        <is>
          <t>SKÅNE LÄN</t>
        </is>
      </c>
      <c r="G709" t="inlineStr">
        <is>
          <t>KRISTIANSTAD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5939-2023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44963</v>
      </c>
      <c r="E710" s="1" t="n">
        <v>46291</v>
      </c>
      <c r="F710" t="inlineStr">
        <is>
          <t>SKÅNE LÄN</t>
        </is>
      </c>
      <c r="G710" t="inlineStr">
        <is>
          <t>KRISTIANSTAD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45526</v>
      </c>
      <c r="E711" s="1" t="n">
        <v>46291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45247</v>
      </c>
      <c r="E712" s="1" t="n">
        <v>46291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60460-2023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45258</v>
      </c>
      <c r="E713" s="1" t="n">
        <v>46291</v>
      </c>
      <c r="F713" t="inlineStr">
        <is>
          <t>SKÅNE LÄN</t>
        </is>
      </c>
      <c r="G713" t="inlineStr">
        <is>
          <t>KRISTIANSTAD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31525-2023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45116</v>
      </c>
      <c r="E714" s="1" t="n">
        <v>46291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46095-2023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45190</v>
      </c>
      <c r="E715" s="1" t="n">
        <v>46291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10748-2023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44984</v>
      </c>
      <c r="E716" s="1" t="n">
        <v>46291</v>
      </c>
      <c r="F716" t="inlineStr">
        <is>
          <t>SKÅNE LÄN</t>
        </is>
      </c>
      <c r="G716" t="inlineStr">
        <is>
          <t>KRISTIANSTAD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46291</v>
      </c>
      <c r="F717" t="inlineStr">
        <is>
          <t>SKÅNE LÄN</t>
        </is>
      </c>
      <c r="G717" t="inlineStr">
        <is>
          <t>KRISTIANSTAD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32714-2023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45121</v>
      </c>
      <c r="E718" s="1" t="n">
        <v>46291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45506</v>
      </c>
      <c r="E719" s="1" t="n">
        <v>46291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46291</v>
      </c>
      <c r="F720" t="inlineStr">
        <is>
          <t>SKÅNE LÄN</t>
        </is>
      </c>
      <c r="G720" t="inlineStr">
        <is>
          <t>KRISTIANSTAD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46291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45019</v>
      </c>
      <c r="E722" s="1" t="n">
        <v>46291</v>
      </c>
      <c r="F722" t="inlineStr">
        <is>
          <t>SKÅNE LÄN</t>
        </is>
      </c>
      <c r="G722" t="inlineStr">
        <is>
          <t>KRISTIANSTAD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11272-2023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44992</v>
      </c>
      <c r="E723" s="1" t="n">
        <v>46291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44933</v>
      </c>
      <c r="E724" s="1" t="n">
        <v>46291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46291</v>
      </c>
      <c r="F725" t="inlineStr">
        <is>
          <t>SKÅNE LÄN</t>
        </is>
      </c>
      <c r="G725" t="inlineStr">
        <is>
          <t>KRISTIANSTAD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36160-2023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46291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45002</v>
      </c>
      <c r="E727" s="1" t="n">
        <v>46291</v>
      </c>
      <c r="F727" t="inlineStr">
        <is>
          <t>SKÅNE LÄN</t>
        </is>
      </c>
      <c r="G727" t="inlineStr">
        <is>
          <t>KRISTIANSTAD</t>
        </is>
      </c>
      <c r="H727" t="inlineStr">
        <is>
          <t>Kyrkan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61701-2024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45648</v>
      </c>
      <c r="E728" s="1" t="n">
        <v>46291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45307</v>
      </c>
      <c r="E729" s="1" t="n">
        <v>46291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45467</v>
      </c>
      <c r="E730" s="1" t="n">
        <v>46291</v>
      </c>
      <c r="F730" t="inlineStr">
        <is>
          <t>SKÅNE LÄN</t>
        </is>
      </c>
      <c r="G730" t="inlineStr">
        <is>
          <t>KRISTIANSTAD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44774</v>
      </c>
      <c r="E731" s="1" t="n">
        <v>46291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50516-2022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44866</v>
      </c>
      <c r="E732" s="1" t="n">
        <v>46291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45334</v>
      </c>
      <c r="E733" s="1" t="n">
        <v>46291</v>
      </c>
      <c r="F733" t="inlineStr">
        <is>
          <t>SKÅNE LÄN</t>
        </is>
      </c>
      <c r="G733" t="inlineStr">
        <is>
          <t>KRISTIANSTAD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46291</v>
      </c>
      <c r="F734" t="inlineStr">
        <is>
          <t>SKÅNE LÄN</t>
        </is>
      </c>
      <c r="G734" t="inlineStr">
        <is>
          <t>KRISTIANSTAD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13954-2025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46291</v>
      </c>
      <c r="F735" t="inlineStr">
        <is>
          <t>SKÅNE LÄN</t>
        </is>
      </c>
      <c r="G735" t="inlineStr">
        <is>
          <t>KRISTIANSTAD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28442-2024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45477</v>
      </c>
      <c r="E736" s="1" t="n">
        <v>46291</v>
      </c>
      <c r="F736" t="inlineStr">
        <is>
          <t>SKÅNE LÄN</t>
        </is>
      </c>
      <c r="G736" t="inlineStr">
        <is>
          <t>KRISTIANSTAD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13952-2025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45737</v>
      </c>
      <c r="E737" s="1" t="n">
        <v>46291</v>
      </c>
      <c r="F737" t="inlineStr">
        <is>
          <t>SKÅNE LÄN</t>
        </is>
      </c>
      <c r="G737" t="inlineStr">
        <is>
          <t>KRISTIANSTAD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45738</v>
      </c>
      <c r="E738" s="1" t="n">
        <v>46291</v>
      </c>
      <c r="F738" t="inlineStr">
        <is>
          <t>SKÅNE LÄN</t>
        </is>
      </c>
      <c r="G738" t="inlineStr">
        <is>
          <t>KRISTIANSTAD</t>
        </is>
      </c>
      <c r="I738" t="n">
        <v>11.3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12615-2023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45000</v>
      </c>
      <c r="E739" s="1" t="n">
        <v>46291</v>
      </c>
      <c r="F739" t="inlineStr">
        <is>
          <t>SKÅNE LÄN</t>
        </is>
      </c>
      <c r="G739" t="inlineStr">
        <is>
          <t>KRISTIANSTAD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60997-2024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46291</v>
      </c>
      <c r="F740" t="inlineStr">
        <is>
          <t>SKÅNE LÄN</t>
        </is>
      </c>
      <c r="G740" t="inlineStr">
        <is>
          <t>KRISTIANSTAD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40145-2024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46291</v>
      </c>
      <c r="F741" t="inlineStr">
        <is>
          <t>SKÅNE LÄN</t>
        </is>
      </c>
      <c r="G741" t="inlineStr">
        <is>
          <t>KRISTIANSTAD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45343</v>
      </c>
      <c r="E742" s="1" t="n">
        <v>46291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45490</v>
      </c>
      <c r="E743" s="1" t="n">
        <v>46291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40300-2024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45554</v>
      </c>
      <c r="E744" s="1" t="n">
        <v>46291</v>
      </c>
      <c r="F744" t="inlineStr">
        <is>
          <t>SKÅNE LÄN</t>
        </is>
      </c>
      <c r="G744" t="inlineStr">
        <is>
          <t>KRISTIANSTAD</t>
        </is>
      </c>
      <c r="I744" t="n">
        <v>12.6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13263-2024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46291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33988-2023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45134</v>
      </c>
      <c r="E746" s="1" t="n">
        <v>46291</v>
      </c>
      <c r="F746" t="inlineStr">
        <is>
          <t>SKÅNE LÄN</t>
        </is>
      </c>
      <c r="G746" t="inlineStr">
        <is>
          <t>KRISTIANSTAD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32156-2023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45106</v>
      </c>
      <c r="E747" s="1" t="n">
        <v>46291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46291</v>
      </c>
      <c r="F748" t="inlineStr">
        <is>
          <t>SKÅNE LÄN</t>
        </is>
      </c>
      <c r="G748" t="inlineStr">
        <is>
          <t>KRISTIANSTAD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46291</v>
      </c>
      <c r="F749" t="inlineStr">
        <is>
          <t>SKÅNE LÄN</t>
        </is>
      </c>
      <c r="G749" t="inlineStr">
        <is>
          <t>KRISTIANSTAD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46291</v>
      </c>
      <c r="F750" t="inlineStr">
        <is>
          <t>SKÅNE LÄN</t>
        </is>
      </c>
      <c r="G750" t="inlineStr">
        <is>
          <t>KRISTIANSTAD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10062-2024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45364</v>
      </c>
      <c r="E751" s="1" t="n">
        <v>46291</v>
      </c>
      <c r="F751" t="inlineStr">
        <is>
          <t>SKÅNE LÄN</t>
        </is>
      </c>
      <c r="G751" t="inlineStr">
        <is>
          <t>KRISTIANSTAD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45646</v>
      </c>
      <c r="E752" s="1" t="n">
        <v>46291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20714-2025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46291</v>
      </c>
      <c r="F753" t="inlineStr">
        <is>
          <t>SKÅNE LÄN</t>
        </is>
      </c>
      <c r="G753" t="inlineStr">
        <is>
          <t>KRISTIANSTAD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45443</v>
      </c>
      <c r="E754" s="1" t="n">
        <v>46291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61137-2021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44497</v>
      </c>
      <c r="E755" s="1" t="n">
        <v>46291</v>
      </c>
      <c r="F755" t="inlineStr">
        <is>
          <t>SKÅNE LÄN</t>
        </is>
      </c>
      <c r="G755" t="inlineStr">
        <is>
          <t>KRISTIANSTAD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45217</v>
      </c>
      <c r="E756" s="1" t="n">
        <v>46291</v>
      </c>
      <c r="F756" t="inlineStr">
        <is>
          <t>SKÅNE LÄN</t>
        </is>
      </c>
      <c r="G756" t="inlineStr">
        <is>
          <t>KRISTIANSTAD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9002-2024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45357</v>
      </c>
      <c r="E757" s="1" t="n">
        <v>46291</v>
      </c>
      <c r="F757" t="inlineStr">
        <is>
          <t>SKÅNE LÄN</t>
        </is>
      </c>
      <c r="G757" t="inlineStr">
        <is>
          <t>KRISTIANSTAD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45233</v>
      </c>
      <c r="E758" s="1" t="n">
        <v>46291</v>
      </c>
      <c r="F758" t="inlineStr">
        <is>
          <t>SKÅNE LÄN</t>
        </is>
      </c>
      <c r="G758" t="inlineStr">
        <is>
          <t>KRISTIANSTAD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17270-2024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45414</v>
      </c>
      <c r="E759" s="1" t="n">
        <v>46291</v>
      </c>
      <c r="F759" t="inlineStr">
        <is>
          <t>SKÅNE LÄN</t>
        </is>
      </c>
      <c r="G759" t="inlineStr">
        <is>
          <t>KRISTIANSTAD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45370</v>
      </c>
      <c r="E760" s="1" t="n">
        <v>46291</v>
      </c>
      <c r="F760" t="inlineStr">
        <is>
          <t>SKÅNE LÄN</t>
        </is>
      </c>
      <c r="G760" t="inlineStr">
        <is>
          <t>KRISTIANSTAD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44538-2024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45574</v>
      </c>
      <c r="E761" s="1" t="n">
        <v>46291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45700</v>
      </c>
      <c r="E762" s="1" t="n">
        <v>46291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51248-2024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46291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43321-2023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45183</v>
      </c>
      <c r="E764" s="1" t="n">
        <v>46291</v>
      </c>
      <c r="F764" t="inlineStr">
        <is>
          <t>SKÅNE LÄN</t>
        </is>
      </c>
      <c r="G764" t="inlineStr">
        <is>
          <t>KRISTIANSTAD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32990-2024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45517</v>
      </c>
      <c r="E765" s="1" t="n">
        <v>46291</v>
      </c>
      <c r="F765" t="inlineStr">
        <is>
          <t>SKÅNE LÄN</t>
        </is>
      </c>
      <c r="G765" t="inlineStr">
        <is>
          <t>KRISTIANSTAD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3004-2022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44713</v>
      </c>
      <c r="E766" s="1" t="n">
        <v>46291</v>
      </c>
      <c r="F766" t="inlineStr">
        <is>
          <t>SKÅNE LÄN</t>
        </is>
      </c>
      <c r="G766" t="inlineStr">
        <is>
          <t>KRISTIANSTAD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46291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46291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46291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46291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46291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4910-2022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44809</v>
      </c>
      <c r="E772" s="1" t="n">
        <v>46291</v>
      </c>
      <c r="F772" t="inlineStr">
        <is>
          <t>SKÅNE LÄN</t>
        </is>
      </c>
      <c r="G772" t="inlineStr">
        <is>
          <t>KRISTIANSTAD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45440</v>
      </c>
      <c r="E773" s="1" t="n">
        <v>46291</v>
      </c>
      <c r="F773" t="inlineStr">
        <is>
          <t>SKÅNE LÄN</t>
        </is>
      </c>
      <c r="G773" t="inlineStr">
        <is>
          <t>KRISTIANSTAD</t>
        </is>
      </c>
      <c r="I773" t="n">
        <v>29.3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46291</v>
      </c>
      <c r="F774" t="inlineStr">
        <is>
          <t>SKÅNE LÄN</t>
        </is>
      </c>
      <c r="G774" t="inlineStr">
        <is>
          <t>KRISTIANSTAD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46291</v>
      </c>
      <c r="F775" t="inlineStr">
        <is>
          <t>SKÅNE LÄN</t>
        </is>
      </c>
      <c r="G775" t="inlineStr">
        <is>
          <t>KRISTIANSTAD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2906-2024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45503</v>
      </c>
      <c r="E776" s="1" t="n">
        <v>46291</v>
      </c>
      <c r="F776" t="inlineStr">
        <is>
          <t>SKÅNE LÄN</t>
        </is>
      </c>
      <c r="G776" t="inlineStr">
        <is>
          <t>KRISTIANSTAD</t>
        </is>
      </c>
      <c r="I776" t="n">
        <v>16.5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45659</v>
      </c>
      <c r="E777" s="1" t="n">
        <v>46291</v>
      </c>
      <c r="F777" t="inlineStr">
        <is>
          <t>SKÅNE LÄN</t>
        </is>
      </c>
      <c r="G777" t="inlineStr">
        <is>
          <t>KRISTIANSTAD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4403-2022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44784</v>
      </c>
      <c r="E778" s="1" t="n">
        <v>46291</v>
      </c>
      <c r="F778" t="inlineStr">
        <is>
          <t>SKÅNE LÄN</t>
        </is>
      </c>
      <c r="G778" t="inlineStr">
        <is>
          <t>KRISTIANSTAD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5665-2022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44841</v>
      </c>
      <c r="E779" s="1" t="n">
        <v>46291</v>
      </c>
      <c r="F779" t="inlineStr">
        <is>
          <t>SKÅNE LÄN</t>
        </is>
      </c>
      <c r="G779" t="inlineStr">
        <is>
          <t>KRISTIANSTAD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1076-2023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45012</v>
      </c>
      <c r="E780" s="1" t="n">
        <v>46291</v>
      </c>
      <c r="F780" t="inlineStr">
        <is>
          <t>SKÅNE LÄN</t>
        </is>
      </c>
      <c r="G780" t="inlineStr">
        <is>
          <t>KRISTIANSTAD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46291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46291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46291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46291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46291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46291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46291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46291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46291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46291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46291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46291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46291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46291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46291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46291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46291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2026-09-26T02:06:35Z</dcterms:created>
  <dcterms:modified xmlns:dcterms="http://purl.org/dc/terms/" xmlns:xsi="http://www.w3.org/2001/XMLSchema-instance" xsi:type="dcterms:W3CDTF">2026-09-26T02:06:36Z</dcterms:modified>
</cp:coreProperties>
</file>