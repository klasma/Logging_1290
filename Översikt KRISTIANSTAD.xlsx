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45674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45674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45674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45674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45674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45674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45674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45674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45674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45674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45674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45674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45674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45674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45674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45674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45674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45674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45674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45674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45674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45674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45674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45674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45674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45674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33733-2020</t>
        </is>
      </c>
      <c r="B42" s="1" t="n">
        <v>44022</v>
      </c>
      <c r="C42" s="1" t="n">
        <v>45674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33733-2020 artfynd.xlsx", "A 33733-2020")</f>
        <v/>
      </c>
      <c r="T42">
        <f>HYPERLINK("https://klasma.github.io/Logging_1290/kartor/A 33733-2020 karta.png", "A 33733-2020")</f>
        <v/>
      </c>
      <c r="V42">
        <f>HYPERLINK("https://klasma.github.io/Logging_1290/klagomål/A 33733-2020 FSC-klagomål.docx", "A 33733-2020")</f>
        <v/>
      </c>
      <c r="W42">
        <f>HYPERLINK("https://klasma.github.io/Logging_1290/klagomålsmail/A 33733-2020 FSC-klagomål mail.docx", "A 33733-2020")</f>
        <v/>
      </c>
      <c r="X42">
        <f>HYPERLINK("https://klasma.github.io/Logging_1290/tillsyn/A 33733-2020 tillsynsbegäran.docx", "A 33733-2020")</f>
        <v/>
      </c>
      <c r="Y42">
        <f>HYPERLINK("https://klasma.github.io/Logging_1290/tillsynsmail/A 33733-2020 tillsynsbegäran mail.docx", "A 33733-2020")</f>
        <v/>
      </c>
    </row>
    <row r="43" ht="15" customHeight="1">
      <c r="A43" t="inlineStr">
        <is>
          <t>A 42615-2020</t>
        </is>
      </c>
      <c r="B43" s="1" t="n">
        <v>44076</v>
      </c>
      <c r="C43" s="1" t="n">
        <v>45674</v>
      </c>
      <c r="D43" t="inlineStr">
        <is>
          <t>SKÅNE LÄN</t>
        </is>
      </c>
      <c r="E43" t="inlineStr">
        <is>
          <t>KRISTIANSTAD</t>
        </is>
      </c>
      <c r="G43" t="n">
        <v>7.5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Lamellsnäcka</t>
        </is>
      </c>
      <c r="S43">
        <f>HYPERLINK("https://klasma.github.io/Logging_1290/artfynd/A 42615-2020 artfynd.xlsx", "A 42615-2020")</f>
        <v/>
      </c>
      <c r="T43">
        <f>HYPERLINK("https://klasma.github.io/Logging_1290/kartor/A 42615-2020 karta.png", "A 42615-2020")</f>
        <v/>
      </c>
      <c r="V43">
        <f>HYPERLINK("https://klasma.github.io/Logging_1290/klagomål/A 42615-2020 FSC-klagomål.docx", "A 42615-2020")</f>
        <v/>
      </c>
      <c r="W43">
        <f>HYPERLINK("https://klasma.github.io/Logging_1290/klagomålsmail/A 42615-2020 FSC-klagomål mail.docx", "A 42615-2020")</f>
        <v/>
      </c>
      <c r="X43">
        <f>HYPERLINK("https://klasma.github.io/Logging_1290/tillsyn/A 42615-2020 tillsynsbegäran.docx", "A 42615-2020")</f>
        <v/>
      </c>
      <c r="Y43">
        <f>HYPERLINK("https://klasma.github.io/Logging_1290/tillsynsmail/A 42615-2020 tillsynsbegäran mail.docx", "A 42615-2020")</f>
        <v/>
      </c>
    </row>
    <row r="44" ht="15" customHeight="1">
      <c r="A44" t="inlineStr">
        <is>
          <t>A 21568-2021</t>
        </is>
      </c>
      <c r="B44" s="1" t="n">
        <v>44314</v>
      </c>
      <c r="C44" s="1" t="n">
        <v>45674</v>
      </c>
      <c r="D44" t="inlineStr">
        <is>
          <t>SKÅNE LÄN</t>
        </is>
      </c>
      <c r="E44" t="inlineStr">
        <is>
          <t>KRISTIANSTAD</t>
        </is>
      </c>
      <c r="G44" t="n">
        <v>18.4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21568-2021 artfynd.xlsx", "A 21568-2021")</f>
        <v/>
      </c>
      <c r="T44">
        <f>HYPERLINK("https://klasma.github.io/Logging_1290/kartor/A 21568-2021 karta.png", "A 21568-2021")</f>
        <v/>
      </c>
      <c r="V44">
        <f>HYPERLINK("https://klasma.github.io/Logging_1290/klagomål/A 21568-2021 FSC-klagomål.docx", "A 21568-2021")</f>
        <v/>
      </c>
      <c r="W44">
        <f>HYPERLINK("https://klasma.github.io/Logging_1290/klagomålsmail/A 21568-2021 FSC-klagomål mail.docx", "A 21568-2021")</f>
        <v/>
      </c>
      <c r="X44">
        <f>HYPERLINK("https://klasma.github.io/Logging_1290/tillsyn/A 21568-2021 tillsynsbegäran.docx", "A 21568-2021")</f>
        <v/>
      </c>
      <c r="Y44">
        <f>HYPERLINK("https://klasma.github.io/Logging_1290/tillsynsmail/A 21568-2021 tillsynsbegäran mail.docx", "A 21568-2021")</f>
        <v/>
      </c>
    </row>
    <row r="45" ht="15" customHeight="1">
      <c r="A45" t="inlineStr">
        <is>
          <t>A 22549-2021</t>
        </is>
      </c>
      <c r="B45" s="1" t="n">
        <v>44327</v>
      </c>
      <c r="C45" s="1" t="n">
        <v>45674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Lövgroda</t>
        </is>
      </c>
      <c r="S45">
        <f>HYPERLINK("https://klasma.github.io/Logging_1290/artfynd/A 22549-2021 artfynd.xlsx", "A 22549-2021")</f>
        <v/>
      </c>
      <c r="T45">
        <f>HYPERLINK("https://klasma.github.io/Logging_1290/kartor/A 22549-2021 karta.png", "A 22549-2021")</f>
        <v/>
      </c>
      <c r="V45">
        <f>HYPERLINK("https://klasma.github.io/Logging_1290/klagomål/A 22549-2021 FSC-klagomål.docx", "A 22549-2021")</f>
        <v/>
      </c>
      <c r="W45">
        <f>HYPERLINK("https://klasma.github.io/Logging_1290/klagomålsmail/A 22549-2021 FSC-klagomål mail.docx", "A 22549-2021")</f>
        <v/>
      </c>
      <c r="X45">
        <f>HYPERLINK("https://klasma.github.io/Logging_1290/tillsyn/A 22549-2021 tillsynsbegäran.docx", "A 22549-2021")</f>
        <v/>
      </c>
      <c r="Y45">
        <f>HYPERLINK("https://klasma.github.io/Logging_1290/tillsynsmail/A 22549-2021 tillsynsbegäran mail.docx", "A 22549-2021")</f>
        <v/>
      </c>
    </row>
    <row r="46" ht="15" customHeight="1">
      <c r="A46" t="inlineStr">
        <is>
          <t>A 22965-2021</t>
        </is>
      </c>
      <c r="B46" s="1" t="n">
        <v>44328</v>
      </c>
      <c r="C46" s="1" t="n">
        <v>45674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HYPERLINK("https://klasma.github.io/Logging_1290/artfynd/A 22965-2021 artfynd.xlsx", "A 22965-2021")</f>
        <v/>
      </c>
      <c r="T46">
        <f>HYPERLINK("https://klasma.github.io/Logging_1290/kartor/A 22965-2021 karta.png", "A 22965-2021")</f>
        <v/>
      </c>
      <c r="V46">
        <f>HYPERLINK("https://klasma.github.io/Logging_1290/klagomål/A 22965-2021 FSC-klagomål.docx", "A 22965-2021")</f>
        <v/>
      </c>
      <c r="W46">
        <f>HYPERLINK("https://klasma.github.io/Logging_1290/klagomålsmail/A 22965-2021 FSC-klagomål mail.docx", "A 22965-2021")</f>
        <v/>
      </c>
      <c r="X46">
        <f>HYPERLINK("https://klasma.github.io/Logging_1290/tillsyn/A 22965-2021 tillsynsbegäran.docx", "A 22965-2021")</f>
        <v/>
      </c>
      <c r="Y46">
        <f>HYPERLINK("https://klasma.github.io/Logging_1290/tillsynsmail/A 22965-2021 tillsynsbegäran mail.docx", "A 22965-2021")</f>
        <v/>
      </c>
      <c r="Z46">
        <f>HYPERLINK("https://klasma.github.io/Logging_1290/fåglar/A 22965-2021 prioriterade fågelarter.docx", "A 22965-2021")</f>
        <v/>
      </c>
    </row>
    <row r="47" ht="15" customHeight="1">
      <c r="A47" t="inlineStr">
        <is>
          <t>A 11750-2022</t>
        </is>
      </c>
      <c r="B47" s="1" t="n">
        <v>44634</v>
      </c>
      <c r="C47" s="1" t="n">
        <v>45674</v>
      </c>
      <c r="D47" t="inlineStr">
        <is>
          <t>SKÅNE LÄN</t>
        </is>
      </c>
      <c r="E47" t="inlineStr">
        <is>
          <t>KRISTIANSTAD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Sanddådra</t>
        </is>
      </c>
      <c r="S47">
        <f>HYPERLINK("https://klasma.github.io/Logging_1290/artfynd/A 11750-2022 artfynd.xlsx", "A 11750-2022")</f>
        <v/>
      </c>
      <c r="T47">
        <f>HYPERLINK("https://klasma.github.io/Logging_1290/kartor/A 11750-2022 karta.png", "A 11750-2022")</f>
        <v/>
      </c>
      <c r="V47">
        <f>HYPERLINK("https://klasma.github.io/Logging_1290/klagomål/A 11750-2022 FSC-klagomål.docx", "A 11750-2022")</f>
        <v/>
      </c>
      <c r="W47">
        <f>HYPERLINK("https://klasma.github.io/Logging_1290/klagomålsmail/A 11750-2022 FSC-klagomål mail.docx", "A 11750-2022")</f>
        <v/>
      </c>
      <c r="X47">
        <f>HYPERLINK("https://klasma.github.io/Logging_1290/tillsyn/A 11750-2022 tillsynsbegäran.docx", "A 11750-2022")</f>
        <v/>
      </c>
      <c r="Y47">
        <f>HYPERLINK("https://klasma.github.io/Logging_1290/tillsynsmail/A 11750-2022 tillsynsbegäran mail.docx", "A 11750-2022")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45674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45674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41275-2022</t>
        </is>
      </c>
      <c r="B50" s="1" t="n">
        <v>44826</v>
      </c>
      <c r="C50" s="1" t="n">
        <v>45674</v>
      </c>
      <c r="D50" t="inlineStr">
        <is>
          <t>SKÅNE LÄN</t>
        </is>
      </c>
      <c r="E50" t="inlineStr">
        <is>
          <t>KRISTIANSTAD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Praktnejlika</t>
        </is>
      </c>
      <c r="S50">
        <f>HYPERLINK("https://klasma.github.io/Logging_1290/artfynd/A 41275-2022 artfynd.xlsx", "A 41275-2022")</f>
        <v/>
      </c>
      <c r="T50">
        <f>HYPERLINK("https://klasma.github.io/Logging_1290/kartor/A 41275-2022 karta.png", "A 41275-2022")</f>
        <v/>
      </c>
      <c r="V50">
        <f>HYPERLINK("https://klasma.github.io/Logging_1290/klagomål/A 41275-2022 FSC-klagomål.docx", "A 41275-2022")</f>
        <v/>
      </c>
      <c r="W50">
        <f>HYPERLINK("https://klasma.github.io/Logging_1290/klagomålsmail/A 41275-2022 FSC-klagomål mail.docx", "A 41275-2022")</f>
        <v/>
      </c>
      <c r="X50">
        <f>HYPERLINK("https://klasma.github.io/Logging_1290/tillsyn/A 41275-2022 tillsynsbegäran.docx", "A 41275-2022")</f>
        <v/>
      </c>
      <c r="Y50">
        <f>HYPERLINK("https://klasma.github.io/Logging_1290/tillsynsmail/A 41275-2022 tillsynsbegäran mail.docx", "A 41275-2022")</f>
        <v/>
      </c>
    </row>
    <row r="51" ht="15" customHeight="1">
      <c r="A51" t="inlineStr">
        <is>
          <t>A 61885-2022</t>
        </is>
      </c>
      <c r="B51" s="1" t="n">
        <v>44917</v>
      </c>
      <c r="C51" s="1" t="n">
        <v>45674</v>
      </c>
      <c r="D51" t="inlineStr">
        <is>
          <t>SKÅNE LÄN</t>
        </is>
      </c>
      <c r="E51" t="inlineStr">
        <is>
          <t>KRISTIANSTAD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Koralltaggsvamp</t>
        </is>
      </c>
      <c r="S51">
        <f>HYPERLINK("https://klasma.github.io/Logging_1290/artfynd/A 61885-2022 artfynd.xlsx", "A 61885-2022")</f>
        <v/>
      </c>
      <c r="T51">
        <f>HYPERLINK("https://klasma.github.io/Logging_1290/kartor/A 61885-2022 karta.png", "A 61885-2022")</f>
        <v/>
      </c>
      <c r="V51">
        <f>HYPERLINK("https://klasma.github.io/Logging_1290/klagomål/A 61885-2022 FSC-klagomål.docx", "A 61885-2022")</f>
        <v/>
      </c>
      <c r="W51">
        <f>HYPERLINK("https://klasma.github.io/Logging_1290/klagomålsmail/A 61885-2022 FSC-klagomål mail.docx", "A 61885-2022")</f>
        <v/>
      </c>
      <c r="X51">
        <f>HYPERLINK("https://klasma.github.io/Logging_1290/tillsyn/A 61885-2022 tillsynsbegäran.docx", "A 61885-2022")</f>
        <v/>
      </c>
      <c r="Y51">
        <f>HYPERLINK("https://klasma.github.io/Logging_1290/tillsynsmail/A 61885-2022 tillsynsbegäran mail.docx", "A 61885-2022")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45674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26965-2023</t>
        </is>
      </c>
      <c r="B53" s="1" t="n">
        <v>45093</v>
      </c>
      <c r="C53" s="1" t="n">
        <v>45674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9.9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Sjötåtel</t>
        </is>
      </c>
      <c r="S53">
        <f>HYPERLINK("https://klasma.github.io/Logging_1290/artfynd/A 26965-2023 artfynd.xlsx", "A 26965-2023")</f>
        <v/>
      </c>
      <c r="T53">
        <f>HYPERLINK("https://klasma.github.io/Logging_1290/kartor/A 26965-2023 karta.png", "A 26965-2023")</f>
        <v/>
      </c>
      <c r="V53">
        <f>HYPERLINK("https://klasma.github.io/Logging_1290/klagomål/A 26965-2023 FSC-klagomål.docx", "A 26965-2023")</f>
        <v/>
      </c>
      <c r="W53">
        <f>HYPERLINK("https://klasma.github.io/Logging_1290/klagomålsmail/A 26965-2023 FSC-klagomål mail.docx", "A 26965-2023")</f>
        <v/>
      </c>
      <c r="X53">
        <f>HYPERLINK("https://klasma.github.io/Logging_1290/tillsyn/A 26965-2023 tillsynsbegäran.docx", "A 26965-2023")</f>
        <v/>
      </c>
      <c r="Y53">
        <f>HYPERLINK("https://klasma.github.io/Logging_1290/tillsynsmail/A 26965-2023 tillsynsbegäran mail.docx", "A 26965-2023")</f>
        <v/>
      </c>
    </row>
    <row r="54" ht="15" customHeight="1">
      <c r="A54" t="inlineStr">
        <is>
          <t>A 29183-2023</t>
        </is>
      </c>
      <c r="B54" s="1" t="n">
        <v>45105</v>
      </c>
      <c r="C54" s="1" t="n">
        <v>45674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29183-2023 artfynd.xlsx", "A 29183-2023")</f>
        <v/>
      </c>
      <c r="T54">
        <f>HYPERLINK("https://klasma.github.io/Logging_1290/kartor/A 29183-2023 karta.png", "A 29183-2023")</f>
        <v/>
      </c>
      <c r="V54">
        <f>HYPERLINK("https://klasma.github.io/Logging_1290/klagomål/A 29183-2023 FSC-klagomål.docx", "A 29183-2023")</f>
        <v/>
      </c>
      <c r="W54">
        <f>HYPERLINK("https://klasma.github.io/Logging_1290/klagomålsmail/A 29183-2023 FSC-klagomål mail.docx", "A 29183-2023")</f>
        <v/>
      </c>
      <c r="X54">
        <f>HYPERLINK("https://klasma.github.io/Logging_1290/tillsyn/A 29183-2023 tillsynsbegäran.docx", "A 29183-2023")</f>
        <v/>
      </c>
      <c r="Y54">
        <f>HYPERLINK("https://klasma.github.io/Logging_1290/tillsynsmail/A 29183-2023 tillsynsbegäran mail.docx", "A 29183-2023")</f>
        <v/>
      </c>
    </row>
    <row r="55" ht="15" customHeight="1">
      <c r="A55" t="inlineStr">
        <is>
          <t>A 29683-2023</t>
        </is>
      </c>
      <c r="B55" s="1" t="n">
        <v>45107</v>
      </c>
      <c r="C55" s="1" t="n">
        <v>45674</v>
      </c>
      <c r="D55" t="inlineStr">
        <is>
          <t>SKÅNE LÄN</t>
        </is>
      </c>
      <c r="E55" t="inlineStr">
        <is>
          <t>KRISTIANSTAD</t>
        </is>
      </c>
      <c r="G55" t="n">
        <v>7.4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29683-2023 artfynd.xlsx", "A 29683-2023")</f>
        <v/>
      </c>
      <c r="T55">
        <f>HYPERLINK("https://klasma.github.io/Logging_1290/kartor/A 29683-2023 karta.png", "A 29683-2023")</f>
        <v/>
      </c>
      <c r="V55">
        <f>HYPERLINK("https://klasma.github.io/Logging_1290/klagomål/A 29683-2023 FSC-klagomål.docx", "A 29683-2023")</f>
        <v/>
      </c>
      <c r="W55">
        <f>HYPERLINK("https://klasma.github.io/Logging_1290/klagomålsmail/A 29683-2023 FSC-klagomål mail.docx", "A 29683-2023")</f>
        <v/>
      </c>
      <c r="X55">
        <f>HYPERLINK("https://klasma.github.io/Logging_1290/tillsyn/A 29683-2023 tillsynsbegäran.docx", "A 29683-2023")</f>
        <v/>
      </c>
      <c r="Y55">
        <f>HYPERLINK("https://klasma.github.io/Logging_1290/tillsynsmail/A 29683-2023 tillsynsbegäran mail.docx", "A 29683-2023")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45674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46870-2023</t>
        </is>
      </c>
      <c r="B57" s="1" t="n">
        <v>45200</v>
      </c>
      <c r="C57" s="1" t="n">
        <v>45674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45674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45674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45674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45674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45674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25761-2024</t>
        </is>
      </c>
      <c r="B63" s="1" t="n">
        <v>45465</v>
      </c>
      <c r="C63" s="1" t="n">
        <v>45674</v>
      </c>
      <c r="D63" t="inlineStr">
        <is>
          <t>SKÅNE LÄN</t>
        </is>
      </c>
      <c r="E63" t="inlineStr">
        <is>
          <t>KRISTIANSTAD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HYPERLINK("https://klasma.github.io/Logging_1290/artfynd/A 25761-2024 artfynd.xlsx", "A 25761-2024")</f>
        <v/>
      </c>
      <c r="T63">
        <f>HYPERLINK("https://klasma.github.io/Logging_1290/kartor/A 25761-2024 karta.png", "A 25761-2024")</f>
        <v/>
      </c>
      <c r="V63">
        <f>HYPERLINK("https://klasma.github.io/Logging_1290/klagomål/A 25761-2024 FSC-klagomål.docx", "A 25761-2024")</f>
        <v/>
      </c>
      <c r="W63">
        <f>HYPERLINK("https://klasma.github.io/Logging_1290/klagomålsmail/A 25761-2024 FSC-klagomål mail.docx", "A 25761-2024")</f>
        <v/>
      </c>
      <c r="X63">
        <f>HYPERLINK("https://klasma.github.io/Logging_1290/tillsyn/A 25761-2024 tillsynsbegäran.docx", "A 25761-2024")</f>
        <v/>
      </c>
      <c r="Y63">
        <f>HYPERLINK("https://klasma.github.io/Logging_1290/tillsynsmail/A 25761-2024 tillsynsbegäran mail.docx", "A 25761-2024")</f>
        <v/>
      </c>
    </row>
    <row r="64" ht="15" customHeight="1">
      <c r="A64" t="inlineStr">
        <is>
          <t>A 28429-2024</t>
        </is>
      </c>
      <c r="B64" s="1" t="n">
        <v>45477</v>
      </c>
      <c r="C64" s="1" t="n">
        <v>45674</v>
      </c>
      <c r="D64" t="inlineStr">
        <is>
          <t>SKÅNE LÄN</t>
        </is>
      </c>
      <c r="E64" t="inlineStr">
        <is>
          <t>KRISTIANSTAD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28429-2024 artfynd.xlsx", "A 28429-2024")</f>
        <v/>
      </c>
      <c r="T64">
        <f>HYPERLINK("https://klasma.github.io/Logging_1290/kartor/A 28429-2024 karta.png", "A 28429-2024")</f>
        <v/>
      </c>
      <c r="V64">
        <f>HYPERLINK("https://klasma.github.io/Logging_1290/klagomål/A 28429-2024 FSC-klagomål.docx", "A 28429-2024")</f>
        <v/>
      </c>
      <c r="W64">
        <f>HYPERLINK("https://klasma.github.io/Logging_1290/klagomålsmail/A 28429-2024 FSC-klagomål mail.docx", "A 28429-2024")</f>
        <v/>
      </c>
      <c r="X64">
        <f>HYPERLINK("https://klasma.github.io/Logging_1290/tillsyn/A 28429-2024 tillsynsbegäran.docx", "A 28429-2024")</f>
        <v/>
      </c>
      <c r="Y64">
        <f>HYPERLINK("https://klasma.github.io/Logging_1290/tillsynsmail/A 28429-2024 tillsynsbegäran mail.docx", "A 28429-2024")</f>
        <v/>
      </c>
    </row>
    <row r="65" ht="15" customHeight="1">
      <c r="A65" t="inlineStr">
        <is>
          <t>A 28342-2024</t>
        </is>
      </c>
      <c r="B65" s="1" t="n">
        <v>45477</v>
      </c>
      <c r="C65" s="1" t="n">
        <v>45674</v>
      </c>
      <c r="D65" t="inlineStr">
        <is>
          <t>SKÅNE LÄN</t>
        </is>
      </c>
      <c r="E65" t="inlineStr">
        <is>
          <t>KRISTIANSTAD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28342-2024 artfynd.xlsx", "A 28342-2024")</f>
        <v/>
      </c>
      <c r="T65">
        <f>HYPERLINK("https://klasma.github.io/Logging_1290/kartor/A 28342-2024 karta.png", "A 28342-2024")</f>
        <v/>
      </c>
      <c r="V65">
        <f>HYPERLINK("https://klasma.github.io/Logging_1290/klagomål/A 28342-2024 FSC-klagomål.docx", "A 28342-2024")</f>
        <v/>
      </c>
      <c r="W65">
        <f>HYPERLINK("https://klasma.github.io/Logging_1290/klagomålsmail/A 28342-2024 FSC-klagomål mail.docx", "A 28342-2024")</f>
        <v/>
      </c>
      <c r="X65">
        <f>HYPERLINK("https://klasma.github.io/Logging_1290/tillsyn/A 28342-2024 tillsynsbegäran.docx", "A 28342-2024")</f>
        <v/>
      </c>
      <c r="Y65">
        <f>HYPERLINK("https://klasma.github.io/Logging_1290/tillsynsmail/A 28342-2024 tillsynsbegäran mail.docx", "A 28342-2024")</f>
        <v/>
      </c>
    </row>
    <row r="66" ht="15" customHeight="1">
      <c r="A66" t="inlineStr">
        <is>
          <t>A 30526-2024</t>
        </is>
      </c>
      <c r="B66" s="1" t="n">
        <v>45492</v>
      </c>
      <c r="C66" s="1" t="n">
        <v>45674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30526-2024 artfynd.xlsx", "A 30526-2024")</f>
        <v/>
      </c>
      <c r="T66">
        <f>HYPERLINK("https://klasma.github.io/Logging_1290/kartor/A 30526-2024 karta.png", "A 30526-2024")</f>
        <v/>
      </c>
      <c r="V66">
        <f>HYPERLINK("https://klasma.github.io/Logging_1290/klagomål/A 30526-2024 FSC-klagomål.docx", "A 30526-2024")</f>
        <v/>
      </c>
      <c r="W66">
        <f>HYPERLINK("https://klasma.github.io/Logging_1290/klagomålsmail/A 30526-2024 FSC-klagomål mail.docx", "A 30526-2024")</f>
        <v/>
      </c>
      <c r="X66">
        <f>HYPERLINK("https://klasma.github.io/Logging_1290/tillsyn/A 30526-2024 tillsynsbegäran.docx", "A 30526-2024")</f>
        <v/>
      </c>
      <c r="Y66">
        <f>HYPERLINK("https://klasma.github.io/Logging_1290/tillsynsmail/A 30526-2024 tillsynsbegäran mail.docx", "A 30526-2024")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45674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32101-2024</t>
        </is>
      </c>
      <c r="B68" s="1" t="n">
        <v>45511</v>
      </c>
      <c r="C68" s="1" t="n">
        <v>45674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18260-2019</t>
        </is>
      </c>
      <c r="B69" s="1" t="n">
        <v>43557</v>
      </c>
      <c r="C69" s="1" t="n">
        <v>45674</v>
      </c>
      <c r="D69" t="inlineStr">
        <is>
          <t>SKÅNE LÄN</t>
        </is>
      </c>
      <c r="E69" t="inlineStr">
        <is>
          <t>KRISTIANSTAD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18412-2019</t>
        </is>
      </c>
      <c r="B70" s="1" t="n">
        <v>43559</v>
      </c>
      <c r="C70" s="1" t="n">
        <v>45674</v>
      </c>
      <c r="D70" t="inlineStr">
        <is>
          <t>SKÅNE LÄN</t>
        </is>
      </c>
      <c r="E70" t="inlineStr">
        <is>
          <t>KRISTIANSTAD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19183-2019</t>
        </is>
      </c>
      <c r="B71" s="1" t="n">
        <v>43564</v>
      </c>
      <c r="C71" s="1" t="n">
        <v>45674</v>
      </c>
      <c r="D71" t="inlineStr">
        <is>
          <t>SKÅNE LÄN</t>
        </is>
      </c>
      <c r="E71" t="inlineStr">
        <is>
          <t>KRISTIANSTAD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19327-2019</t>
        </is>
      </c>
      <c r="B72" s="1" t="n">
        <v>43565</v>
      </c>
      <c r="C72" s="1" t="n">
        <v>45674</v>
      </c>
      <c r="D72" t="inlineStr">
        <is>
          <t>SKÅNE LÄN</t>
        </is>
      </c>
      <c r="E72" t="inlineStr">
        <is>
          <t>KRISTIANSTAD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19596-2019</t>
        </is>
      </c>
      <c r="B73" s="1" t="n">
        <v>43565</v>
      </c>
      <c r="C73" s="1" t="n">
        <v>45674</v>
      </c>
      <c r="D73" t="inlineStr">
        <is>
          <t>SKÅNE LÄN</t>
        </is>
      </c>
      <c r="E73" t="inlineStr">
        <is>
          <t>KRISTIANSTAD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19508-2019</t>
        </is>
      </c>
      <c r="B74" s="1" t="n">
        <v>43565</v>
      </c>
      <c r="C74" s="1" t="n">
        <v>45674</v>
      </c>
      <c r="D74" t="inlineStr">
        <is>
          <t>SKÅNE LÄN</t>
        </is>
      </c>
      <c r="E74" t="inlineStr">
        <is>
          <t>KRISTIANSTAD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19661-2019</t>
        </is>
      </c>
      <c r="B75" s="1" t="n">
        <v>43566</v>
      </c>
      <c r="C75" s="1" t="n">
        <v>45674</v>
      </c>
      <c r="D75" t="inlineStr">
        <is>
          <t>SKÅNE LÄN</t>
        </is>
      </c>
      <c r="E75" t="inlineStr">
        <is>
          <t>KRISTIANSTAD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19664-2019</t>
        </is>
      </c>
      <c r="B76" s="1" t="n">
        <v>43566</v>
      </c>
      <c r="C76" s="1" t="n">
        <v>45674</v>
      </c>
      <c r="D76" t="inlineStr">
        <is>
          <t>SKÅNE LÄN</t>
        </is>
      </c>
      <c r="E76" t="inlineStr">
        <is>
          <t>KRISTIANSTAD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20332-2019</t>
        </is>
      </c>
      <c r="B77" s="1" t="n">
        <v>43571</v>
      </c>
      <c r="C77" s="1" t="n">
        <v>45674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20530-2019</t>
        </is>
      </c>
      <c r="B78" s="1" t="n">
        <v>43572</v>
      </c>
      <c r="C78" s="1" t="n">
        <v>45674</v>
      </c>
      <c r="D78" t="inlineStr">
        <is>
          <t>SKÅNE LÄN</t>
        </is>
      </c>
      <c r="E78" t="inlineStr">
        <is>
          <t>KRISTIANSTAD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21578-2019</t>
        </is>
      </c>
      <c r="B79" s="1" t="n">
        <v>43580</v>
      </c>
      <c r="C79" s="1" t="n">
        <v>45674</v>
      </c>
      <c r="D79" t="inlineStr">
        <is>
          <t>SKÅNE LÄN</t>
        </is>
      </c>
      <c r="E79" t="inlineStr">
        <is>
          <t>KRISTIANSTAD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21982-2019</t>
        </is>
      </c>
      <c r="B80" s="1" t="n">
        <v>43584</v>
      </c>
      <c r="C80" s="1" t="n">
        <v>45674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24086-2019</t>
        </is>
      </c>
      <c r="B81" s="1" t="n">
        <v>43598</v>
      </c>
      <c r="C81" s="1" t="n">
        <v>45674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24083-2019</t>
        </is>
      </c>
      <c r="B82" s="1" t="n">
        <v>43598</v>
      </c>
      <c r="C82" s="1" t="n">
        <v>45674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26698-2019</t>
        </is>
      </c>
      <c r="B83" s="1" t="n">
        <v>43607</v>
      </c>
      <c r="C83" s="1" t="n">
        <v>45674</v>
      </c>
      <c r="D83" t="inlineStr">
        <is>
          <t>SKÅNE LÄN</t>
        </is>
      </c>
      <c r="E83" t="inlineStr">
        <is>
          <t>KRISTIANSTAD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32841-2019</t>
        </is>
      </c>
      <c r="B84" s="1" t="n">
        <v>43648</v>
      </c>
      <c r="C84" s="1" t="n">
        <v>45674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32790-2019</t>
        </is>
      </c>
      <c r="B85" s="1" t="n">
        <v>43648</v>
      </c>
      <c r="C85" s="1" t="n">
        <v>45674</v>
      </c>
      <c r="D85" t="inlineStr">
        <is>
          <t>SKÅNE LÄN</t>
        </is>
      </c>
      <c r="E85" t="inlineStr">
        <is>
          <t>KRISTIANSTAD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32839-2019</t>
        </is>
      </c>
      <c r="B86" s="1" t="n">
        <v>43648</v>
      </c>
      <c r="C86" s="1" t="n">
        <v>45674</v>
      </c>
      <c r="D86" t="inlineStr">
        <is>
          <t>SKÅNE LÄN</t>
        </is>
      </c>
      <c r="E86" t="inlineStr">
        <is>
          <t>KRISTIANSTAD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36156-2019</t>
        </is>
      </c>
      <c r="B87" s="1" t="n">
        <v>43668</v>
      </c>
      <c r="C87" s="1" t="n">
        <v>45674</v>
      </c>
      <c r="D87" t="inlineStr">
        <is>
          <t>SKÅNE LÄN</t>
        </is>
      </c>
      <c r="E87" t="inlineStr">
        <is>
          <t>KRISTIANSTAD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36288-2019</t>
        </is>
      </c>
      <c r="B88" s="1" t="n">
        <v>43669</v>
      </c>
      <c r="C88" s="1" t="n">
        <v>45674</v>
      </c>
      <c r="D88" t="inlineStr">
        <is>
          <t>SKÅNE LÄN</t>
        </is>
      </c>
      <c r="E88" t="inlineStr">
        <is>
          <t>KRISTIANSTAD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36362-2019</t>
        </is>
      </c>
      <c r="B89" s="1" t="n">
        <v>43670</v>
      </c>
      <c r="C89" s="1" t="n">
        <v>45674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37836-2019</t>
        </is>
      </c>
      <c r="B90" s="1" t="n">
        <v>43682</v>
      </c>
      <c r="C90" s="1" t="n">
        <v>45674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37871-2019</t>
        </is>
      </c>
      <c r="B91" s="1" t="n">
        <v>43682</v>
      </c>
      <c r="C91" s="1" t="n">
        <v>45674</v>
      </c>
      <c r="D91" t="inlineStr">
        <is>
          <t>SKÅNE LÄN</t>
        </is>
      </c>
      <c r="E91" t="inlineStr">
        <is>
          <t>KRISTIANSTAD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39790-2019</t>
        </is>
      </c>
      <c r="B92" s="1" t="n">
        <v>43689</v>
      </c>
      <c r="C92" s="1" t="n">
        <v>45674</v>
      </c>
      <c r="D92" t="inlineStr">
        <is>
          <t>SKÅNE LÄN</t>
        </is>
      </c>
      <c r="E92" t="inlineStr">
        <is>
          <t>KRISTIANSTAD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40847-2019</t>
        </is>
      </c>
      <c r="B93" s="1" t="n">
        <v>43692</v>
      </c>
      <c r="C93" s="1" t="n">
        <v>45674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41164-2019</t>
        </is>
      </c>
      <c r="B94" s="1" t="n">
        <v>43693</v>
      </c>
      <c r="C94" s="1" t="n">
        <v>45674</v>
      </c>
      <c r="D94" t="inlineStr">
        <is>
          <t>SKÅNE LÄN</t>
        </is>
      </c>
      <c r="E94" t="inlineStr">
        <is>
          <t>KRISTIANSTAD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41878-2019</t>
        </is>
      </c>
      <c r="B95" s="1" t="n">
        <v>43700</v>
      </c>
      <c r="C95" s="1" t="n">
        <v>45674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44800-2019</t>
        </is>
      </c>
      <c r="B96" s="1" t="n">
        <v>43712</v>
      </c>
      <c r="C96" s="1" t="n">
        <v>45674</v>
      </c>
      <c r="D96" t="inlineStr">
        <is>
          <t>SKÅNE LÄN</t>
        </is>
      </c>
      <c r="E96" t="inlineStr">
        <is>
          <t>KRISTIANSTAD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45213-2019</t>
        </is>
      </c>
      <c r="B97" s="1" t="n">
        <v>43713</v>
      </c>
      <c r="C97" s="1" t="n">
        <v>45674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45799-2019</t>
        </is>
      </c>
      <c r="B98" s="1" t="n">
        <v>43717</v>
      </c>
      <c r="C98" s="1" t="n">
        <v>45674</v>
      </c>
      <c r="D98" t="inlineStr">
        <is>
          <t>SKÅNE LÄN</t>
        </is>
      </c>
      <c r="E98" t="inlineStr">
        <is>
          <t>KRISTIANSTAD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46298-2019</t>
        </is>
      </c>
      <c r="B99" s="1" t="n">
        <v>43718</v>
      </c>
      <c r="C99" s="1" t="n">
        <v>45674</v>
      </c>
      <c r="D99" t="inlineStr">
        <is>
          <t>SKÅNE LÄN</t>
        </is>
      </c>
      <c r="E99" t="inlineStr">
        <is>
          <t>KRISTIANSTAD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46403-2019</t>
        </is>
      </c>
      <c r="B100" s="1" t="n">
        <v>43719</v>
      </c>
      <c r="C100" s="1" t="n">
        <v>45674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47757-2019</t>
        </is>
      </c>
      <c r="B101" s="1" t="n">
        <v>43724</v>
      </c>
      <c r="C101" s="1" t="n">
        <v>45674</v>
      </c>
      <c r="D101" t="inlineStr">
        <is>
          <t>SKÅNE LÄN</t>
        </is>
      </c>
      <c r="E101" t="inlineStr">
        <is>
          <t>KRISTIANSTAD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51052-2019</t>
        </is>
      </c>
      <c r="B102" s="1" t="n">
        <v>43739</v>
      </c>
      <c r="C102" s="1" t="n">
        <v>45674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51745-2019</t>
        </is>
      </c>
      <c r="B103" s="1" t="n">
        <v>43741</v>
      </c>
      <c r="C103" s="1" t="n">
        <v>45674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52997-2019</t>
        </is>
      </c>
      <c r="B104" s="1" t="n">
        <v>43747</v>
      </c>
      <c r="C104" s="1" t="n">
        <v>45674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52978-2019</t>
        </is>
      </c>
      <c r="B105" s="1" t="n">
        <v>43747</v>
      </c>
      <c r="C105" s="1" t="n">
        <v>45674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59293-2019</t>
        </is>
      </c>
      <c r="B106" s="1" t="n">
        <v>43773</v>
      </c>
      <c r="C106" s="1" t="n">
        <v>45674</v>
      </c>
      <c r="D106" t="inlineStr">
        <is>
          <t>SKÅNE LÄN</t>
        </is>
      </c>
      <c r="E106" t="inlineStr">
        <is>
          <t>KRISTIANSTAD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59946-2019</t>
        </is>
      </c>
      <c r="B107" s="1" t="n">
        <v>43775</v>
      </c>
      <c r="C107" s="1" t="n">
        <v>45674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64957-2019</t>
        </is>
      </c>
      <c r="B108" s="1" t="n">
        <v>43795</v>
      </c>
      <c r="C108" s="1" t="n">
        <v>45674</v>
      </c>
      <c r="D108" t="inlineStr">
        <is>
          <t>SKÅNE LÄN</t>
        </is>
      </c>
      <c r="E108" t="inlineStr">
        <is>
          <t>KRISTIANSTAD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64949-2019</t>
        </is>
      </c>
      <c r="B109" s="1" t="n">
        <v>43801</v>
      </c>
      <c r="C109" s="1" t="n">
        <v>45674</v>
      </c>
      <c r="D109" t="inlineStr">
        <is>
          <t>SKÅNE LÄN</t>
        </is>
      </c>
      <c r="E109" t="inlineStr">
        <is>
          <t>KRISTIANSTAD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65603-2019</t>
        </is>
      </c>
      <c r="B110" s="1" t="n">
        <v>43804</v>
      </c>
      <c r="C110" s="1" t="n">
        <v>45674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66782-2019</t>
        </is>
      </c>
      <c r="B111" s="1" t="n">
        <v>43804</v>
      </c>
      <c r="C111" s="1" t="n">
        <v>45674</v>
      </c>
      <c r="D111" t="inlineStr">
        <is>
          <t>SKÅNE LÄN</t>
        </is>
      </c>
      <c r="E111" t="inlineStr">
        <is>
          <t>KRISTIANSTAD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67147-2019</t>
        </is>
      </c>
      <c r="B112" s="1" t="n">
        <v>43811</v>
      </c>
      <c r="C112" s="1" t="n">
        <v>45674</v>
      </c>
      <c r="D112" t="inlineStr">
        <is>
          <t>SKÅNE LÄN</t>
        </is>
      </c>
      <c r="E112" t="inlineStr">
        <is>
          <t>KRISTIANSTAD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67195-2019</t>
        </is>
      </c>
      <c r="B113" s="1" t="n">
        <v>43811</v>
      </c>
      <c r="C113" s="1" t="n">
        <v>45674</v>
      </c>
      <c r="D113" t="inlineStr">
        <is>
          <t>SKÅNE LÄN</t>
        </is>
      </c>
      <c r="E113" t="inlineStr">
        <is>
          <t>KRISTIANSTAD</t>
        </is>
      </c>
      <c r="G113" t="n">
        <v>17.9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67347-2019</t>
        </is>
      </c>
      <c r="B114" s="1" t="n">
        <v>43812</v>
      </c>
      <c r="C114" s="1" t="n">
        <v>45674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67970-2019</t>
        </is>
      </c>
      <c r="B115" s="1" t="n">
        <v>43816</v>
      </c>
      <c r="C115" s="1" t="n">
        <v>45674</v>
      </c>
      <c r="D115" t="inlineStr">
        <is>
          <t>SKÅNE LÄN</t>
        </is>
      </c>
      <c r="E115" t="inlineStr">
        <is>
          <t>KRISTIANSTAD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67968-2019</t>
        </is>
      </c>
      <c r="B116" s="1" t="n">
        <v>43816</v>
      </c>
      <c r="C116" s="1" t="n">
        <v>45674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842-2020</t>
        </is>
      </c>
      <c r="B117" s="1" t="n">
        <v>43818</v>
      </c>
      <c r="C117" s="1" t="n">
        <v>45674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851-2020</t>
        </is>
      </c>
      <c r="B118" s="1" t="n">
        <v>43818</v>
      </c>
      <c r="C118" s="1" t="n">
        <v>45674</v>
      </c>
      <c r="D118" t="inlineStr">
        <is>
          <t>SKÅNE LÄN</t>
        </is>
      </c>
      <c r="E118" t="inlineStr">
        <is>
          <t>KRISTIANSTAD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1249-2020</t>
        </is>
      </c>
      <c r="B119" s="1" t="n">
        <v>43840</v>
      </c>
      <c r="C119" s="1" t="n">
        <v>45674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3624-2020</t>
        </is>
      </c>
      <c r="B120" s="1" t="n">
        <v>43845</v>
      </c>
      <c r="C120" s="1" t="n">
        <v>45674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3573-2020</t>
        </is>
      </c>
      <c r="B121" s="1" t="n">
        <v>43845</v>
      </c>
      <c r="C121" s="1" t="n">
        <v>45674</v>
      </c>
      <c r="D121" t="inlineStr">
        <is>
          <t>SKÅNE LÄN</t>
        </is>
      </c>
      <c r="E121" t="inlineStr">
        <is>
          <t>KRISTIANSTAD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5177-2020</t>
        </is>
      </c>
      <c r="B122" s="1" t="n">
        <v>43860</v>
      </c>
      <c r="C122" s="1" t="n">
        <v>45674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6143-2020</t>
        </is>
      </c>
      <c r="B123" s="1" t="n">
        <v>43865</v>
      </c>
      <c r="C123" s="1" t="n">
        <v>45674</v>
      </c>
      <c r="D123" t="inlineStr">
        <is>
          <t>SKÅNE LÄN</t>
        </is>
      </c>
      <c r="E123" t="inlineStr">
        <is>
          <t>KRISTIANSTAD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7085-2020</t>
        </is>
      </c>
      <c r="B124" s="1" t="n">
        <v>43868</v>
      </c>
      <c r="C124" s="1" t="n">
        <v>45674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6928-2020</t>
        </is>
      </c>
      <c r="B125" s="1" t="n">
        <v>43868</v>
      </c>
      <c r="C125" s="1" t="n">
        <v>45674</v>
      </c>
      <c r="D125" t="inlineStr">
        <is>
          <t>SKÅNE LÄN</t>
        </is>
      </c>
      <c r="E125" t="inlineStr">
        <is>
          <t>KRISTIANSTAD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7578-2020</t>
        </is>
      </c>
      <c r="B126" s="1" t="n">
        <v>43872</v>
      </c>
      <c r="C126" s="1" t="n">
        <v>45674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8946-2020</t>
        </is>
      </c>
      <c r="B127" s="1" t="n">
        <v>43878</v>
      </c>
      <c r="C127" s="1" t="n">
        <v>45674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9078-2020</t>
        </is>
      </c>
      <c r="B128" s="1" t="n">
        <v>43879</v>
      </c>
      <c r="C128" s="1" t="n">
        <v>45674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9812-2020</t>
        </is>
      </c>
      <c r="B129" s="1" t="n">
        <v>43881</v>
      </c>
      <c r="C129" s="1" t="n">
        <v>45674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11262-2020</t>
        </is>
      </c>
      <c r="B130" s="1" t="n">
        <v>43888</v>
      </c>
      <c r="C130" s="1" t="n">
        <v>45674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17290-2020</t>
        </is>
      </c>
      <c r="B131" s="1" t="n">
        <v>43915</v>
      </c>
      <c r="C131" s="1" t="n">
        <v>45674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16388-2020</t>
        </is>
      </c>
      <c r="B132" s="1" t="n">
        <v>43917</v>
      </c>
      <c r="C132" s="1" t="n">
        <v>45674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18677-2020</t>
        </is>
      </c>
      <c r="B133" s="1" t="n">
        <v>43930</v>
      </c>
      <c r="C133" s="1" t="n">
        <v>45674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18881-2020</t>
        </is>
      </c>
      <c r="B134" s="1" t="n">
        <v>43935</v>
      </c>
      <c r="C134" s="1" t="n">
        <v>45674</v>
      </c>
      <c r="D134" t="inlineStr">
        <is>
          <t>SKÅNE LÄN</t>
        </is>
      </c>
      <c r="E134" t="inlineStr">
        <is>
          <t>KRISTIANSTAD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21356-2020</t>
        </is>
      </c>
      <c r="B135" s="1" t="n">
        <v>43955</v>
      </c>
      <c r="C135" s="1" t="n">
        <v>45674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24659-2020</t>
        </is>
      </c>
      <c r="B136" s="1" t="n">
        <v>43977</v>
      </c>
      <c r="C136" s="1" t="n">
        <v>45674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24667-2020</t>
        </is>
      </c>
      <c r="B137" s="1" t="n">
        <v>43977</v>
      </c>
      <c r="C137" s="1" t="n">
        <v>45674</v>
      </c>
      <c r="D137" t="inlineStr">
        <is>
          <t>SKÅNE LÄN</t>
        </is>
      </c>
      <c r="E137" t="inlineStr">
        <is>
          <t>KRISTIANSTAD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25893-2020</t>
        </is>
      </c>
      <c r="B138" s="1" t="n">
        <v>43984</v>
      </c>
      <c r="C138" s="1" t="n">
        <v>45674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26991-2020</t>
        </is>
      </c>
      <c r="B139" s="1" t="n">
        <v>43991</v>
      </c>
      <c r="C139" s="1" t="n">
        <v>45674</v>
      </c>
      <c r="D139" t="inlineStr">
        <is>
          <t>SKÅNE LÄN</t>
        </is>
      </c>
      <c r="E139" t="inlineStr">
        <is>
          <t>KRISTIANSTAD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28003-2020</t>
        </is>
      </c>
      <c r="B140" s="1" t="n">
        <v>43997</v>
      </c>
      <c r="C140" s="1" t="n">
        <v>45674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29462-2020</t>
        </is>
      </c>
      <c r="B141" s="1" t="n">
        <v>44004</v>
      </c>
      <c r="C141" s="1" t="n">
        <v>45674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32517-2020</t>
        </is>
      </c>
      <c r="B142" s="1" t="n">
        <v>44018</v>
      </c>
      <c r="C142" s="1" t="n">
        <v>45674</v>
      </c>
      <c r="D142" t="inlineStr">
        <is>
          <t>SKÅNE LÄN</t>
        </is>
      </c>
      <c r="E142" t="inlineStr">
        <is>
          <t>KRISTIANSTAD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32593-2020</t>
        </is>
      </c>
      <c r="B143" s="1" t="n">
        <v>44019</v>
      </c>
      <c r="C143" s="1" t="n">
        <v>45674</v>
      </c>
      <c r="D143" t="inlineStr">
        <is>
          <t>SKÅNE LÄN</t>
        </is>
      </c>
      <c r="E143" t="inlineStr">
        <is>
          <t>KRISTIANSTAD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33516-2020</t>
        </is>
      </c>
      <c r="B144" s="1" t="n">
        <v>44022</v>
      </c>
      <c r="C144" s="1" t="n">
        <v>45674</v>
      </c>
      <c r="D144" t="inlineStr">
        <is>
          <t>SKÅNE LÄN</t>
        </is>
      </c>
      <c r="E144" t="inlineStr">
        <is>
          <t>KRISTIANSTAD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33511-2020</t>
        </is>
      </c>
      <c r="B145" s="1" t="n">
        <v>44022</v>
      </c>
      <c r="C145" s="1" t="n">
        <v>45674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33515-2020</t>
        </is>
      </c>
      <c r="B146" s="1" t="n">
        <v>44022</v>
      </c>
      <c r="C146" s="1" t="n">
        <v>45674</v>
      </c>
      <c r="D146" t="inlineStr">
        <is>
          <t>SKÅNE LÄN</t>
        </is>
      </c>
      <c r="E146" t="inlineStr">
        <is>
          <t>KRISTIANSTAD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45674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45674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45674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45674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45674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45674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45674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45674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45674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45674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45674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45674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45674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45674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45674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45674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45674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45674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45674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45674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45674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45674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45674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45674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45674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45674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45674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45674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45674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45674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45674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45674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45674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45674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45674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45674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45674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45674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45674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45674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45674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45674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45674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45674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45674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45674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45674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45674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45674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45674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45674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45674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45674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45674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45674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45674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45674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45674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45674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45674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45674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45674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45674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45674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45674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45674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45674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45674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45674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45674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45674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45674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45674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45674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45674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45674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45674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45674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45674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45674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45674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45674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45674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45674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45674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45674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45674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45674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45674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45674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45674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45674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45674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45674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45674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45674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45674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45674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45674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45674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45674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45674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45674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45674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45674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45674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45674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45674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45674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45674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45674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45674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45674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45674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45674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45674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45674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45674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45674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45674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45674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45674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45674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45674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45674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45674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45674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45674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45674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45674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45674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45674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45674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45674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45674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45674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45674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45674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45674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45674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45674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45674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45674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45674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45674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45674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45674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45674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45674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45674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45674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45674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45674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45674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45674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45674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45674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45674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45674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45674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45674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45674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45674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45674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45674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45674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45674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45674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45674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45674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45674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45674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45674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45674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45674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45674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45674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45674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45674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45674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45674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45674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45674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45674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45674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45674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45674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45674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45674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45674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45674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45674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45674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45674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45674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45674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45674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45674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45674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45674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45674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45674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45674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45674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45674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45674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45674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45674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45674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45674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45674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45674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45674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45674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45674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45674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45674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45674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45674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45674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45674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45674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45674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45674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45674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45674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45674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45674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45674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45674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45674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45674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45674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45674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45674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45674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45674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45674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45674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45674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45674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45674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45674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45674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45674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45674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45674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45674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45674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45674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45674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45674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45674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45674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45674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45674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45674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45674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45674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45674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45674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45674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45674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45674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45674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45674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45674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45674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45674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45674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45674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45674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45674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45674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45674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45674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45674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45674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45674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45674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45674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45674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45674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45674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45674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45674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45674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45674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45674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45674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45674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45674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45674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45674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45674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45674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45674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45674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45674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45674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45674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45674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45674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45674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45674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45674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45674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45674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45674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45674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45674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45674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45674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45674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45674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45674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45674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45674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45674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45674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45674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45674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45674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45674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45674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45674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45674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45674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45674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45674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45674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45674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45674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45674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45674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45674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45674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45674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45674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45674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45674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45674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45674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45674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45674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45674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45674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45674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45674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45674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45674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45674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45674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45674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45674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45674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45674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45674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45674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45674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45674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45674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45674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45674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45674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45674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45674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45674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45674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45674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45674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45674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45674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45674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45674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45674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45674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45674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45674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45674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45674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45674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45674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45674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45674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45674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45674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45674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45674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45674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45674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45674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45674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45674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45674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45674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45674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45674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45674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45674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45674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45674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45674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45674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45674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45674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45674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45674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45674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45674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45674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45674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45674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45674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45674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45674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45674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45674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45674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45674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45674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45674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45674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45674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45674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45674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45674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45674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45674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45674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45674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45674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45674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45674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45674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45674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45674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45674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45674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45674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45674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45674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45674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45674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45674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45674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45674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45674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45674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45674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45674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45674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45674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45674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45674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45674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45674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45674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45674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45674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45674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45674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45674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45674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45674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45674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45674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45674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45674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45674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45674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45674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45674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45674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45674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45674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45674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45674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45674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45674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45674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45674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45674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45674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45674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45674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45674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45674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45674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45674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45674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45674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45674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45674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45674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45674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45674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45674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45674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45674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45674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45674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45674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45674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45674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45674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45674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45674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45674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45674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45674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45674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45674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45674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45674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45674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45674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45674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45674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45674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45674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45674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45674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45674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45674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45674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45674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45674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45674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45674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45674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45674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45674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45674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45674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45674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45674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45674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45674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45674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45674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45674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45674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45674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45674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45674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45674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45674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45674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45674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45674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45674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45674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45674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45674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45674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45674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45674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45674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45674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45674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45674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45674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45674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45674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45674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45674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45674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45674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45674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45674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45674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45674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45674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45674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45674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45674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45674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45674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45674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45674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45674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45674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45674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45674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45674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45674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45674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45674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45674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45674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45674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45674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45674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45674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45674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45674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45674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45674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45674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45674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45674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45674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45674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45674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45674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45674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45674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45674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45674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45674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45674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45674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45674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45674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45674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45674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45674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45674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45674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45674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45674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45674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45674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45674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45674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45674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45674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45674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45674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45674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45674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45674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45674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45674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45674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45674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45674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45674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45674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45674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45674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45674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45674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45674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45674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45674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45674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45674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45674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45674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45674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45674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45674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45674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45674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45674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45674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45674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45674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45674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45674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45674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45674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45674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45674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45674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45674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45674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45674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45674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45674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45674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45674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45674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45674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45674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45674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45674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45674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45674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45674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45674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45674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45674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45674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45674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45674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45674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45674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45674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45674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45674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45674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45674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45674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45674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45674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45674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45674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45674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45674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45674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45674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45674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45674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45674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45674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45674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45674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45674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45674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45674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45674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45674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45674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45674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45674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45674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45674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45674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45674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45674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45674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45674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45674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45674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45674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45674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45674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45674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45674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45674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45674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45674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45674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45674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45674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45674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45674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45674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45674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45674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45674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45674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45674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45674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45674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45674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45674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45674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45674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45674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45674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45674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45674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1427-2025</t>
        </is>
      </c>
      <c r="B991" s="1" t="n">
        <v>45668</v>
      </c>
      <c r="C991" s="1" t="n">
        <v>45674</v>
      </c>
      <c r="D991" t="inlineStr">
        <is>
          <t>SKÅNE LÄN</t>
        </is>
      </c>
      <c r="E991" t="inlineStr">
        <is>
          <t>KRISTIANSTAD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1426-2025</t>
        </is>
      </c>
      <c r="B992" s="1" t="n">
        <v>45668</v>
      </c>
      <c r="C992" s="1" t="n">
        <v>45674</v>
      </c>
      <c r="D992" t="inlineStr">
        <is>
          <t>SKÅNE LÄN</t>
        </is>
      </c>
      <c r="E992" t="inlineStr">
        <is>
          <t>KRISTIANSTAD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45674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1660-2025</t>
        </is>
      </c>
      <c r="B994" s="1" t="n">
        <v>45670</v>
      </c>
      <c r="C994" s="1" t="n">
        <v>45674</v>
      </c>
      <c r="D994" t="inlineStr">
        <is>
          <t>SKÅNE LÄN</t>
        </is>
      </c>
      <c r="E994" t="inlineStr">
        <is>
          <t>KRISTIANSTAD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1772-2025</t>
        </is>
      </c>
      <c r="B995" s="1" t="n">
        <v>45671</v>
      </c>
      <c r="C995" s="1" t="n">
        <v>45674</v>
      </c>
      <c r="D995" t="inlineStr">
        <is>
          <t>SKÅNE LÄN</t>
        </is>
      </c>
      <c r="E995" t="inlineStr">
        <is>
          <t>KRISTIANSTAD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1943-2025</t>
        </is>
      </c>
      <c r="B996" s="1" t="n">
        <v>45672</v>
      </c>
      <c r="C996" s="1" t="n">
        <v>45674</v>
      </c>
      <c r="D996" t="inlineStr">
        <is>
          <t>SKÅNE LÄN</t>
        </is>
      </c>
      <c r="E996" t="inlineStr">
        <is>
          <t>KRISTIANSTAD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1940-2025</t>
        </is>
      </c>
      <c r="B997" s="1" t="n">
        <v>45672</v>
      </c>
      <c r="C997" s="1" t="n">
        <v>45674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2025-01-17T16:16:31Z</dcterms:created>
  <dcterms:modified xmlns:dcterms="http://purl.org/dc/terms/" xmlns:xsi="http://www.w3.org/2001/XMLSchema-instance" xsi:type="dcterms:W3CDTF">2025-01-17T16:16:31Z</dcterms:modified>
</cp:coreProperties>
</file>