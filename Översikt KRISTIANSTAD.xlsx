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45671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45671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45671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45671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45671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45671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45671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45671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45671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45671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45671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45671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45671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45671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45671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45671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45671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45671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45671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45671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45671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45671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45671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45671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45671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45671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34360-2023</t>
        </is>
      </c>
      <c r="B55" s="1" t="n">
        <v>45139</v>
      </c>
      <c r="C55" s="1" t="n">
        <v>45671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34360-2023 artfynd.xlsx", "A 34360-2023")</f>
        <v/>
      </c>
      <c r="T55">
        <f>HYPERLINK("https://klasma.github.io/Logging_1290/kartor/A 34360-2023 karta.png", "A 34360-2023")</f>
        <v/>
      </c>
      <c r="V55">
        <f>HYPERLINK("https://klasma.github.io/Logging_1290/klagomål/A 34360-2023 FSC-klagomål.docx", "A 34360-2023")</f>
        <v/>
      </c>
      <c r="W55">
        <f>HYPERLINK("https://klasma.github.io/Logging_1290/klagomålsmail/A 34360-2023 FSC-klagomål mail.docx", "A 34360-2023")</f>
        <v/>
      </c>
      <c r="X55">
        <f>HYPERLINK("https://klasma.github.io/Logging_1290/tillsyn/A 34360-2023 tillsynsbegäran.docx", "A 34360-2023")</f>
        <v/>
      </c>
      <c r="Y55">
        <f>HYPERLINK("https://klasma.github.io/Logging_1290/tillsynsmail/A 34360-2023 tillsynsbegäran mail.docx", "A 34360-2023")</f>
        <v/>
      </c>
    </row>
    <row r="56" ht="15" customHeight="1">
      <c r="A56" t="inlineStr">
        <is>
          <t>A 46870-2023</t>
        </is>
      </c>
      <c r="B56" s="1" t="n">
        <v>45200</v>
      </c>
      <c r="C56" s="1" t="n">
        <v>45671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HYPERLINK("https://klasma.github.io/Logging_1290/artfynd/A 46870-2023 artfynd.xlsx", "A 46870-2023")</f>
        <v/>
      </c>
      <c r="T56">
        <f>HYPERLINK("https://klasma.github.io/Logging_1290/kartor/A 46870-2023 karta.png", "A 46870-2023")</f>
        <v/>
      </c>
      <c r="V56">
        <f>HYPERLINK("https://klasma.github.io/Logging_1290/klagomål/A 46870-2023 FSC-klagomål.docx", "A 46870-2023")</f>
        <v/>
      </c>
      <c r="W56">
        <f>HYPERLINK("https://klasma.github.io/Logging_1290/klagomålsmail/A 46870-2023 FSC-klagomål mail.docx", "A 46870-2023")</f>
        <v/>
      </c>
      <c r="X56">
        <f>HYPERLINK("https://klasma.github.io/Logging_1290/tillsyn/A 46870-2023 tillsynsbegäran.docx", "A 46870-2023")</f>
        <v/>
      </c>
      <c r="Y56">
        <f>HYPERLINK("https://klasma.github.io/Logging_1290/tillsynsmail/A 46870-2023 tillsynsbegäran mail.docx", "A 46870-2023")</f>
        <v/>
      </c>
    </row>
    <row r="57" ht="15" customHeight="1">
      <c r="A57" t="inlineStr">
        <is>
          <t>A 62349-2023</t>
        </is>
      </c>
      <c r="B57" s="1" t="n">
        <v>45267</v>
      </c>
      <c r="C57" s="1" t="n">
        <v>45671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HYPERLINK("https://klasma.github.io/Logging_1290/artfynd/A 62349-2023 artfynd.xlsx", "A 62349-2023")</f>
        <v/>
      </c>
      <c r="T57">
        <f>HYPERLINK("https://klasma.github.io/Logging_1290/kartor/A 62349-2023 karta.png", "A 62349-2023")</f>
        <v/>
      </c>
      <c r="V57">
        <f>HYPERLINK("https://klasma.github.io/Logging_1290/klagomål/A 62349-2023 FSC-klagomål.docx", "A 62349-2023")</f>
        <v/>
      </c>
      <c r="W57">
        <f>HYPERLINK("https://klasma.github.io/Logging_1290/klagomålsmail/A 62349-2023 FSC-klagomål mail.docx", "A 62349-2023")</f>
        <v/>
      </c>
      <c r="X57">
        <f>HYPERLINK("https://klasma.github.io/Logging_1290/tillsyn/A 62349-2023 tillsynsbegäran.docx", "A 62349-2023")</f>
        <v/>
      </c>
      <c r="Y57">
        <f>HYPERLINK("https://klasma.github.io/Logging_1290/tillsynsmail/A 62349-2023 tillsynsbegäran mail.docx", "A 62349-2023")</f>
        <v/>
      </c>
      <c r="Z57">
        <f>HYPERLINK("https://klasma.github.io/Logging_1290/fåglar/A 62349-2023 prioriterade fågelarter.docx", "A 62349-2023")</f>
        <v/>
      </c>
    </row>
    <row r="58" ht="15" customHeight="1">
      <c r="A58" t="inlineStr">
        <is>
          <t>A 1188-2024</t>
        </is>
      </c>
      <c r="B58" s="1" t="n">
        <v>45302</v>
      </c>
      <c r="C58" s="1" t="n">
        <v>45671</v>
      </c>
      <c r="D58" t="inlineStr">
        <is>
          <t>SKÅNE LÄN</t>
        </is>
      </c>
      <c r="E58" t="inlineStr">
        <is>
          <t>KRISTIANSTAD</t>
        </is>
      </c>
      <c r="G58" t="n">
        <v>6.1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HYPERLINK("https://klasma.github.io/Logging_1290/artfynd/A 1188-2024 artfynd.xlsx", "A 1188-2024")</f>
        <v/>
      </c>
      <c r="T58">
        <f>HYPERLINK("https://klasma.github.io/Logging_1290/kartor/A 1188-2024 karta.png", "A 1188-2024")</f>
        <v/>
      </c>
      <c r="V58">
        <f>HYPERLINK("https://klasma.github.io/Logging_1290/klagomål/A 1188-2024 FSC-klagomål.docx", "A 1188-2024")</f>
        <v/>
      </c>
      <c r="W58">
        <f>HYPERLINK("https://klasma.github.io/Logging_1290/klagomålsmail/A 1188-2024 FSC-klagomål mail.docx", "A 1188-2024")</f>
        <v/>
      </c>
      <c r="X58">
        <f>HYPERLINK("https://klasma.github.io/Logging_1290/tillsyn/A 1188-2024 tillsynsbegäran.docx", "A 1188-2024")</f>
        <v/>
      </c>
      <c r="Y58">
        <f>HYPERLINK("https://klasma.github.io/Logging_1290/tillsynsmail/A 1188-2024 tillsynsbegäran mail.docx", "A 1188-2024")</f>
        <v/>
      </c>
    </row>
    <row r="59" ht="15" customHeight="1">
      <c r="A59" t="inlineStr">
        <is>
          <t>A 1418-2024</t>
        </is>
      </c>
      <c r="B59" s="1" t="n">
        <v>45303</v>
      </c>
      <c r="C59" s="1" t="n">
        <v>45671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Gropticka</t>
        </is>
      </c>
      <c r="S59">
        <f>HYPERLINK("https://klasma.github.io/Logging_1290/artfynd/A 1418-2024 artfynd.xlsx", "A 1418-2024")</f>
        <v/>
      </c>
      <c r="T59">
        <f>HYPERLINK("https://klasma.github.io/Logging_1290/kartor/A 1418-2024 karta.png", "A 1418-2024")</f>
        <v/>
      </c>
      <c r="V59">
        <f>HYPERLINK("https://klasma.github.io/Logging_1290/klagomål/A 1418-2024 FSC-klagomål.docx", "A 1418-2024")</f>
        <v/>
      </c>
      <c r="W59">
        <f>HYPERLINK("https://klasma.github.io/Logging_1290/klagomålsmail/A 1418-2024 FSC-klagomål mail.docx", "A 1418-2024")</f>
        <v/>
      </c>
      <c r="X59">
        <f>HYPERLINK("https://klasma.github.io/Logging_1290/tillsyn/A 1418-2024 tillsynsbegäran.docx", "A 1418-2024")</f>
        <v/>
      </c>
      <c r="Y59">
        <f>HYPERLINK("https://klasma.github.io/Logging_1290/tillsynsmail/A 1418-2024 tillsynsbegäran mail.docx", "A 1418-2024")</f>
        <v/>
      </c>
    </row>
    <row r="60" ht="15" customHeight="1">
      <c r="A60" t="inlineStr">
        <is>
          <t>A 3954-2024</t>
        </is>
      </c>
      <c r="B60" s="1" t="n">
        <v>45322</v>
      </c>
      <c r="C60" s="1" t="n">
        <v>45671</v>
      </c>
      <c r="D60" t="inlineStr">
        <is>
          <t>SKÅNE LÄN</t>
        </is>
      </c>
      <c r="E60" t="inlineStr">
        <is>
          <t>KRISTIANSTAD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HYPERLINK("https://klasma.github.io/Logging_1290/artfynd/A 3954-2024 artfynd.xlsx", "A 3954-2024")</f>
        <v/>
      </c>
      <c r="T60">
        <f>HYPERLINK("https://klasma.github.io/Logging_1290/kartor/A 3954-2024 karta.png", "A 3954-2024")</f>
        <v/>
      </c>
      <c r="V60">
        <f>HYPERLINK("https://klasma.github.io/Logging_1290/klagomål/A 3954-2024 FSC-klagomål.docx", "A 3954-2024")</f>
        <v/>
      </c>
      <c r="W60">
        <f>HYPERLINK("https://klasma.github.io/Logging_1290/klagomålsmail/A 3954-2024 FSC-klagomål mail.docx", "A 3954-2024")</f>
        <v/>
      </c>
      <c r="X60">
        <f>HYPERLINK("https://klasma.github.io/Logging_1290/tillsyn/A 3954-2024 tillsynsbegäran.docx", "A 3954-2024")</f>
        <v/>
      </c>
      <c r="Y60">
        <f>HYPERLINK("https://klasma.github.io/Logging_1290/tillsynsmail/A 3954-2024 tillsynsbegäran mail.docx", "A 3954-2024")</f>
        <v/>
      </c>
    </row>
    <row r="61" ht="15" customHeight="1">
      <c r="A61" t="inlineStr">
        <is>
          <t>A 6245-2024</t>
        </is>
      </c>
      <c r="B61" s="1" t="n">
        <v>45337</v>
      </c>
      <c r="C61" s="1" t="n">
        <v>45671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Flenörtskapuschongfly</t>
        </is>
      </c>
      <c r="S61">
        <f>HYPERLINK("https://klasma.github.io/Logging_1290/artfynd/A 6245-2024 artfynd.xlsx", "A 6245-2024")</f>
        <v/>
      </c>
      <c r="T61">
        <f>HYPERLINK("https://klasma.github.io/Logging_1290/kartor/A 6245-2024 karta.png", "A 6245-2024")</f>
        <v/>
      </c>
      <c r="V61">
        <f>HYPERLINK("https://klasma.github.io/Logging_1290/klagomål/A 6245-2024 FSC-klagomål.docx", "A 6245-2024")</f>
        <v/>
      </c>
      <c r="W61">
        <f>HYPERLINK("https://klasma.github.io/Logging_1290/klagomålsmail/A 6245-2024 FSC-klagomål mail.docx", "A 6245-2024")</f>
        <v/>
      </c>
      <c r="X61">
        <f>HYPERLINK("https://klasma.github.io/Logging_1290/tillsyn/A 6245-2024 tillsynsbegäran.docx", "A 6245-2024")</f>
        <v/>
      </c>
      <c r="Y61">
        <f>HYPERLINK("https://klasma.github.io/Logging_1290/tillsynsmail/A 6245-2024 tillsynsbegäran mail.docx", "A 6245-2024")</f>
        <v/>
      </c>
    </row>
    <row r="62" ht="15" customHeight="1">
      <c r="A62" t="inlineStr">
        <is>
          <t>A 25761-2024</t>
        </is>
      </c>
      <c r="B62" s="1" t="n">
        <v>45465</v>
      </c>
      <c r="C62" s="1" t="n">
        <v>45671</v>
      </c>
      <c r="D62" t="inlineStr">
        <is>
          <t>SKÅNE LÄN</t>
        </is>
      </c>
      <c r="E62" t="inlineStr">
        <is>
          <t>KRISTIANSTAD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HYPERLINK("https://klasma.github.io/Logging_1290/artfynd/A 25761-2024 artfynd.xlsx", "A 25761-2024")</f>
        <v/>
      </c>
      <c r="T62">
        <f>HYPERLINK("https://klasma.github.io/Logging_1290/kartor/A 25761-2024 karta.png", "A 25761-2024")</f>
        <v/>
      </c>
      <c r="V62">
        <f>HYPERLINK("https://klasma.github.io/Logging_1290/klagomål/A 25761-2024 FSC-klagomål.docx", "A 25761-2024")</f>
        <v/>
      </c>
      <c r="W62">
        <f>HYPERLINK("https://klasma.github.io/Logging_1290/klagomålsmail/A 25761-2024 FSC-klagomål mail.docx", "A 25761-2024")</f>
        <v/>
      </c>
      <c r="X62">
        <f>HYPERLINK("https://klasma.github.io/Logging_1290/tillsyn/A 25761-2024 tillsynsbegäran.docx", "A 25761-2024")</f>
        <v/>
      </c>
      <c r="Y62">
        <f>HYPERLINK("https://klasma.github.io/Logging_1290/tillsynsmail/A 25761-2024 tillsynsbegäran mail.docx", "A 25761-2024")</f>
        <v/>
      </c>
    </row>
    <row r="63" ht="15" customHeight="1">
      <c r="A63" t="inlineStr">
        <is>
          <t>A 28429-2024</t>
        </is>
      </c>
      <c r="B63" s="1" t="n">
        <v>45477</v>
      </c>
      <c r="C63" s="1" t="n">
        <v>45671</v>
      </c>
      <c r="D63" t="inlineStr">
        <is>
          <t>SKÅNE LÄN</t>
        </is>
      </c>
      <c r="E63" t="inlineStr">
        <is>
          <t>KRISTIANSTAD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28429-2024 artfynd.xlsx", "A 28429-2024")</f>
        <v/>
      </c>
      <c r="T63">
        <f>HYPERLINK("https://klasma.github.io/Logging_1290/kartor/A 28429-2024 karta.png", "A 28429-2024")</f>
        <v/>
      </c>
      <c r="V63">
        <f>HYPERLINK("https://klasma.github.io/Logging_1290/klagomål/A 28429-2024 FSC-klagomål.docx", "A 28429-2024")</f>
        <v/>
      </c>
      <c r="W63">
        <f>HYPERLINK("https://klasma.github.io/Logging_1290/klagomålsmail/A 28429-2024 FSC-klagomål mail.docx", "A 28429-2024")</f>
        <v/>
      </c>
      <c r="X63">
        <f>HYPERLINK("https://klasma.github.io/Logging_1290/tillsyn/A 28429-2024 tillsynsbegäran.docx", "A 28429-2024")</f>
        <v/>
      </c>
      <c r="Y63">
        <f>HYPERLINK("https://klasma.github.io/Logging_1290/tillsynsmail/A 28429-2024 tillsynsbegäran mail.docx", "A 28429-2024")</f>
        <v/>
      </c>
    </row>
    <row r="64" ht="15" customHeight="1">
      <c r="A64" t="inlineStr">
        <is>
          <t>A 28342-2024</t>
        </is>
      </c>
      <c r="B64" s="1" t="n">
        <v>45477</v>
      </c>
      <c r="C64" s="1" t="n">
        <v>45671</v>
      </c>
      <c r="D64" t="inlineStr">
        <is>
          <t>SKÅNE LÄN</t>
        </is>
      </c>
      <c r="E64" t="inlineStr">
        <is>
          <t>KRISTIANSTAD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28342-2024 artfynd.xlsx", "A 28342-2024")</f>
        <v/>
      </c>
      <c r="T64">
        <f>HYPERLINK("https://klasma.github.io/Logging_1290/kartor/A 28342-2024 karta.png", "A 28342-2024")</f>
        <v/>
      </c>
      <c r="V64">
        <f>HYPERLINK("https://klasma.github.io/Logging_1290/klagomål/A 28342-2024 FSC-klagomål.docx", "A 28342-2024")</f>
        <v/>
      </c>
      <c r="W64">
        <f>HYPERLINK("https://klasma.github.io/Logging_1290/klagomålsmail/A 28342-2024 FSC-klagomål mail.docx", "A 28342-2024")</f>
        <v/>
      </c>
      <c r="X64">
        <f>HYPERLINK("https://klasma.github.io/Logging_1290/tillsyn/A 28342-2024 tillsynsbegäran.docx", "A 28342-2024")</f>
        <v/>
      </c>
      <c r="Y64">
        <f>HYPERLINK("https://klasma.github.io/Logging_1290/tillsynsmail/A 28342-2024 tillsynsbegäran mail.docx", "A 28342-2024")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45671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31620-2024</t>
        </is>
      </c>
      <c r="B66" s="1" t="n">
        <v>45506</v>
      </c>
      <c r="C66" s="1" t="n">
        <v>45671</v>
      </c>
      <c r="D66" t="inlineStr">
        <is>
          <t>SKÅNE LÄN</t>
        </is>
      </c>
      <c r="E66" t="inlineStr">
        <is>
          <t>KRISTIANSTAD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31620-2024 artfynd.xlsx", "A 31620-2024")</f>
        <v/>
      </c>
      <c r="T66">
        <f>HYPERLINK("https://klasma.github.io/Logging_1290/kartor/A 31620-2024 karta.png", "A 31620-2024")</f>
        <v/>
      </c>
      <c r="V66">
        <f>HYPERLINK("https://klasma.github.io/Logging_1290/klagomål/A 31620-2024 FSC-klagomål.docx", "A 31620-2024")</f>
        <v/>
      </c>
      <c r="W66">
        <f>HYPERLINK("https://klasma.github.io/Logging_1290/klagomålsmail/A 31620-2024 FSC-klagomål mail.docx", "A 31620-2024")</f>
        <v/>
      </c>
      <c r="X66">
        <f>HYPERLINK("https://klasma.github.io/Logging_1290/tillsyn/A 31620-2024 tillsynsbegäran.docx", "A 31620-2024")</f>
        <v/>
      </c>
      <c r="Y66">
        <f>HYPERLINK("https://klasma.github.io/Logging_1290/tillsynsmail/A 31620-2024 tillsynsbegäran mail.docx", "A 31620-2024")</f>
        <v/>
      </c>
    </row>
    <row r="67" ht="15" customHeight="1">
      <c r="A67" t="inlineStr">
        <is>
          <t>A 32101-2024</t>
        </is>
      </c>
      <c r="B67" s="1" t="n">
        <v>45511</v>
      </c>
      <c r="C67" s="1" t="n">
        <v>45671</v>
      </c>
      <c r="D67" t="inlineStr">
        <is>
          <t>SKÅNE LÄN</t>
        </is>
      </c>
      <c r="E67" t="inlineStr">
        <is>
          <t>KRISTIANSTAD</t>
        </is>
      </c>
      <c r="G67" t="n">
        <v>6.6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HYPERLINK("https://klasma.github.io/Logging_1290/artfynd/A 32101-2024 artfynd.xlsx", "A 32101-2024")</f>
        <v/>
      </c>
      <c r="T67">
        <f>HYPERLINK("https://klasma.github.io/Logging_1290/kartor/A 32101-2024 karta.png", "A 32101-2024")</f>
        <v/>
      </c>
      <c r="V67">
        <f>HYPERLINK("https://klasma.github.io/Logging_1290/klagomål/A 32101-2024 FSC-klagomål.docx", "A 32101-2024")</f>
        <v/>
      </c>
      <c r="W67">
        <f>HYPERLINK("https://klasma.github.io/Logging_1290/klagomålsmail/A 32101-2024 FSC-klagomål mail.docx", "A 32101-2024")</f>
        <v/>
      </c>
      <c r="X67">
        <f>HYPERLINK("https://klasma.github.io/Logging_1290/tillsyn/A 32101-2024 tillsynsbegäran.docx", "A 32101-2024")</f>
        <v/>
      </c>
      <c r="Y67">
        <f>HYPERLINK("https://klasma.github.io/Logging_1290/tillsynsmail/A 32101-2024 tillsynsbegäran mail.docx", "A 32101-2024")</f>
        <v/>
      </c>
    </row>
    <row r="68" ht="15" customHeight="1">
      <c r="A68" t="inlineStr">
        <is>
          <t>A 18260-2019</t>
        </is>
      </c>
      <c r="B68" s="1" t="n">
        <v>43557</v>
      </c>
      <c r="C68" s="1" t="n">
        <v>45671</v>
      </c>
      <c r="D68" t="inlineStr">
        <is>
          <t>SKÅNE LÄN</t>
        </is>
      </c>
      <c r="E68" t="inlineStr">
        <is>
          <t>KRISTIANSTAD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18412-2019</t>
        </is>
      </c>
      <c r="B69" s="1" t="n">
        <v>43559</v>
      </c>
      <c r="C69" s="1" t="n">
        <v>45671</v>
      </c>
      <c r="D69" t="inlineStr">
        <is>
          <t>SKÅNE LÄN</t>
        </is>
      </c>
      <c r="E69" t="inlineStr">
        <is>
          <t>KRISTIANSTAD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19183-2019</t>
        </is>
      </c>
      <c r="B70" s="1" t="n">
        <v>43564</v>
      </c>
      <c r="C70" s="1" t="n">
        <v>45671</v>
      </c>
      <c r="D70" t="inlineStr">
        <is>
          <t>SKÅNE LÄN</t>
        </is>
      </c>
      <c r="E70" t="inlineStr">
        <is>
          <t>KRISTIANSTAD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19327-2019</t>
        </is>
      </c>
      <c r="B71" s="1" t="n">
        <v>43565</v>
      </c>
      <c r="C71" s="1" t="n">
        <v>45671</v>
      </c>
      <c r="D71" t="inlineStr">
        <is>
          <t>SKÅNE LÄN</t>
        </is>
      </c>
      <c r="E71" t="inlineStr">
        <is>
          <t>KRISTIANSTAD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19596-2019</t>
        </is>
      </c>
      <c r="B72" s="1" t="n">
        <v>43565</v>
      </c>
      <c r="C72" s="1" t="n">
        <v>45671</v>
      </c>
      <c r="D72" t="inlineStr">
        <is>
          <t>SKÅNE LÄN</t>
        </is>
      </c>
      <c r="E72" t="inlineStr">
        <is>
          <t>KRISTIANSTAD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19508-2019</t>
        </is>
      </c>
      <c r="B73" s="1" t="n">
        <v>43565</v>
      </c>
      <c r="C73" s="1" t="n">
        <v>45671</v>
      </c>
      <c r="D73" t="inlineStr">
        <is>
          <t>SKÅNE LÄN</t>
        </is>
      </c>
      <c r="E73" t="inlineStr">
        <is>
          <t>KRISTIANSTAD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19661-2019</t>
        </is>
      </c>
      <c r="B74" s="1" t="n">
        <v>43566</v>
      </c>
      <c r="C74" s="1" t="n">
        <v>45671</v>
      </c>
      <c r="D74" t="inlineStr">
        <is>
          <t>SKÅNE LÄN</t>
        </is>
      </c>
      <c r="E74" t="inlineStr">
        <is>
          <t>KRISTIANSTAD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19664-2019</t>
        </is>
      </c>
      <c r="B75" s="1" t="n">
        <v>43566</v>
      </c>
      <c r="C75" s="1" t="n">
        <v>45671</v>
      </c>
      <c r="D75" t="inlineStr">
        <is>
          <t>SKÅNE LÄN</t>
        </is>
      </c>
      <c r="E75" t="inlineStr">
        <is>
          <t>KRISTIANSTAD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20332-2019</t>
        </is>
      </c>
      <c r="B76" s="1" t="n">
        <v>43571</v>
      </c>
      <c r="C76" s="1" t="n">
        <v>45671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20530-2019</t>
        </is>
      </c>
      <c r="B77" s="1" t="n">
        <v>43572</v>
      </c>
      <c r="C77" s="1" t="n">
        <v>45671</v>
      </c>
      <c r="D77" t="inlineStr">
        <is>
          <t>SKÅNE LÄN</t>
        </is>
      </c>
      <c r="E77" t="inlineStr">
        <is>
          <t>KRISTIANSTAD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21578-2019</t>
        </is>
      </c>
      <c r="B78" s="1" t="n">
        <v>43580</v>
      </c>
      <c r="C78" s="1" t="n">
        <v>45671</v>
      </c>
      <c r="D78" t="inlineStr">
        <is>
          <t>SKÅNE LÄN</t>
        </is>
      </c>
      <c r="E78" t="inlineStr">
        <is>
          <t>KRISTIANSTAD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21982-2019</t>
        </is>
      </c>
      <c r="B79" s="1" t="n">
        <v>43584</v>
      </c>
      <c r="C79" s="1" t="n">
        <v>45671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24086-2019</t>
        </is>
      </c>
      <c r="B80" s="1" t="n">
        <v>43598</v>
      </c>
      <c r="C80" s="1" t="n">
        <v>45671</v>
      </c>
      <c r="D80" t="inlineStr">
        <is>
          <t>SKÅNE LÄN</t>
        </is>
      </c>
      <c r="E80" t="inlineStr">
        <is>
          <t>KRISTIANSTAD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24083-2019</t>
        </is>
      </c>
      <c r="B81" s="1" t="n">
        <v>43598</v>
      </c>
      <c r="C81" s="1" t="n">
        <v>45671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26698-2019</t>
        </is>
      </c>
      <c r="B82" s="1" t="n">
        <v>43607</v>
      </c>
      <c r="C82" s="1" t="n">
        <v>45671</v>
      </c>
      <c r="D82" t="inlineStr">
        <is>
          <t>SKÅNE LÄN</t>
        </is>
      </c>
      <c r="E82" t="inlineStr">
        <is>
          <t>KRISTIANSTAD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32841-2019</t>
        </is>
      </c>
      <c r="B83" s="1" t="n">
        <v>43648</v>
      </c>
      <c r="C83" s="1" t="n">
        <v>45671</v>
      </c>
      <c r="D83" t="inlineStr">
        <is>
          <t>SKÅNE LÄN</t>
        </is>
      </c>
      <c r="E83" t="inlineStr">
        <is>
          <t>KRISTIANSTAD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32790-2019</t>
        </is>
      </c>
      <c r="B84" s="1" t="n">
        <v>43648</v>
      </c>
      <c r="C84" s="1" t="n">
        <v>45671</v>
      </c>
      <c r="D84" t="inlineStr">
        <is>
          <t>SKÅNE LÄN</t>
        </is>
      </c>
      <c r="E84" t="inlineStr">
        <is>
          <t>KRISTIANSTAD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32839-2019</t>
        </is>
      </c>
      <c r="B85" s="1" t="n">
        <v>43648</v>
      </c>
      <c r="C85" s="1" t="n">
        <v>45671</v>
      </c>
      <c r="D85" t="inlineStr">
        <is>
          <t>SKÅNE LÄN</t>
        </is>
      </c>
      <c r="E85" t="inlineStr">
        <is>
          <t>KRISTIANSTAD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36156-2019</t>
        </is>
      </c>
      <c r="B86" s="1" t="n">
        <v>43668</v>
      </c>
      <c r="C86" s="1" t="n">
        <v>45671</v>
      </c>
      <c r="D86" t="inlineStr">
        <is>
          <t>SKÅNE LÄN</t>
        </is>
      </c>
      <c r="E86" t="inlineStr">
        <is>
          <t>KRISTIANSTAD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36288-2019</t>
        </is>
      </c>
      <c r="B87" s="1" t="n">
        <v>43669</v>
      </c>
      <c r="C87" s="1" t="n">
        <v>45671</v>
      </c>
      <c r="D87" t="inlineStr">
        <is>
          <t>SKÅNE LÄN</t>
        </is>
      </c>
      <c r="E87" t="inlineStr">
        <is>
          <t>KRISTIANSTAD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36362-2019</t>
        </is>
      </c>
      <c r="B88" s="1" t="n">
        <v>43670</v>
      </c>
      <c r="C88" s="1" t="n">
        <v>45671</v>
      </c>
      <c r="D88" t="inlineStr">
        <is>
          <t>SKÅNE LÄN</t>
        </is>
      </c>
      <c r="E88" t="inlineStr">
        <is>
          <t>KRISTIANSTAD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37836-2019</t>
        </is>
      </c>
      <c r="B89" s="1" t="n">
        <v>43682</v>
      </c>
      <c r="C89" s="1" t="n">
        <v>45671</v>
      </c>
      <c r="D89" t="inlineStr">
        <is>
          <t>SKÅNE LÄN</t>
        </is>
      </c>
      <c r="E89" t="inlineStr">
        <is>
          <t>KRISTIANSTAD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37871-2019</t>
        </is>
      </c>
      <c r="B90" s="1" t="n">
        <v>43682</v>
      </c>
      <c r="C90" s="1" t="n">
        <v>45671</v>
      </c>
      <c r="D90" t="inlineStr">
        <is>
          <t>SKÅNE LÄN</t>
        </is>
      </c>
      <c r="E90" t="inlineStr">
        <is>
          <t>KRISTIANSTAD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39790-2019</t>
        </is>
      </c>
      <c r="B91" s="1" t="n">
        <v>43689</v>
      </c>
      <c r="C91" s="1" t="n">
        <v>45671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40847-2019</t>
        </is>
      </c>
      <c r="B92" s="1" t="n">
        <v>43692</v>
      </c>
      <c r="C92" s="1" t="n">
        <v>45671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41164-2019</t>
        </is>
      </c>
      <c r="B93" s="1" t="n">
        <v>43693</v>
      </c>
      <c r="C93" s="1" t="n">
        <v>45671</v>
      </c>
      <c r="D93" t="inlineStr">
        <is>
          <t>SKÅNE LÄN</t>
        </is>
      </c>
      <c r="E93" t="inlineStr">
        <is>
          <t>KRISTIANSTAD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41878-2019</t>
        </is>
      </c>
      <c r="B94" s="1" t="n">
        <v>43700</v>
      </c>
      <c r="C94" s="1" t="n">
        <v>45671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44800-2019</t>
        </is>
      </c>
      <c r="B95" s="1" t="n">
        <v>43712</v>
      </c>
      <c r="C95" s="1" t="n">
        <v>45671</v>
      </c>
      <c r="D95" t="inlineStr">
        <is>
          <t>SKÅNE LÄN</t>
        </is>
      </c>
      <c r="E95" t="inlineStr">
        <is>
          <t>KRISTIANSTAD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45213-2019</t>
        </is>
      </c>
      <c r="B96" s="1" t="n">
        <v>43713</v>
      </c>
      <c r="C96" s="1" t="n">
        <v>45671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45799-2019</t>
        </is>
      </c>
      <c r="B97" s="1" t="n">
        <v>43717</v>
      </c>
      <c r="C97" s="1" t="n">
        <v>45671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46298-2019</t>
        </is>
      </c>
      <c r="B98" s="1" t="n">
        <v>43718</v>
      </c>
      <c r="C98" s="1" t="n">
        <v>45671</v>
      </c>
      <c r="D98" t="inlineStr">
        <is>
          <t>SKÅNE LÄN</t>
        </is>
      </c>
      <c r="E98" t="inlineStr">
        <is>
          <t>KRISTIANSTAD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46403-2019</t>
        </is>
      </c>
      <c r="B99" s="1" t="n">
        <v>43719</v>
      </c>
      <c r="C99" s="1" t="n">
        <v>45671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47757-2019</t>
        </is>
      </c>
      <c r="B100" s="1" t="n">
        <v>43724</v>
      </c>
      <c r="C100" s="1" t="n">
        <v>45671</v>
      </c>
      <c r="D100" t="inlineStr">
        <is>
          <t>SKÅNE LÄN</t>
        </is>
      </c>
      <c r="E100" t="inlineStr">
        <is>
          <t>KRISTIANSTAD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51052-2019</t>
        </is>
      </c>
      <c r="B101" s="1" t="n">
        <v>43739</v>
      </c>
      <c r="C101" s="1" t="n">
        <v>45671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51745-2019</t>
        </is>
      </c>
      <c r="B102" s="1" t="n">
        <v>43741</v>
      </c>
      <c r="C102" s="1" t="n">
        <v>45671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52997-2019</t>
        </is>
      </c>
      <c r="B103" s="1" t="n">
        <v>43747</v>
      </c>
      <c r="C103" s="1" t="n">
        <v>45671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52978-2019</t>
        </is>
      </c>
      <c r="B104" s="1" t="n">
        <v>43747</v>
      </c>
      <c r="C104" s="1" t="n">
        <v>45671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59293-2019</t>
        </is>
      </c>
      <c r="B105" s="1" t="n">
        <v>43773</v>
      </c>
      <c r="C105" s="1" t="n">
        <v>45671</v>
      </c>
      <c r="D105" t="inlineStr">
        <is>
          <t>SKÅNE LÄN</t>
        </is>
      </c>
      <c r="E105" t="inlineStr">
        <is>
          <t>KRISTIANSTAD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59946-2019</t>
        </is>
      </c>
      <c r="B106" s="1" t="n">
        <v>43775</v>
      </c>
      <c r="C106" s="1" t="n">
        <v>45671</v>
      </c>
      <c r="D106" t="inlineStr">
        <is>
          <t>SKÅNE LÄN</t>
        </is>
      </c>
      <c r="E106" t="inlineStr">
        <is>
          <t>KRISTIANSTAD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64957-2019</t>
        </is>
      </c>
      <c r="B107" s="1" t="n">
        <v>43795</v>
      </c>
      <c r="C107" s="1" t="n">
        <v>45671</v>
      </c>
      <c r="D107" t="inlineStr">
        <is>
          <t>SKÅNE LÄN</t>
        </is>
      </c>
      <c r="E107" t="inlineStr">
        <is>
          <t>KRISTIANSTAD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64949-2019</t>
        </is>
      </c>
      <c r="B108" s="1" t="n">
        <v>43801</v>
      </c>
      <c r="C108" s="1" t="n">
        <v>45671</v>
      </c>
      <c r="D108" t="inlineStr">
        <is>
          <t>SKÅNE LÄN</t>
        </is>
      </c>
      <c r="E108" t="inlineStr">
        <is>
          <t>KRISTIANSTAD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65603-2019</t>
        </is>
      </c>
      <c r="B109" s="1" t="n">
        <v>43804</v>
      </c>
      <c r="C109" s="1" t="n">
        <v>45671</v>
      </c>
      <c r="D109" t="inlineStr">
        <is>
          <t>SKÅNE LÄN</t>
        </is>
      </c>
      <c r="E109" t="inlineStr">
        <is>
          <t>KRISTIANSTAD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66782-2019</t>
        </is>
      </c>
      <c r="B110" s="1" t="n">
        <v>43804</v>
      </c>
      <c r="C110" s="1" t="n">
        <v>45671</v>
      </c>
      <c r="D110" t="inlineStr">
        <is>
          <t>SKÅNE LÄN</t>
        </is>
      </c>
      <c r="E110" t="inlineStr">
        <is>
          <t>KRISTIANSTAD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67147-2019</t>
        </is>
      </c>
      <c r="B111" s="1" t="n">
        <v>43811</v>
      </c>
      <c r="C111" s="1" t="n">
        <v>45671</v>
      </c>
      <c r="D111" t="inlineStr">
        <is>
          <t>SKÅNE LÄN</t>
        </is>
      </c>
      <c r="E111" t="inlineStr">
        <is>
          <t>KRISTIANSTAD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67195-2019</t>
        </is>
      </c>
      <c r="B112" s="1" t="n">
        <v>43811</v>
      </c>
      <c r="C112" s="1" t="n">
        <v>45671</v>
      </c>
      <c r="D112" t="inlineStr">
        <is>
          <t>SKÅNE LÄN</t>
        </is>
      </c>
      <c r="E112" t="inlineStr">
        <is>
          <t>KRISTIANSTAD</t>
        </is>
      </c>
      <c r="G112" t="n">
        <v>17.9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67347-2019</t>
        </is>
      </c>
      <c r="B113" s="1" t="n">
        <v>43812</v>
      </c>
      <c r="C113" s="1" t="n">
        <v>45671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67970-2019</t>
        </is>
      </c>
      <c r="B114" s="1" t="n">
        <v>43816</v>
      </c>
      <c r="C114" s="1" t="n">
        <v>45671</v>
      </c>
      <c r="D114" t="inlineStr">
        <is>
          <t>SKÅNE LÄN</t>
        </is>
      </c>
      <c r="E114" t="inlineStr">
        <is>
          <t>KRISTIANSTAD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67968-2019</t>
        </is>
      </c>
      <c r="B115" s="1" t="n">
        <v>43816</v>
      </c>
      <c r="C115" s="1" t="n">
        <v>45671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842-2020</t>
        </is>
      </c>
      <c r="B116" s="1" t="n">
        <v>43818</v>
      </c>
      <c r="C116" s="1" t="n">
        <v>45671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851-2020</t>
        </is>
      </c>
      <c r="B117" s="1" t="n">
        <v>43818</v>
      </c>
      <c r="C117" s="1" t="n">
        <v>45671</v>
      </c>
      <c r="D117" t="inlineStr">
        <is>
          <t>SKÅNE LÄN</t>
        </is>
      </c>
      <c r="E117" t="inlineStr">
        <is>
          <t>KRISTIANSTAD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1249-2020</t>
        </is>
      </c>
      <c r="B118" s="1" t="n">
        <v>43840</v>
      </c>
      <c r="C118" s="1" t="n">
        <v>45671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3624-2020</t>
        </is>
      </c>
      <c r="B119" s="1" t="n">
        <v>43845</v>
      </c>
      <c r="C119" s="1" t="n">
        <v>45671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3573-2020</t>
        </is>
      </c>
      <c r="B120" s="1" t="n">
        <v>43845</v>
      </c>
      <c r="C120" s="1" t="n">
        <v>45671</v>
      </c>
      <c r="D120" t="inlineStr">
        <is>
          <t>SKÅNE LÄN</t>
        </is>
      </c>
      <c r="E120" t="inlineStr">
        <is>
          <t>KRISTIANSTAD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5177-2020</t>
        </is>
      </c>
      <c r="B121" s="1" t="n">
        <v>43860</v>
      </c>
      <c r="C121" s="1" t="n">
        <v>45671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6143-2020</t>
        </is>
      </c>
      <c r="B122" s="1" t="n">
        <v>43865</v>
      </c>
      <c r="C122" s="1" t="n">
        <v>45671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7085-2020</t>
        </is>
      </c>
      <c r="B123" s="1" t="n">
        <v>43868</v>
      </c>
      <c r="C123" s="1" t="n">
        <v>45671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6928-2020</t>
        </is>
      </c>
      <c r="B124" s="1" t="n">
        <v>43868</v>
      </c>
      <c r="C124" s="1" t="n">
        <v>45671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7578-2020</t>
        </is>
      </c>
      <c r="B125" s="1" t="n">
        <v>43872</v>
      </c>
      <c r="C125" s="1" t="n">
        <v>45671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8946-2020</t>
        </is>
      </c>
      <c r="B126" s="1" t="n">
        <v>43878</v>
      </c>
      <c r="C126" s="1" t="n">
        <v>45671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9078-2020</t>
        </is>
      </c>
      <c r="B127" s="1" t="n">
        <v>43879</v>
      </c>
      <c r="C127" s="1" t="n">
        <v>45671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9812-2020</t>
        </is>
      </c>
      <c r="B128" s="1" t="n">
        <v>43881</v>
      </c>
      <c r="C128" s="1" t="n">
        <v>45671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11262-2020</t>
        </is>
      </c>
      <c r="B129" s="1" t="n">
        <v>43888</v>
      </c>
      <c r="C129" s="1" t="n">
        <v>45671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17290-2020</t>
        </is>
      </c>
      <c r="B130" s="1" t="n">
        <v>43915</v>
      </c>
      <c r="C130" s="1" t="n">
        <v>45671</v>
      </c>
      <c r="D130" t="inlineStr">
        <is>
          <t>SKÅNE LÄN</t>
        </is>
      </c>
      <c r="E130" t="inlineStr">
        <is>
          <t>KRISTIANSTAD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16388-2020</t>
        </is>
      </c>
      <c r="B131" s="1" t="n">
        <v>43917</v>
      </c>
      <c r="C131" s="1" t="n">
        <v>45671</v>
      </c>
      <c r="D131" t="inlineStr">
        <is>
          <t>SKÅNE LÄN</t>
        </is>
      </c>
      <c r="E131" t="inlineStr">
        <is>
          <t>KRISTIANSTAD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18677-2020</t>
        </is>
      </c>
      <c r="B132" s="1" t="n">
        <v>43930</v>
      </c>
      <c r="C132" s="1" t="n">
        <v>45671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18881-2020</t>
        </is>
      </c>
      <c r="B133" s="1" t="n">
        <v>43935</v>
      </c>
      <c r="C133" s="1" t="n">
        <v>45671</v>
      </c>
      <c r="D133" t="inlineStr">
        <is>
          <t>SKÅNE LÄN</t>
        </is>
      </c>
      <c r="E133" t="inlineStr">
        <is>
          <t>KRISTIANSTAD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21356-2020</t>
        </is>
      </c>
      <c r="B134" s="1" t="n">
        <v>43955</v>
      </c>
      <c r="C134" s="1" t="n">
        <v>45671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24659-2020</t>
        </is>
      </c>
      <c r="B135" s="1" t="n">
        <v>43977</v>
      </c>
      <c r="C135" s="1" t="n">
        <v>45671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24667-2020</t>
        </is>
      </c>
      <c r="B136" s="1" t="n">
        <v>43977</v>
      </c>
      <c r="C136" s="1" t="n">
        <v>45671</v>
      </c>
      <c r="D136" t="inlineStr">
        <is>
          <t>SKÅNE LÄN</t>
        </is>
      </c>
      <c r="E136" t="inlineStr">
        <is>
          <t>KRISTIANSTAD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25893-2020</t>
        </is>
      </c>
      <c r="B137" s="1" t="n">
        <v>43984</v>
      </c>
      <c r="C137" s="1" t="n">
        <v>45671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26991-2020</t>
        </is>
      </c>
      <c r="B138" s="1" t="n">
        <v>43991</v>
      </c>
      <c r="C138" s="1" t="n">
        <v>45671</v>
      </c>
      <c r="D138" t="inlineStr">
        <is>
          <t>SKÅNE LÄN</t>
        </is>
      </c>
      <c r="E138" t="inlineStr">
        <is>
          <t>KRISTIANSTAD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28003-2020</t>
        </is>
      </c>
      <c r="B139" s="1" t="n">
        <v>43997</v>
      </c>
      <c r="C139" s="1" t="n">
        <v>45671</v>
      </c>
      <c r="D139" t="inlineStr">
        <is>
          <t>SKÅNE LÄN</t>
        </is>
      </c>
      <c r="E139" t="inlineStr">
        <is>
          <t>KRISTIANSTAD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29462-2020</t>
        </is>
      </c>
      <c r="B140" s="1" t="n">
        <v>44004</v>
      </c>
      <c r="C140" s="1" t="n">
        <v>45671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32517-2020</t>
        </is>
      </c>
      <c r="B141" s="1" t="n">
        <v>44018</v>
      </c>
      <c r="C141" s="1" t="n">
        <v>45671</v>
      </c>
      <c r="D141" t="inlineStr">
        <is>
          <t>SKÅNE LÄN</t>
        </is>
      </c>
      <c r="E141" t="inlineStr">
        <is>
          <t>KRISTIANSTAD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32593-2020</t>
        </is>
      </c>
      <c r="B142" s="1" t="n">
        <v>44019</v>
      </c>
      <c r="C142" s="1" t="n">
        <v>45671</v>
      </c>
      <c r="D142" t="inlineStr">
        <is>
          <t>SKÅNE LÄN</t>
        </is>
      </c>
      <c r="E142" t="inlineStr">
        <is>
          <t>KRISTIANSTAD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33516-2020</t>
        </is>
      </c>
      <c r="B143" s="1" t="n">
        <v>44022</v>
      </c>
      <c r="C143" s="1" t="n">
        <v>45671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33511-2020</t>
        </is>
      </c>
      <c r="B144" s="1" t="n">
        <v>44022</v>
      </c>
      <c r="C144" s="1" t="n">
        <v>45671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33515-2020</t>
        </is>
      </c>
      <c r="B145" s="1" t="n">
        <v>44022</v>
      </c>
      <c r="C145" s="1" t="n">
        <v>45671</v>
      </c>
      <c r="D145" t="inlineStr">
        <is>
          <t>SKÅNE LÄN</t>
        </is>
      </c>
      <c r="E145" t="inlineStr">
        <is>
          <t>KRISTIANSTAD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33733-2020</t>
        </is>
      </c>
      <c r="B146" s="1" t="n">
        <v>44022</v>
      </c>
      <c r="C146" s="1" t="n">
        <v>45671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45671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45671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45671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45671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45671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45671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45671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45671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45671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45671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45671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45671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45671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45671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45671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45671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45671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45671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45671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45671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45671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45671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45671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45671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45671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45671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45671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45671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45671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45671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45671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45671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45671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45671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45671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45671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45671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45671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45671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45671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45671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45671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45671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45671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45671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45671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45671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45671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45671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45671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45671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45671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45671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45671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45671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45671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45671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45671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45671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45671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45671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45671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45671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45671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45671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45671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45671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45671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45671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45671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45671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45671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45671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45671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45671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45671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45671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45671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45671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45671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45671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45671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45671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45671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45671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45671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45671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45671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45671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45671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45671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45671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45671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45671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45671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45671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45671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45671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45671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45671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45671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45671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45671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45671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45671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45671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45671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45671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45671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45671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45671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45671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45671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45671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45671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45671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45671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45671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45671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45671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45671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45671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45671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45671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45671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45671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45671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45671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45671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45671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45671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45671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45671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45671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45671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45671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45671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45671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45671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45671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45671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45671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45671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45671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45671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45671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45671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45671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45671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45671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45671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45671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45671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45671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45671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45671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45671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45671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45671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45671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45671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45671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45671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45671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45671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45671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45671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45671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45671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45671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45671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45671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45671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45671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45671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45671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45671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45671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45671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45671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45671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45671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45671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45671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45671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45671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45671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45671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45671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45671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45671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45671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45671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45671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45671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45671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45671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45671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45671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45671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45671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45671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45671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45671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45671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45671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45671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45671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45671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45671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45671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45671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45671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45671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45671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45671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45671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45671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45671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45671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45671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45671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45671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45671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45671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45671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45671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45671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45671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45671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45671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45671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45671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45671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45671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45671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45671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45671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45671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45671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45671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45671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45671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45671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45671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45671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45671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45671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45671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45671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45671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45671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45671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45671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45671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45671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45671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45671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45671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45671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45671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45671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45671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45671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45671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45671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45671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45671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45671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45671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45671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45671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45671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45671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45671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45671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45671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45671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45671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45671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45671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45671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45671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45671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45671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45671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45671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45671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45671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45671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45671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45671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45671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45671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45671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45671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45671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45671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45671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45671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45671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45671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45671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45671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45671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45671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45671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45671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45671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45671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45671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45671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45671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45671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45671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45671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45671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45671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45671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45671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45671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45671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45671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45671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45671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45671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45671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45671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45671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45671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45671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45671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45671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45671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45671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45671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45671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45671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45671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45671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45671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45671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45671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45671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45671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45671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45671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45671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45671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45671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45671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45671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45671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45671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45671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45671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45671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45671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45671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45671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45671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45671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45671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45671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45671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45671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45671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45671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45671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45671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45671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45671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45671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45671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45671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45671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45671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45671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45671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45671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45671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45671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45671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45671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45671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45671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45671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45671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45671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45671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45671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45671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45671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45671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45671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45671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45671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45671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45671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45671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45671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45671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45671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45671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45671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45671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45671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45671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45671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45671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45671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45671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45671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45671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45671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45671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45671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45671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45671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45671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45671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45671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45671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45671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45671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45671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45671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45671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45671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45671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45671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45671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45671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45671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45671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45671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45671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45671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45671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45671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45671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45671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45671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45671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45671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45671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45671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45671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45671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45671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45671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45671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45671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45671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45671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45671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45671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45671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45671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45671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45671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45671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45671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45671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45671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45671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45671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45671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45671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45671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45671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45671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45671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45671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45671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45671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45671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45671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45671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45671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45671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45671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45671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45671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45671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45671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45671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45671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45671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45671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45671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45671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45671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45671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45671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45671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45671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45671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45671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45671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45671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45671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45671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45671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45671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45671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45671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45671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45671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45671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45671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45671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45671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45671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45671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45671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45671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45671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45671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45671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45671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45671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45671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45671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45671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45671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45671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45671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45671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45671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45671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45671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45671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45671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45671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45671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45671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45671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45671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45671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45671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45671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45671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45671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45671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45671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45671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45671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45671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45671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45671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45671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45671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45671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45671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45671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45671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45671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45671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45671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45671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45671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45671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45671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45671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45671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45671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45671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45671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45671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45671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45671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45671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45671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45671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45671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45671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45671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45671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45671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45671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45671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45671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45671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45671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45671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45671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45671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45671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45671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45671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45671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45671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45671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45671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45671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45671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45671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45671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45671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45671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45671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45671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45671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45671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45671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45671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45671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45671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45671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45671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45671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45671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45671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45671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45671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45671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45671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45671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45671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45671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45671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45671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45671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45671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45671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45671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45671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45671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45671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45671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45671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45671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45671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45671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45671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45671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45671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45671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45671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45671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45671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45671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45671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45671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45671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45671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45671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45671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45671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45671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45671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45671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45671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45671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45671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45671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45671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45671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45671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45671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45671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45671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45671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45671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45671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45671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45671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45671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45671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45671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45671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45671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45671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45671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45671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45671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45671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45671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45671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45671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45671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45671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45671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45671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45671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45671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45671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45671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45671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45671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45671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45671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45671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45671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45671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45671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45671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45671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45671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60997-2024</t>
        </is>
      </c>
      <c r="B971" s="1" t="n">
        <v>45644</v>
      </c>
      <c r="C971" s="1" t="n">
        <v>45671</v>
      </c>
      <c r="D971" t="inlineStr">
        <is>
          <t>SKÅNE LÄN</t>
        </is>
      </c>
      <c r="E971" t="inlineStr">
        <is>
          <t>KRISTIANSTAD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45671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61348-2024</t>
        </is>
      </c>
      <c r="B973" s="1" t="n">
        <v>45646</v>
      </c>
      <c r="C973" s="1" t="n">
        <v>45671</v>
      </c>
      <c r="D973" t="inlineStr">
        <is>
          <t>SKÅNE LÄN</t>
        </is>
      </c>
      <c r="E973" t="inlineStr">
        <is>
          <t>KRISTIANSTAD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45671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45671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45671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45671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45671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45671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45671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45671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45671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45671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45671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45671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45671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45671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45671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45671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1427-2025</t>
        </is>
      </c>
      <c r="B991" s="1" t="n">
        <v>45668</v>
      </c>
      <c r="C991" s="1" t="n">
        <v>45671</v>
      </c>
      <c r="D991" t="inlineStr">
        <is>
          <t>SKÅNE LÄN</t>
        </is>
      </c>
      <c r="E991" t="inlineStr">
        <is>
          <t>KRISTIANSTAD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45671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45671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1660-2025</t>
        </is>
      </c>
      <c r="B994" s="1" t="n">
        <v>45670</v>
      </c>
      <c r="C994" s="1" t="n">
        <v>45671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2025-01-14T16:25:17Z</dcterms:created>
  <dcterms:modified xmlns:dcterms="http://purl.org/dc/terms/" xmlns:xsi="http://www.w3.org/2001/XMLSchema-instance" xsi:type="dcterms:W3CDTF">2025-01-14T16:25:18Z</dcterms:modified>
</cp:coreProperties>
</file>