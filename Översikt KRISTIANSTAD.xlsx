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46219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V2">
        <f>HYPERLINK("https://klasma.github.io/Logging_1290/artfynd/S 2980-2025 artfynd.xlsx", "S 2980-2025")</f>
        <v/>
      </c>
      <c r="W2">
        <f>HYPERLINK("https://klasma.github.io/Logging_1290/kartor/S 2980-2025 karta.png", "S 2980-2025")</f>
        <v/>
      </c>
      <c r="Y2">
        <f>HYPERLINK("https://klasma.github.io/Logging_1290/klagomål/S 2980-2025 FSC-klagomål.docx", "S 2980-2025")</f>
        <v/>
      </c>
      <c r="Z2">
        <f>HYPERLINK("https://klasma.github.io/Logging_1290/klagomålsmail/S 2980-2025 FSC-klagomål mail.docx", "S 2980-2025")</f>
        <v/>
      </c>
      <c r="AA2">
        <f>HYPERLINK("https://klasma.github.io/Logging_1290/tillsyn/S 2980-2025 tillsynsbegäran.docx", "S 2980-2025")</f>
        <v/>
      </c>
      <c r="AB2">
        <f>HYPERLINK("https://klasma.github.io/Logging_1290/tillsynsmail/S 2980-2025 tillsynsbegäran mail.docx", "S 2980-2025")</f>
        <v/>
      </c>
      <c r="AC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46219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V3">
        <f>HYPERLINK("https://klasma.github.io/Logging_1290/artfynd/A 52019-2021 artfynd.xlsx", "A 52019-2021")</f>
        <v/>
      </c>
      <c r="W3">
        <f>HYPERLINK("https://klasma.github.io/Logging_1290/kartor/A 52019-2021 karta.png", "A 52019-2021")</f>
        <v/>
      </c>
      <c r="Y3">
        <f>HYPERLINK("https://klasma.github.io/Logging_1290/klagomål/A 52019-2021 FSC-klagomål.docx", "A 52019-2021")</f>
        <v/>
      </c>
      <c r="Z3">
        <f>HYPERLINK("https://klasma.github.io/Logging_1290/klagomålsmail/A 52019-2021 FSC-klagomål mail.docx", "A 52019-2021")</f>
        <v/>
      </c>
      <c r="AA3">
        <f>HYPERLINK("https://klasma.github.io/Logging_1290/tillsyn/A 52019-2021 tillsynsbegäran.docx", "A 52019-2021")</f>
        <v/>
      </c>
      <c r="AB3">
        <f>HYPERLINK("https://klasma.github.io/Logging_1290/tillsynsmail/A 52019-2021 tillsynsbegäran mail.docx", "A 52019-2021")</f>
        <v/>
      </c>
      <c r="AC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46219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V4">
        <f>HYPERLINK("https://klasma.github.io/Logging_1290/artfynd/A 29875-2023 artfynd.xlsx", "A 29875-2023")</f>
        <v/>
      </c>
      <c r="W4">
        <f>HYPERLINK("https://klasma.github.io/Logging_1290/kartor/A 29875-2023 karta.png", "A 29875-2023")</f>
        <v/>
      </c>
      <c r="Y4">
        <f>HYPERLINK("https://klasma.github.io/Logging_1290/klagomål/A 29875-2023 FSC-klagomål.docx", "A 29875-2023")</f>
        <v/>
      </c>
      <c r="Z4">
        <f>HYPERLINK("https://klasma.github.io/Logging_1290/klagomålsmail/A 29875-2023 FSC-klagomål mail.docx", "A 29875-2023")</f>
        <v/>
      </c>
      <c r="AA4">
        <f>HYPERLINK("https://klasma.github.io/Logging_1290/tillsyn/A 29875-2023 tillsynsbegäran.docx", "A 29875-2023")</f>
        <v/>
      </c>
      <c r="AB4">
        <f>HYPERLINK("https://klasma.github.io/Logging_1290/tillsynsmail/A 29875-2023 tillsynsbegäran mail.docx", "A 29875-2023")</f>
        <v/>
      </c>
      <c r="AC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46219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V5">
        <f>HYPERLINK("https://klasma.github.io/Logging_1290/artfynd/A 53161-2023 artfynd.xlsx", "A 53161-2023")</f>
        <v/>
      </c>
      <c r="W5">
        <f>HYPERLINK("https://klasma.github.io/Logging_1290/kartor/A 53161-2023 karta.png", "A 53161-2023")</f>
        <v/>
      </c>
      <c r="Y5">
        <f>HYPERLINK("https://klasma.github.io/Logging_1290/klagomål/A 53161-2023 FSC-klagomål.docx", "A 53161-2023")</f>
        <v/>
      </c>
      <c r="Z5">
        <f>HYPERLINK("https://klasma.github.io/Logging_1290/klagomålsmail/A 53161-2023 FSC-klagomål mail.docx", "A 53161-2023")</f>
        <v/>
      </c>
      <c r="AA5">
        <f>HYPERLINK("https://klasma.github.io/Logging_1290/tillsyn/A 53161-2023 tillsynsbegäran.docx", "A 53161-2023")</f>
        <v/>
      </c>
      <c r="AB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46219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s="2" t="inlineStr">
        <is>
          <t>Bredbrämad bastardsvärmare
Knärot
Sexfläckig bastardsvärmare
Stare
Entita
Grådådra
Rödvingetrast
Tallticka
Talltita
Spillkråka
Kungsfågel
Röd glada
Revlummer</t>
        </is>
      </c>
      <c r="V6">
        <f>HYPERLINK("https://klasma.github.io/Logging_1290/artfynd/S 461-2022 artfynd.xlsx", "S 461-2022")</f>
        <v/>
      </c>
      <c r="W6">
        <f>HYPERLINK("https://klasma.github.io/Logging_1290/kartor/S 461-2022 karta.png", "S 461-2022")</f>
        <v/>
      </c>
      <c r="X6">
        <f>HYPERLINK("https://klasma.github.io/Logging_1290/knärot/S 461-2022 karta knärot.png", "S 461-2022")</f>
        <v/>
      </c>
      <c r="Y6">
        <f>HYPERLINK("https://klasma.github.io/Logging_1290/klagomål/S 461-2022 FSC-klagomål.docx", "S 461-2022")</f>
        <v/>
      </c>
      <c r="Z6">
        <f>HYPERLINK("https://klasma.github.io/Logging_1290/klagomålsmail/S 461-2022 FSC-klagomål mail.docx", "S 461-2022")</f>
        <v/>
      </c>
      <c r="AA6">
        <f>HYPERLINK("https://klasma.github.io/Logging_1290/tillsyn/S 461-2022 tillsynsbegäran.docx", "S 461-2022")</f>
        <v/>
      </c>
      <c r="AB6">
        <f>HYPERLINK("https://klasma.github.io/Logging_1290/tillsynsmail/S 461-2022 tillsynsbegäran mail.docx", "S 461-2022")</f>
        <v/>
      </c>
      <c r="AC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46219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s="2" t="inlineStr">
        <is>
          <t>Sydlig taggfingersvamp
Bokkantlav
Bokvårtlav
Lövfagerspindling
Rävspindling
Silkesspindling
Fällmossa
Jättesvampmal
Klippfrullania
Lönnlav
Rutbläcksvamp</t>
        </is>
      </c>
      <c r="V7">
        <f>HYPERLINK("https://klasma.github.io/Logging_1290/artfynd/A 9599-2025 artfynd.xlsx", "A 9599-2025")</f>
        <v/>
      </c>
      <c r="W7">
        <f>HYPERLINK("https://klasma.github.io/Logging_1290/kartor/A 9599-2025 karta.png", "A 9599-2025")</f>
        <v/>
      </c>
      <c r="Y7">
        <f>HYPERLINK("https://klasma.github.io/Logging_1290/klagomål/A 9599-2025 FSC-klagomål.docx", "A 9599-2025")</f>
        <v/>
      </c>
      <c r="Z7">
        <f>HYPERLINK("https://klasma.github.io/Logging_1290/klagomålsmail/A 9599-2025 FSC-klagomål mail.docx", "A 9599-2025")</f>
        <v/>
      </c>
      <c r="AA7">
        <f>HYPERLINK("https://klasma.github.io/Logging_1290/tillsyn/A 9599-2025 tillsynsbegäran.docx", "A 9599-2025")</f>
        <v/>
      </c>
      <c r="AB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46219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s="2" t="inlineStr">
        <is>
          <t>Backsvala
Grå stjälkröksvamp
Backsippa
Hedblomster
Backtimjan
Etternässla
Rapssandbi
Sandnejlika
Skogsödla
Gullviva</t>
        </is>
      </c>
      <c r="V8">
        <f>HYPERLINK("https://klasma.github.io/Logging_1290/artfynd/A 2719-2025 artfynd.xlsx", "A 2719-2025")</f>
        <v/>
      </c>
      <c r="W8">
        <f>HYPERLINK("https://klasma.github.io/Logging_1290/kartor/A 2719-2025 karta.png", "A 2719-2025")</f>
        <v/>
      </c>
      <c r="Y8">
        <f>HYPERLINK("https://klasma.github.io/Logging_1290/klagomål/A 2719-2025 FSC-klagomål.docx", "A 2719-2025")</f>
        <v/>
      </c>
      <c r="Z8">
        <f>HYPERLINK("https://klasma.github.io/Logging_1290/klagomålsmail/A 2719-2025 FSC-klagomål mail.docx", "A 2719-2025")</f>
        <v/>
      </c>
      <c r="AA8">
        <f>HYPERLINK("https://klasma.github.io/Logging_1290/tillsyn/A 2719-2025 tillsynsbegäran.docx", "A 2719-2025")</f>
        <v/>
      </c>
      <c r="AB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46219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s="2" t="inlineStr">
        <is>
          <t>Blå lökspindling
Kejsarspindling
Nunnespindling
Själlandsspindling
Bokvårtlav
Cinnoberspindling
Rävspindling
Stiftklotterlav
Igelkottsröksvamp
Trädporella</t>
        </is>
      </c>
      <c r="V9">
        <f>HYPERLINK("https://klasma.github.io/Logging_1290/artfynd/A 11693-2025 artfynd.xlsx", "A 11693-2025")</f>
        <v/>
      </c>
      <c r="W9">
        <f>HYPERLINK("https://klasma.github.io/Logging_1290/kartor/A 11693-2025 karta.png", "A 11693-2025")</f>
        <v/>
      </c>
      <c r="Y9">
        <f>HYPERLINK("https://klasma.github.io/Logging_1290/klagomål/A 11693-2025 FSC-klagomål.docx", "A 11693-2025")</f>
        <v/>
      </c>
      <c r="Z9">
        <f>HYPERLINK("https://klasma.github.io/Logging_1290/klagomålsmail/A 11693-2025 FSC-klagomål mail.docx", "A 11693-2025")</f>
        <v/>
      </c>
      <c r="AA9">
        <f>HYPERLINK("https://klasma.github.io/Logging_1290/tillsyn/A 11693-2025 tillsynsbegäran.docx", "A 11693-2025")</f>
        <v/>
      </c>
      <c r="AB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46219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s="2" t="inlineStr">
        <is>
          <t>Vit stork
Plattsäv
Gulsparv
Luddfingerört
Vårstarr
Murgröna
Näktergal
Vanlig groda
Gullviva</t>
        </is>
      </c>
      <c r="V10">
        <f>HYPERLINK("https://klasma.github.io/Logging_1290/artfynd/A 419-2025 artfynd.xlsx", "A 419-2025")</f>
        <v/>
      </c>
      <c r="W10">
        <f>HYPERLINK("https://klasma.github.io/Logging_1290/kartor/A 419-2025 karta.png", "A 419-2025")</f>
        <v/>
      </c>
      <c r="Y10">
        <f>HYPERLINK("https://klasma.github.io/Logging_1290/klagomål/A 419-2025 FSC-klagomål.docx", "A 419-2025")</f>
        <v/>
      </c>
      <c r="Z10">
        <f>HYPERLINK("https://klasma.github.io/Logging_1290/klagomålsmail/A 419-2025 FSC-klagomål mail.docx", "A 419-2025")</f>
        <v/>
      </c>
      <c r="AA10">
        <f>HYPERLINK("https://klasma.github.io/Logging_1290/tillsyn/A 419-2025 tillsynsbegäran.docx", "A 419-2025")</f>
        <v/>
      </c>
      <c r="AB10">
        <f>HYPERLINK("https://klasma.github.io/Logging_1290/tillsynsmail/A 419-2025 tillsynsbegäran mail.docx", "A 419-2025")</f>
        <v/>
      </c>
      <c r="AC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46219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s="2" t="inlineStr">
        <is>
          <t>Blek kraterlav
Ekpricklav
Stare
Gammelekslav
Stiftklotterlav
Grå skärelav
Guldlockmossa
Platt fjädermossa
Olivklotterlav</t>
        </is>
      </c>
      <c r="V11">
        <f>HYPERLINK("https://klasma.github.io/Logging_1290/artfynd/S 2774-2023 artfynd.xlsx", "S 2774-2023")</f>
        <v/>
      </c>
      <c r="W11">
        <f>HYPERLINK("https://klasma.github.io/Logging_1290/kartor/S 2774-2023 karta.png", "S 2774-2023")</f>
        <v/>
      </c>
      <c r="Y11">
        <f>HYPERLINK("https://klasma.github.io/Logging_1290/klagomål/S 2774-2023 FSC-klagomål.docx", "S 2774-2023")</f>
        <v/>
      </c>
      <c r="Z11">
        <f>HYPERLINK("https://klasma.github.io/Logging_1290/klagomålsmail/S 2774-2023 FSC-klagomål mail.docx", "S 2774-2023")</f>
        <v/>
      </c>
      <c r="AA11">
        <f>HYPERLINK("https://klasma.github.io/Logging_1290/tillsyn/S 2774-2023 tillsynsbegäran.docx", "S 2774-2023")</f>
        <v/>
      </c>
      <c r="AB11">
        <f>HYPERLINK("https://klasma.github.io/Logging_1290/tillsynsmail/S 2774-2023 tillsynsbegäran mail.docx", "S 2774-2023")</f>
        <v/>
      </c>
      <c r="AC11">
        <f>HYPERLINK("https://klasma.github.io/Logging_1290/fåglar/S 2774-2023 prioriterade fågelarter.docx", "S 2774-2023")</f>
        <v/>
      </c>
    </row>
    <row r="12" ht="15" customHeight="1">
      <c r="A12" t="inlineStr">
        <is>
          <t>A 25081-2026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46174</v>
      </c>
      <c r="E12" s="1" t="n">
        <v>46219</v>
      </c>
      <c r="F12" t="inlineStr">
        <is>
          <t>SKÅNE LÄN</t>
        </is>
      </c>
      <c r="G12" t="inlineStr">
        <is>
          <t>KRISTIANSTAD</t>
        </is>
      </c>
      <c r="H12" t="inlineStr">
        <is>
          <t>Kommuner</t>
        </is>
      </c>
      <c r="I12" t="n">
        <v>5</v>
      </c>
      <c r="J12" t="n">
        <v>4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8</v>
      </c>
      <c r="T12" t="n">
        <v>12</v>
      </c>
      <c r="U12" s="2" t="inlineStr">
        <is>
          <t>Entita
Grönsångare
Brandticka
Glansfläck
Rankstarr
Stjärnstarr
Skogsduva
Trana</t>
        </is>
      </c>
      <c r="V12">
        <f>HYPERLINK("https://klasma.github.io/Logging_1290/artfynd/A 25081-2026 artfynd.xlsx", "A 25081-2026")</f>
        <v/>
      </c>
      <c r="W12">
        <f>HYPERLINK("https://klasma.github.io/Logging_1290/kartor/A 25081-2026 karta.png", "A 25081-2026")</f>
        <v/>
      </c>
      <c r="Y12">
        <f>HYPERLINK("https://klasma.github.io/Logging_1290/klagomål/A 25081-2026 FSC-klagomål.docx", "A 25081-2026")</f>
        <v/>
      </c>
      <c r="Z12">
        <f>HYPERLINK("https://klasma.github.io/Logging_1290/klagomålsmail/A 25081-2026 FSC-klagomål mail.docx", "A 25081-2026")</f>
        <v/>
      </c>
      <c r="AA12">
        <f>HYPERLINK("https://klasma.github.io/Logging_1290/tillsyn/A 25081-2026 tillsynsbegäran.docx", "A 25081-2026")</f>
        <v/>
      </c>
      <c r="AB12">
        <f>HYPERLINK("https://klasma.github.io/Logging_1290/tillsynsmail/A 25081-2026 tillsynsbegäran mail.docx", "A 25081-2026")</f>
        <v/>
      </c>
      <c r="AC12">
        <f>HYPERLINK("https://klasma.github.io/Logging_1290/fåglar/A 25081-2026 prioriterade fågelarter.docx", "A 25081-2026")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46219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s="2" t="inlineStr">
        <is>
          <t>Glappmaskros
Ryl
Backtimjan
Grönpyrola
Skogsknipprot
Ögonpyrola
Blåsippa
Johannesnycklar</t>
        </is>
      </c>
      <c r="V13">
        <f>HYPERLINK("https://klasma.github.io/Logging_1290/artfynd/A 9048-2024 artfynd.xlsx", "A 9048-2024")</f>
        <v/>
      </c>
      <c r="W13">
        <f>HYPERLINK("https://klasma.github.io/Logging_1290/kartor/A 9048-2024 karta.png", "A 9048-2024")</f>
        <v/>
      </c>
      <c r="Y13">
        <f>HYPERLINK("https://klasma.github.io/Logging_1290/klagomål/A 9048-2024 FSC-klagomål.docx", "A 9048-2024")</f>
        <v/>
      </c>
      <c r="Z13">
        <f>HYPERLINK("https://klasma.github.io/Logging_1290/klagomålsmail/A 9048-2024 FSC-klagomål mail.docx", "A 9048-2024")</f>
        <v/>
      </c>
      <c r="AA13">
        <f>HYPERLINK("https://klasma.github.io/Logging_1290/tillsyn/A 9048-2024 tillsynsbegäran.docx", "A 9048-2024")</f>
        <v/>
      </c>
      <c r="AB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46219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s="2" t="inlineStr">
        <is>
          <t>Bukspolsnäcka
Tandsnäcka
Bokvårtlav
Orangepudrad klotterlav
Skogsveronika
Platt fjädermossa
Strutbräken
Trubbfjädermossa</t>
        </is>
      </c>
      <c r="V14">
        <f>HYPERLINK("https://klasma.github.io/Logging_1290/artfynd/A 43497-2025 artfynd.xlsx", "A 43497-2025")</f>
        <v/>
      </c>
      <c r="W14">
        <f>HYPERLINK("https://klasma.github.io/Logging_1290/kartor/A 43497-2025 karta.png", "A 43497-2025")</f>
        <v/>
      </c>
      <c r="Y14">
        <f>HYPERLINK("https://klasma.github.io/Logging_1290/klagomål/A 43497-2025 FSC-klagomål.docx", "A 43497-2025")</f>
        <v/>
      </c>
      <c r="Z14">
        <f>HYPERLINK("https://klasma.github.io/Logging_1290/klagomålsmail/A 43497-2025 FSC-klagomål mail.docx", "A 43497-2025")</f>
        <v/>
      </c>
      <c r="AA14">
        <f>HYPERLINK("https://klasma.github.io/Logging_1290/tillsyn/A 43497-2025 tillsynsbegäran.docx", "A 43497-2025")</f>
        <v/>
      </c>
      <c r="AB14">
        <f>HYPERLINK("https://klasma.github.io/Logging_1290/tillsynsmail/A 43497-2025 tillsynsbegäran mail.docx", "A 43497-2025")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46219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s="2" t="inlineStr">
        <is>
          <t>Grönfink
Lundbräsma
Blåsippa
Spillkråka
Kungsfågel
Röd glada
Gullviva</t>
        </is>
      </c>
      <c r="V15">
        <f>HYPERLINK("https://klasma.github.io/Logging_1290/artfynd/A 46341-2025 artfynd.xlsx", "A 46341-2025")</f>
        <v/>
      </c>
      <c r="W15">
        <f>HYPERLINK("https://klasma.github.io/Logging_1290/kartor/A 46341-2025 karta.png", "A 46341-2025")</f>
        <v/>
      </c>
      <c r="Y15">
        <f>HYPERLINK("https://klasma.github.io/Logging_1290/klagomål/A 46341-2025 FSC-klagomål.docx", "A 46341-2025")</f>
        <v/>
      </c>
      <c r="Z15">
        <f>HYPERLINK("https://klasma.github.io/Logging_1290/klagomålsmail/A 46341-2025 FSC-klagomål mail.docx", "A 46341-2025")</f>
        <v/>
      </c>
      <c r="AA15">
        <f>HYPERLINK("https://klasma.github.io/Logging_1290/tillsyn/A 46341-2025 tillsynsbegäran.docx", "A 46341-2025")</f>
        <v/>
      </c>
      <c r="AB15">
        <f>HYPERLINK("https://klasma.github.io/Logging_1290/tillsynsmail/A 46341-2025 tillsynsbegäran mail.docx", "A 46341-2025")</f>
        <v/>
      </c>
      <c r="AC15">
        <f>HYPERLINK("https://klasma.github.io/Logging_1290/fåglar/A 46341-2025 prioriterade fågelarter.docx", "A 46341-2025")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46219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s="2" t="inlineStr">
        <is>
          <t>Olivjordtunga
Rödbrun jordtunga
Blodvaxing
Papegojvaxing
Plattad jordtunga
Vitvaxing agg.
Ängsfingersvamp</t>
        </is>
      </c>
      <c r="V16">
        <f>HYPERLINK("https://klasma.github.io/Logging_1290/artfynd/A 62067-2022 artfynd.xlsx", "A 62067-2022")</f>
        <v/>
      </c>
      <c r="W16">
        <f>HYPERLINK("https://klasma.github.io/Logging_1290/kartor/A 62067-2022 karta.png", "A 62067-2022")</f>
        <v/>
      </c>
      <c r="Y16">
        <f>HYPERLINK("https://klasma.github.io/Logging_1290/klagomål/A 62067-2022 FSC-klagomål.docx", "A 62067-2022")</f>
        <v/>
      </c>
      <c r="Z16">
        <f>HYPERLINK("https://klasma.github.io/Logging_1290/klagomålsmail/A 62067-2022 FSC-klagomål mail.docx", "A 62067-2022")</f>
        <v/>
      </c>
      <c r="AA16">
        <f>HYPERLINK("https://klasma.github.io/Logging_1290/tillsyn/A 62067-2022 tillsynsbegäran.docx", "A 62067-2022")</f>
        <v/>
      </c>
      <c r="AB16">
        <f>HYPERLINK("https://klasma.github.io/Logging_1290/tillsynsmail/A 62067-2022 tillsynsbegäran mail.docx", "A 62067-2022")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46219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s="2" t="inlineStr">
        <is>
          <t>Grönsångare
Jättesvampmal
Skogsbräsma
Västlig hakmossa
Kungsfågel
Grönvit nattviol
Revlummer</t>
        </is>
      </c>
      <c r="V17">
        <f>HYPERLINK("https://klasma.github.io/Logging_1290/artfynd/A 25082-2026 artfynd.xlsx", "A 25082-2026")</f>
        <v/>
      </c>
      <c r="W17">
        <f>HYPERLINK("https://klasma.github.io/Logging_1290/kartor/A 25082-2026 karta.png", "A 25082-2026")</f>
        <v/>
      </c>
      <c r="Y17">
        <f>HYPERLINK("https://klasma.github.io/Logging_1290/klagomål/A 25082-2026 FSC-klagomål.docx", "A 25082-2026")</f>
        <v/>
      </c>
      <c r="Z17">
        <f>HYPERLINK("https://klasma.github.io/Logging_1290/klagomålsmail/A 25082-2026 FSC-klagomål mail.docx", "A 25082-2026")</f>
        <v/>
      </c>
      <c r="AA17">
        <f>HYPERLINK("https://klasma.github.io/Logging_1290/tillsyn/A 25082-2026 tillsynsbegäran.docx", "A 25082-2026")</f>
        <v/>
      </c>
      <c r="AB17">
        <f>HYPERLINK("https://klasma.github.io/Logging_1290/tillsynsmail/A 25082-2026 tillsynsbegäran mail.docx", "A 25082-2026")</f>
        <v/>
      </c>
      <c r="AC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46219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s="2" t="inlineStr">
        <is>
          <t>Mindre bastardsvärmare
Björktrast
Bronssopp
Lamellsnäcka
Lömsk flugsvamp
Spillkråka
Vanlig padda</t>
        </is>
      </c>
      <c r="V18">
        <f>HYPERLINK("https://klasma.github.io/Logging_1290/artfynd/A 54761-2025 artfynd.xlsx", "A 54761-2025")</f>
        <v/>
      </c>
      <c r="W18">
        <f>HYPERLINK("https://klasma.github.io/Logging_1290/kartor/A 54761-2025 karta.png", "A 54761-2025")</f>
        <v/>
      </c>
      <c r="Y18">
        <f>HYPERLINK("https://klasma.github.io/Logging_1290/klagomål/A 54761-2025 FSC-klagomål.docx", "A 54761-2025")</f>
        <v/>
      </c>
      <c r="Z18">
        <f>HYPERLINK("https://klasma.github.io/Logging_1290/klagomålsmail/A 54761-2025 FSC-klagomål mail.docx", "A 54761-2025")</f>
        <v/>
      </c>
      <c r="AA18">
        <f>HYPERLINK("https://klasma.github.io/Logging_1290/tillsyn/A 54761-2025 tillsynsbegäran.docx", "A 54761-2025")</f>
        <v/>
      </c>
      <c r="AB18">
        <f>HYPERLINK("https://klasma.github.io/Logging_1290/tillsynsmail/A 54761-2025 tillsynsbegäran mail.docx", "A 54761-2025")</f>
        <v/>
      </c>
      <c r="AC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46219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s="2" t="inlineStr">
        <is>
          <t>Tofsäxing
Stor sandlilja
Barbastell
Brunlångöra
Dvärgpipistrell
Större brunfladdermus
Vattenfladdermus</t>
        </is>
      </c>
      <c r="V19">
        <f>HYPERLINK("https://klasma.github.io/Logging_1290/artfynd/S 429-2024 artfynd.xlsx", "S 429-2024")</f>
        <v/>
      </c>
      <c r="W19">
        <f>HYPERLINK("https://klasma.github.io/Logging_1290/kartor/S 429-2024 karta.png", "S 429-2024")</f>
        <v/>
      </c>
      <c r="Y19">
        <f>HYPERLINK("https://klasma.github.io/Logging_1290/klagomål/S 429-2024 FSC-klagomål.docx", "S 429-2024")</f>
        <v/>
      </c>
      <c r="Z19">
        <f>HYPERLINK("https://klasma.github.io/Logging_1290/klagomålsmail/S 429-2024 FSC-klagomål mail.docx", "S 429-2024")</f>
        <v/>
      </c>
      <c r="AA19">
        <f>HYPERLINK("https://klasma.github.io/Logging_1290/tillsyn/S 429-2024 tillsynsbegäran.docx", "S 429-2024")</f>
        <v/>
      </c>
      <c r="AB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46219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s="2" t="inlineStr">
        <is>
          <t>Mindre bastardsvärmare
Entita
Mindre tåtelsmygare
Nattskärra
Spillkråka
Vanlig padda</t>
        </is>
      </c>
      <c r="V20">
        <f>HYPERLINK("https://klasma.github.io/Logging_1290/artfynd/A 62349-2023 artfynd.xlsx", "A 62349-2023")</f>
        <v/>
      </c>
      <c r="W20">
        <f>HYPERLINK("https://klasma.github.io/Logging_1290/kartor/A 62349-2023 karta.png", "A 62349-2023")</f>
        <v/>
      </c>
      <c r="Y20">
        <f>HYPERLINK("https://klasma.github.io/Logging_1290/klagomål/A 62349-2023 FSC-klagomål.docx", "A 62349-2023")</f>
        <v/>
      </c>
      <c r="Z20">
        <f>HYPERLINK("https://klasma.github.io/Logging_1290/klagomålsmail/A 62349-2023 FSC-klagomål mail.docx", "A 62349-2023")</f>
        <v/>
      </c>
      <c r="AA20">
        <f>HYPERLINK("https://klasma.github.io/Logging_1290/tillsyn/A 62349-2023 tillsynsbegäran.docx", "A 62349-2023")</f>
        <v/>
      </c>
      <c r="AB20">
        <f>HYPERLINK("https://klasma.github.io/Logging_1290/tillsynsmail/A 62349-2023 tillsynsbegäran mail.docx", "A 62349-2023")</f>
        <v/>
      </c>
      <c r="AC20">
        <f>HYPERLINK("https://klasma.github.io/Logging_1290/fåglar/A 62349-2023 prioriterade fågelarter.docx", "A 62349-2023")</f>
        <v/>
      </c>
    </row>
    <row r="21" ht="15" customHeight="1">
      <c r="A21" t="inlineStr">
        <is>
          <t>A 20310-2026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46136</v>
      </c>
      <c r="E21" s="1" t="n">
        <v>46219</v>
      </c>
      <c r="F21" t="inlineStr">
        <is>
          <t>SKÅNE LÄN</t>
        </is>
      </c>
      <c r="G21" t="inlineStr">
        <is>
          <t>KRISTIANSTAD</t>
        </is>
      </c>
      <c r="I21" t="n">
        <v>2.9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s="2" t="inlineStr">
        <is>
          <t>Blåsippa
Gulplister
Gulsippa
Humleblomster
Vitsippa
Skogsödla</t>
        </is>
      </c>
      <c r="V21">
        <f>HYPERLINK("https://klasma.github.io/Logging_1290/artfynd/A 20310-2026 artfynd.xlsx", "A 20310-2026")</f>
        <v/>
      </c>
      <c r="W21">
        <f>HYPERLINK("https://klasma.github.io/Logging_1290/kartor/A 20310-2026 karta.png", "A 20310-2026")</f>
        <v/>
      </c>
      <c r="Y21">
        <f>HYPERLINK("https://klasma.github.io/Logging_1290/klagomål/A 20310-2026 FSC-klagomål.docx", "A 20310-2026")</f>
        <v/>
      </c>
      <c r="Z21">
        <f>HYPERLINK("https://klasma.github.io/Logging_1290/klagomålsmail/A 20310-2026 FSC-klagomål mail.docx", "A 20310-2026")</f>
        <v/>
      </c>
      <c r="AA21">
        <f>HYPERLINK("https://klasma.github.io/Logging_1290/tillsyn/A 20310-2026 tillsynsbegäran.docx", "A 20310-2026")</f>
        <v/>
      </c>
      <c r="AB21">
        <f>HYPERLINK("https://klasma.github.io/Logging_1290/tillsynsmail/A 20310-2026 tillsynsbegäran mail.docx", "A 20310-2026")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46219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Järnsparv
Sädesärla
Spillkråka
Skogsduva
Svartvit flugsnappare
Trana</t>
        </is>
      </c>
      <c r="V22">
        <f>HYPERLINK("https://klasma.github.io/Logging_1290/artfynd/A 17026-2025 artfynd.xlsx", "A 17026-2025")</f>
        <v/>
      </c>
      <c r="W22">
        <f>HYPERLINK("https://klasma.github.io/Logging_1290/kartor/A 17026-2025 karta.png", "A 17026-2025")</f>
        <v/>
      </c>
      <c r="Y22">
        <f>HYPERLINK("https://klasma.github.io/Logging_1290/klagomål/A 17026-2025 FSC-klagomål.docx", "A 17026-2025")</f>
        <v/>
      </c>
      <c r="Z22">
        <f>HYPERLINK("https://klasma.github.io/Logging_1290/klagomålsmail/A 17026-2025 FSC-klagomål mail.docx", "A 17026-2025")</f>
        <v/>
      </c>
      <c r="AA22">
        <f>HYPERLINK("https://klasma.github.io/Logging_1290/tillsyn/A 17026-2025 tillsynsbegäran.docx", "A 17026-2025")</f>
        <v/>
      </c>
      <c r="AB22">
        <f>HYPERLINK("https://klasma.github.io/Logging_1290/tillsynsmail/A 17026-2025 tillsynsbegäran mail.docx", "A 17026-2025")</f>
        <v/>
      </c>
      <c r="AC22">
        <f>HYPERLINK("https://klasma.github.io/Logging_1290/fåglar/A 17026-2025 prioriterade fågelarter.docx", "A 17026-2025")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46219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s="2" t="inlineStr">
        <is>
          <t>Mindre bastardsvärmare
Entita
Mindre tåtelsmygare
Talltita
Spillkråka
Vanlig padda</t>
        </is>
      </c>
      <c r="V23">
        <f>HYPERLINK("https://klasma.github.io/Logging_1290/artfynd/A 15492-2023 artfynd.xlsx", "A 15492-2023")</f>
        <v/>
      </c>
      <c r="W23">
        <f>HYPERLINK("https://klasma.github.io/Logging_1290/kartor/A 15492-2023 karta.png", "A 15492-2023")</f>
        <v/>
      </c>
      <c r="Y23">
        <f>HYPERLINK("https://klasma.github.io/Logging_1290/klagomål/A 15492-2023 FSC-klagomål.docx", "A 15492-2023")</f>
        <v/>
      </c>
      <c r="Z23">
        <f>HYPERLINK("https://klasma.github.io/Logging_1290/klagomålsmail/A 15492-2023 FSC-klagomål mail.docx", "A 15492-2023")</f>
        <v/>
      </c>
      <c r="AA23">
        <f>HYPERLINK("https://klasma.github.io/Logging_1290/tillsyn/A 15492-2023 tillsynsbegäran.docx", "A 15492-2023")</f>
        <v/>
      </c>
      <c r="AB23">
        <f>HYPERLINK("https://klasma.github.io/Logging_1290/tillsynsmail/A 15492-2023 tillsynsbegäran mail.docx", "A 15492-2023")</f>
        <v/>
      </c>
      <c r="AC23">
        <f>HYPERLINK("https://klasma.github.io/Logging_1290/fåglar/A 15492-2023 prioriterade fågelarter.docx", "A 15492-2023")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46219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s="2" t="inlineStr">
        <is>
          <t>Skogsalm
Skogsbräsma
Skogsbingel
Skriftlav
Storrams
Skogsduva</t>
        </is>
      </c>
      <c r="V24">
        <f>HYPERLINK("https://klasma.github.io/Logging_1290/artfynd/A 31847-2023 artfynd.xlsx", "A 31847-2023")</f>
        <v/>
      </c>
      <c r="W24">
        <f>HYPERLINK("https://klasma.github.io/Logging_1290/kartor/A 31847-2023 karta.png", "A 31847-2023")</f>
        <v/>
      </c>
      <c r="Y24">
        <f>HYPERLINK("https://klasma.github.io/Logging_1290/klagomål/A 31847-2023 FSC-klagomål.docx", "A 31847-2023")</f>
        <v/>
      </c>
      <c r="Z24">
        <f>HYPERLINK("https://klasma.github.io/Logging_1290/klagomålsmail/A 31847-2023 FSC-klagomål mail.docx", "A 31847-2023")</f>
        <v/>
      </c>
      <c r="AA24">
        <f>HYPERLINK("https://klasma.github.io/Logging_1290/tillsyn/A 31847-2023 tillsynsbegäran.docx", "A 31847-2023")</f>
        <v/>
      </c>
      <c r="AB24">
        <f>HYPERLINK("https://klasma.github.io/Logging_1290/tillsynsmail/A 31847-2023 tillsynsbegäran mail.docx", "A 31847-2023")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46219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s="2" t="inlineStr">
        <is>
          <t>Kejsarspindling
Bokkantlav
Bokvårtlav
Guldlockmossa
Jättesvampmal
Platt fjädermossa</t>
        </is>
      </c>
      <c r="V25">
        <f>HYPERLINK("https://klasma.github.io/Logging_1290/artfynd/S 5154-2024 artfynd.xlsx", "S 5154-2024")</f>
        <v/>
      </c>
      <c r="W25">
        <f>HYPERLINK("https://klasma.github.io/Logging_1290/kartor/S 5154-2024 karta.png", "S 5154-2024")</f>
        <v/>
      </c>
      <c r="Y25">
        <f>HYPERLINK("https://klasma.github.io/Logging_1290/klagomål/S 5154-2024 FSC-klagomål.docx", "S 5154-2024")</f>
        <v/>
      </c>
      <c r="Z25">
        <f>HYPERLINK("https://klasma.github.io/Logging_1290/klagomålsmail/S 5154-2024 FSC-klagomål mail.docx", "S 5154-2024")</f>
        <v/>
      </c>
      <c r="AA25">
        <f>HYPERLINK("https://klasma.github.io/Logging_1290/tillsyn/S 5154-2024 tillsynsbegäran.docx", "S 5154-2024")</f>
        <v/>
      </c>
      <c r="AB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46219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s="2" t="inlineStr">
        <is>
          <t>Kandelabersvamp
Blåmossa
Gulnål
Jättesvampmal
Västlig hakmossa</t>
        </is>
      </c>
      <c r="V26">
        <f>HYPERLINK("https://klasma.github.io/Logging_1290/artfynd/A 44586-2022 artfynd.xlsx", "A 44586-2022")</f>
        <v/>
      </c>
      <c r="W26">
        <f>HYPERLINK("https://klasma.github.io/Logging_1290/kartor/A 44586-2022 karta.png", "A 44586-2022")</f>
        <v/>
      </c>
      <c r="Y26">
        <f>HYPERLINK("https://klasma.github.io/Logging_1290/klagomål/A 44586-2022 FSC-klagomål.docx", "A 44586-2022")</f>
        <v/>
      </c>
      <c r="Z26">
        <f>HYPERLINK("https://klasma.github.io/Logging_1290/klagomålsmail/A 44586-2022 FSC-klagomål mail.docx", "A 44586-2022")</f>
        <v/>
      </c>
      <c r="AA26">
        <f>HYPERLINK("https://klasma.github.io/Logging_1290/tillsyn/A 44586-2022 tillsynsbegäran.docx", "A 44586-2022")</f>
        <v/>
      </c>
      <c r="AB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46219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s="2" t="inlineStr">
        <is>
          <t>Grönsångare
Rostfläck
Ekorrbär
Glansfläck
Skogsstjärna</t>
        </is>
      </c>
      <c r="V27">
        <f>HYPERLINK("https://klasma.github.io/Logging_1290/artfynd/A 22738-2026 artfynd.xlsx", "A 22738-2026")</f>
        <v/>
      </c>
      <c r="W27">
        <f>HYPERLINK("https://klasma.github.io/Logging_1290/kartor/A 22738-2026 karta.png", "A 22738-2026")</f>
        <v/>
      </c>
      <c r="Y27">
        <f>HYPERLINK("https://klasma.github.io/Logging_1290/klagomål/A 22738-2026 FSC-klagomål.docx", "A 22738-2026")</f>
        <v/>
      </c>
      <c r="Z27">
        <f>HYPERLINK("https://klasma.github.io/Logging_1290/klagomålsmail/A 22738-2026 FSC-klagomål mail.docx", "A 22738-2026")</f>
        <v/>
      </c>
      <c r="AA27">
        <f>HYPERLINK("https://klasma.github.io/Logging_1290/tillsyn/A 22738-2026 tillsynsbegäran.docx", "A 22738-2026")</f>
        <v/>
      </c>
      <c r="AB27">
        <f>HYPERLINK("https://klasma.github.io/Logging_1290/tillsynsmail/A 22738-2026 tillsynsbegäran mail.docx", "A 22738-2026")</f>
        <v/>
      </c>
      <c r="AC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46219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s="2" t="inlineStr">
        <is>
          <t>Rostfläck
Glansfläck
Skriftlav
Vitsippa
Havsörn</t>
        </is>
      </c>
      <c r="V28">
        <f>HYPERLINK("https://klasma.github.io/Logging_1290/artfynd/A 19312-2026 artfynd.xlsx", "A 19312-2026")</f>
        <v/>
      </c>
      <c r="W28">
        <f>HYPERLINK("https://klasma.github.io/Logging_1290/kartor/A 19312-2026 karta.png", "A 19312-2026")</f>
        <v/>
      </c>
      <c r="Y28">
        <f>HYPERLINK("https://klasma.github.io/Logging_1290/klagomål/A 19312-2026 FSC-klagomål.docx", "A 19312-2026")</f>
        <v/>
      </c>
      <c r="Z28">
        <f>HYPERLINK("https://klasma.github.io/Logging_1290/klagomålsmail/A 19312-2026 FSC-klagomål mail.docx", "A 19312-2026")</f>
        <v/>
      </c>
      <c r="AA28">
        <f>HYPERLINK("https://klasma.github.io/Logging_1290/tillsyn/A 19312-2026 tillsynsbegäran.docx", "A 19312-2026")</f>
        <v/>
      </c>
      <c r="AB28">
        <f>HYPERLINK("https://klasma.github.io/Logging_1290/tillsynsmail/A 19312-2026 tillsynsbegäran mail.docx", "A 19312-2026")</f>
        <v/>
      </c>
      <c r="AC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46219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s="2" t="inlineStr">
        <is>
          <t>Barbastell
Nordfladdermus
Dvärgpipistrell
Trana
Vattenfladdermus</t>
        </is>
      </c>
      <c r="V29">
        <f>HYPERLINK("https://klasma.github.io/Logging_1290/artfynd/S 1725-2023 artfynd.xlsx", "S 1725-2023")</f>
        <v/>
      </c>
      <c r="W29">
        <f>HYPERLINK("https://klasma.github.io/Logging_1290/kartor/S 1725-2023 karta.png", "S 1725-2023")</f>
        <v/>
      </c>
      <c r="Y29">
        <f>HYPERLINK("https://klasma.github.io/Logging_1290/klagomål/S 1725-2023 FSC-klagomål.docx", "S 1725-2023")</f>
        <v/>
      </c>
      <c r="Z29">
        <f>HYPERLINK("https://klasma.github.io/Logging_1290/klagomålsmail/S 1725-2023 FSC-klagomål mail.docx", "S 1725-2023")</f>
        <v/>
      </c>
      <c r="AA29">
        <f>HYPERLINK("https://klasma.github.io/Logging_1290/tillsyn/S 1725-2023 tillsynsbegäran.docx", "S 1725-2023")</f>
        <v/>
      </c>
      <c r="AB29">
        <f>HYPERLINK("https://klasma.github.io/Logging_1290/tillsynsmail/S 1725-2023 tillsynsbegäran mail.docx", "S 1725-2023")</f>
        <v/>
      </c>
      <c r="AC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46219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s="2" t="inlineStr">
        <is>
          <t>Praktfingersvamp
Blåmossa
Jättesvampmal
Klippfrullania
Spillkråka</t>
        </is>
      </c>
      <c r="V30">
        <f>HYPERLINK("https://klasma.github.io/Logging_1290/artfynd/S 5531-2021 artfynd.xlsx", "S 5531-2021")</f>
        <v/>
      </c>
      <c r="W30">
        <f>HYPERLINK("https://klasma.github.io/Logging_1290/kartor/S 5531-2021 karta.png", "S 5531-2021")</f>
        <v/>
      </c>
      <c r="Y30">
        <f>HYPERLINK("https://klasma.github.io/Logging_1290/klagomål/S 5531-2021 FSC-klagomål.docx", "S 5531-2021")</f>
        <v/>
      </c>
      <c r="Z30">
        <f>HYPERLINK("https://klasma.github.io/Logging_1290/klagomålsmail/S 5531-2021 FSC-klagomål mail.docx", "S 5531-2021")</f>
        <v/>
      </c>
      <c r="AA30">
        <f>HYPERLINK("https://klasma.github.io/Logging_1290/tillsyn/S 5531-2021 tillsynsbegäran.docx", "S 5531-2021")</f>
        <v/>
      </c>
      <c r="AB30">
        <f>HYPERLINK("https://klasma.github.io/Logging_1290/tillsynsmail/S 5531-2021 tillsynsbegäran mail.docx", "S 5531-2021")</f>
        <v/>
      </c>
      <c r="AC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46219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Duvhök
Mindre tåtelsmygare
Tallticka
Grovticka
Havsörn</t>
        </is>
      </c>
      <c r="V31">
        <f>HYPERLINK("https://klasma.github.io/Logging_1290/artfynd/S 4693-2022 artfynd.xlsx", "S 4693-2022")</f>
        <v/>
      </c>
      <c r="W31">
        <f>HYPERLINK("https://klasma.github.io/Logging_1290/kartor/S 4693-2022 karta.png", "S 4693-2022")</f>
        <v/>
      </c>
      <c r="Y31">
        <f>HYPERLINK("https://klasma.github.io/Logging_1290/klagomål/S 4693-2022 FSC-klagomål.docx", "S 4693-2022")</f>
        <v/>
      </c>
      <c r="Z31">
        <f>HYPERLINK("https://klasma.github.io/Logging_1290/klagomålsmail/S 4693-2022 FSC-klagomål mail.docx", "S 4693-2022")</f>
        <v/>
      </c>
      <c r="AA31">
        <f>HYPERLINK("https://klasma.github.io/Logging_1290/tillsyn/S 4693-2022 tillsynsbegäran.docx", "S 4693-2022")</f>
        <v/>
      </c>
      <c r="AB31">
        <f>HYPERLINK("https://klasma.github.io/Logging_1290/tillsynsmail/S 4693-2022 tillsynsbegäran mail.docx", "S 4693-2022")</f>
        <v/>
      </c>
      <c r="AC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46219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Småvänderot
Gullpudra
Skogslysing
Svart trolldruva</t>
        </is>
      </c>
      <c r="V32">
        <f>HYPERLINK("https://klasma.github.io/Logging_1290/artfynd/A 40509-2022 artfynd.xlsx", "A 40509-2022")</f>
        <v/>
      </c>
      <c r="W32">
        <f>HYPERLINK("https://klasma.github.io/Logging_1290/kartor/A 40509-2022 karta.png", "A 40509-2022")</f>
        <v/>
      </c>
      <c r="Y32">
        <f>HYPERLINK("https://klasma.github.io/Logging_1290/klagomål/A 40509-2022 FSC-klagomål.docx", "A 40509-2022")</f>
        <v/>
      </c>
      <c r="Z32">
        <f>HYPERLINK("https://klasma.github.io/Logging_1290/klagomålsmail/A 40509-2022 FSC-klagomål mail.docx", "A 40509-2022")</f>
        <v/>
      </c>
      <c r="AA32">
        <f>HYPERLINK("https://klasma.github.io/Logging_1290/tillsyn/A 40509-2022 tillsynsbegäran.docx", "A 40509-2022")</f>
        <v/>
      </c>
      <c r="AB32">
        <f>HYPERLINK("https://klasma.github.io/Logging_1290/tillsynsmail/A 40509-2022 tillsynsbegäran mail.docx", "A 40509-2022")</f>
        <v/>
      </c>
    </row>
    <row r="33" ht="15" customHeight="1">
      <c r="A33" t="inlineStr">
        <is>
          <t>A 1415-2024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45303</v>
      </c>
      <c r="E33" s="1" t="n">
        <v>46219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3.1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s="2" t="inlineStr">
        <is>
          <t>Stenticka
Stor tratticka
Liten stinksvamp
Rutbläcksvamp</t>
        </is>
      </c>
      <c r="V33">
        <f>HYPERLINK("https://klasma.github.io/Logging_1290/artfynd/A 1415-2024 artfynd.xlsx", "A 1415-2024")</f>
        <v/>
      </c>
      <c r="W33">
        <f>HYPERLINK("https://klasma.github.io/Logging_1290/kartor/A 1415-2024 karta.png", "A 1415-2024")</f>
        <v/>
      </c>
      <c r="Y33">
        <f>HYPERLINK("https://klasma.github.io/Logging_1290/klagomål/A 1415-2024 FSC-klagomål.docx", "A 1415-2024")</f>
        <v/>
      </c>
      <c r="Z33">
        <f>HYPERLINK("https://klasma.github.io/Logging_1290/klagomålsmail/A 1415-2024 FSC-klagomål mail.docx", "A 1415-2024")</f>
        <v/>
      </c>
      <c r="AA33">
        <f>HYPERLINK("https://klasma.github.io/Logging_1290/tillsyn/A 1415-2024 tillsynsbegäran.docx", "A 1415-2024")</f>
        <v/>
      </c>
      <c r="AB33">
        <f>HYPERLINK("https://klasma.github.io/Logging_1290/tillsynsmail/A 1415-2024 tillsynsbegäran mail.docx", "A 1415-2024")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46219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s="2" t="inlineStr">
        <is>
          <t>Crunoecia irrorata
Småvänderot
Lundbräsma
Myskmadra</t>
        </is>
      </c>
      <c r="V34">
        <f>HYPERLINK("https://klasma.github.io/Logging_1290/artfynd/A 47662-2025 artfynd.xlsx", "A 47662-2025")</f>
        <v/>
      </c>
      <c r="W34">
        <f>HYPERLINK("https://klasma.github.io/Logging_1290/kartor/A 47662-2025 karta.png", "A 47662-2025")</f>
        <v/>
      </c>
      <c r="Y34">
        <f>HYPERLINK("https://klasma.github.io/Logging_1290/klagomål/A 47662-2025 FSC-klagomål.docx", "A 47662-2025")</f>
        <v/>
      </c>
      <c r="Z34">
        <f>HYPERLINK("https://klasma.github.io/Logging_1290/klagomålsmail/A 47662-2025 FSC-klagomål mail.docx", "A 47662-2025")</f>
        <v/>
      </c>
      <c r="AA34">
        <f>HYPERLINK("https://klasma.github.io/Logging_1290/tillsyn/A 47662-2025 tillsynsbegäran.docx", "A 47662-2025")</f>
        <v/>
      </c>
      <c r="AB34">
        <f>HYPERLINK("https://klasma.github.io/Logging_1290/tillsynsmail/A 47662-2025 tillsynsbegäran mail.docx", "A 47662-2025")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46219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s="2" t="inlineStr">
        <is>
          <t>Entita
Spillkråka
Gröngöling
Kungsfågel</t>
        </is>
      </c>
      <c r="V35">
        <f>HYPERLINK("https://klasma.github.io/Logging_1290/artfynd/A 49831-2025 artfynd.xlsx", "A 49831-2025")</f>
        <v/>
      </c>
      <c r="W35">
        <f>HYPERLINK("https://klasma.github.io/Logging_1290/kartor/A 49831-2025 karta.png", "A 49831-2025")</f>
        <v/>
      </c>
      <c r="Y35">
        <f>HYPERLINK("https://klasma.github.io/Logging_1290/klagomål/A 49831-2025 FSC-klagomål.docx", "A 49831-2025")</f>
        <v/>
      </c>
      <c r="Z35">
        <f>HYPERLINK("https://klasma.github.io/Logging_1290/klagomålsmail/A 49831-2025 FSC-klagomål mail.docx", "A 49831-2025")</f>
        <v/>
      </c>
      <c r="AA35">
        <f>HYPERLINK("https://klasma.github.io/Logging_1290/tillsyn/A 49831-2025 tillsynsbegäran.docx", "A 49831-2025")</f>
        <v/>
      </c>
      <c r="AB35">
        <f>HYPERLINK("https://klasma.github.io/Logging_1290/tillsynsmail/A 49831-2025 tillsynsbegäran mail.docx", "A 49831-2025")</f>
        <v/>
      </c>
      <c r="AC35">
        <f>HYPERLINK("https://klasma.github.io/Logging_1290/fåglar/A 49831-2025 prioriterade fågelarter.docx", "A 49831-2025")</f>
        <v/>
      </c>
    </row>
    <row r="36" ht="15" customHeight="1">
      <c r="A36" t="inlineStr">
        <is>
          <t>A 62987-2023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45272</v>
      </c>
      <c r="E36" s="1" t="n">
        <v>46219</v>
      </c>
      <c r="F36" t="inlineStr">
        <is>
          <t>SKÅNE LÄN</t>
        </is>
      </c>
      <c r="G36" t="inlineStr">
        <is>
          <t>KRISTIANSTAD</t>
        </is>
      </c>
      <c r="I36" t="n">
        <v>13.5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6</v>
      </c>
      <c r="U36" s="2" t="inlineStr">
        <is>
          <t>Västlig hakmossa
Åkergroda
Mindre vattensalamander
Skogsödla</t>
        </is>
      </c>
      <c r="V36">
        <f>HYPERLINK("https://klasma.github.io/Logging_1290/artfynd/A 62987-2023 artfynd.xlsx", "A 62987-2023")</f>
        <v/>
      </c>
      <c r="W36">
        <f>HYPERLINK("https://klasma.github.io/Logging_1290/kartor/A 62987-2023 karta.png", "A 62987-2023")</f>
        <v/>
      </c>
      <c r="Y36">
        <f>HYPERLINK("https://klasma.github.io/Logging_1290/klagomål/A 62987-2023 FSC-klagomål.docx", "A 62987-2023")</f>
        <v/>
      </c>
      <c r="Z36">
        <f>HYPERLINK("https://klasma.github.io/Logging_1290/klagomålsmail/A 62987-2023 FSC-klagomål mail.docx", "A 62987-2023")</f>
        <v/>
      </c>
      <c r="AA36">
        <f>HYPERLINK("https://klasma.github.io/Logging_1290/tillsyn/A 62987-2023 tillsynsbegäran.docx", "A 62987-2023")</f>
        <v/>
      </c>
      <c r="AB36">
        <f>HYPERLINK("https://klasma.github.io/Logging_1290/tillsynsmail/A 62987-2023 tillsynsbegäran mail.docx", "A 62987-2023")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46219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Tallticka
Ekskinn
Guldlockmossa
Jättesvampmal</t>
        </is>
      </c>
      <c r="V37">
        <f>HYPERLINK("https://klasma.github.io/Logging_1290/artfynd/A 1744-2024 artfynd.xlsx", "A 1744-2024")</f>
        <v/>
      </c>
      <c r="W37">
        <f>HYPERLINK("https://klasma.github.io/Logging_1290/kartor/A 1744-2024 karta.png", "A 1744-2024")</f>
        <v/>
      </c>
      <c r="Y37">
        <f>HYPERLINK("https://klasma.github.io/Logging_1290/klagomål/A 1744-2024 FSC-klagomål.docx", "A 1744-2024")</f>
        <v/>
      </c>
      <c r="Z37">
        <f>HYPERLINK("https://klasma.github.io/Logging_1290/klagomålsmail/A 1744-2024 FSC-klagomål mail.docx", "A 1744-2024")</f>
        <v/>
      </c>
      <c r="AA37">
        <f>HYPERLINK("https://klasma.github.io/Logging_1290/tillsyn/A 1744-2024 tillsynsbegäran.docx", "A 1744-2024")</f>
        <v/>
      </c>
      <c r="AB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46219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s="2" t="inlineStr">
        <is>
          <t>Småvänderot
Kambräken
Gullviva
Revlummer</t>
        </is>
      </c>
      <c r="V38">
        <f>HYPERLINK("https://klasma.github.io/Logging_1290/artfynd/S 3447-2023 artfynd.xlsx", "S 3447-2023")</f>
        <v/>
      </c>
      <c r="W38">
        <f>HYPERLINK("https://klasma.github.io/Logging_1290/kartor/S 3447-2023 karta.png", "S 3447-2023")</f>
        <v/>
      </c>
      <c r="Y38">
        <f>HYPERLINK("https://klasma.github.io/Logging_1290/klagomål/S 3447-2023 FSC-klagomål.docx", "S 3447-2023")</f>
        <v/>
      </c>
      <c r="Z38">
        <f>HYPERLINK("https://klasma.github.io/Logging_1290/klagomålsmail/S 3447-2023 FSC-klagomål mail.docx", "S 3447-2023")</f>
        <v/>
      </c>
      <c r="AA38">
        <f>HYPERLINK("https://klasma.github.io/Logging_1290/tillsyn/S 3447-2023 tillsynsbegäran.docx", "S 3447-2023")</f>
        <v/>
      </c>
      <c r="AB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46219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s="2" t="inlineStr">
        <is>
          <t>Dvärgbägarlav
Havstulpanlav
Rostfläck
Glansfläck</t>
        </is>
      </c>
      <c r="V39">
        <f>HYPERLINK("https://klasma.github.io/Logging_1290/artfynd/S 2469-2024 artfynd.xlsx", "S 2469-2024")</f>
        <v/>
      </c>
      <c r="W39">
        <f>HYPERLINK("https://klasma.github.io/Logging_1290/kartor/S 2469-2024 karta.png", "S 2469-2024")</f>
        <v/>
      </c>
      <c r="Y39">
        <f>HYPERLINK("https://klasma.github.io/Logging_1290/klagomål/S 2469-2024 FSC-klagomål.docx", "S 2469-2024")</f>
        <v/>
      </c>
      <c r="Z39">
        <f>HYPERLINK("https://klasma.github.io/Logging_1290/klagomålsmail/S 2469-2024 FSC-klagomål mail.docx", "S 2469-2024")</f>
        <v/>
      </c>
      <c r="AA39">
        <f>HYPERLINK("https://klasma.github.io/Logging_1290/tillsyn/S 2469-2024 tillsynsbegäran.docx", "S 2469-2024")</f>
        <v/>
      </c>
      <c r="AB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46219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Småvänderot
Kavelhirs
Västlig hakmossa
Gullviva</t>
        </is>
      </c>
      <c r="V40">
        <f>HYPERLINK("https://klasma.github.io/Logging_1290/artfynd/S 474-2025 artfynd.xlsx", "S 474-2025")</f>
        <v/>
      </c>
      <c r="W40">
        <f>HYPERLINK("https://klasma.github.io/Logging_1290/kartor/S 474-2025 karta.png", "S 474-2025")</f>
        <v/>
      </c>
      <c r="Y40">
        <f>HYPERLINK("https://klasma.github.io/Logging_1290/klagomål/S 474-2025 FSC-klagomål.docx", "S 474-2025")</f>
        <v/>
      </c>
      <c r="Z40">
        <f>HYPERLINK("https://klasma.github.io/Logging_1290/klagomålsmail/S 474-2025 FSC-klagomål mail.docx", "S 474-2025")</f>
        <v/>
      </c>
      <c r="AA40">
        <f>HYPERLINK("https://klasma.github.io/Logging_1290/tillsyn/S 474-2025 tillsynsbegäran.docx", "S 474-2025")</f>
        <v/>
      </c>
      <c r="AB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46219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Öring
Blåsippa
Havsörn</t>
        </is>
      </c>
      <c r="V41">
        <f>HYPERLINK("https://klasma.github.io/Logging_1290/artfynd/S 869-2025 artfynd.xlsx", "S 869-2025")</f>
        <v/>
      </c>
      <c r="W41">
        <f>HYPERLINK("https://klasma.github.io/Logging_1290/kartor/S 869-2025 karta.png", "S 869-2025")</f>
        <v/>
      </c>
      <c r="Y41">
        <f>HYPERLINK("https://klasma.github.io/Logging_1290/klagomål/S 869-2025 FSC-klagomål.docx", "S 869-2025")</f>
        <v/>
      </c>
      <c r="Z41">
        <f>HYPERLINK("https://klasma.github.io/Logging_1290/klagomålsmail/S 869-2025 FSC-klagomål mail.docx", "S 869-2025")</f>
        <v/>
      </c>
      <c r="AA41">
        <f>HYPERLINK("https://klasma.github.io/Logging_1290/tillsyn/S 869-2025 tillsynsbegäran.docx", "S 869-2025")</f>
        <v/>
      </c>
      <c r="AB41">
        <f>HYPERLINK("https://klasma.github.io/Logging_1290/tillsynsmail/S 869-2025 tillsynsbegäran mail.docx", "S 869-2025")</f>
        <v/>
      </c>
      <c r="AC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46219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s="2" t="inlineStr">
        <is>
          <t>Bokvårtlav
Sydlig sotticka
Klippfrullania
Platt fjädermossa</t>
        </is>
      </c>
      <c r="V42">
        <f>HYPERLINK("https://klasma.github.io/Logging_1290/artfynd/S 2888-2025 artfynd.xlsx", "S 2888-2025")</f>
        <v/>
      </c>
      <c r="W42">
        <f>HYPERLINK("https://klasma.github.io/Logging_1290/kartor/S 2888-2025 karta.png", "S 2888-2025")</f>
        <v/>
      </c>
      <c r="Y42">
        <f>HYPERLINK("https://klasma.github.io/Logging_1290/klagomål/S 2888-2025 FSC-klagomål.docx", "S 2888-2025")</f>
        <v/>
      </c>
      <c r="Z42">
        <f>HYPERLINK("https://klasma.github.io/Logging_1290/klagomålsmail/S 2888-2025 FSC-klagomål mail.docx", "S 2888-2025")</f>
        <v/>
      </c>
      <c r="AA42">
        <f>HYPERLINK("https://klasma.github.io/Logging_1290/tillsyn/S 2888-2025 tillsynsbegäran.docx", "S 2888-2025")</f>
        <v/>
      </c>
      <c r="AB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46219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Småvänderot
Bokvårtlav
Lunglav
Havstulpanlav</t>
        </is>
      </c>
      <c r="V43">
        <f>HYPERLINK("https://klasma.github.io/Logging_1290/artfynd/S 2890-2025 artfynd.xlsx", "S 2890-2025")</f>
        <v/>
      </c>
      <c r="W43">
        <f>HYPERLINK("https://klasma.github.io/Logging_1290/kartor/S 2890-2025 karta.png", "S 2890-2025")</f>
        <v/>
      </c>
      <c r="Y43">
        <f>HYPERLINK("https://klasma.github.io/Logging_1290/klagomål/S 2890-2025 FSC-klagomål.docx", "S 2890-2025")</f>
        <v/>
      </c>
      <c r="Z43">
        <f>HYPERLINK("https://klasma.github.io/Logging_1290/klagomålsmail/S 2890-2025 FSC-klagomål mail.docx", "S 2890-2025")</f>
        <v/>
      </c>
      <c r="AA43">
        <f>HYPERLINK("https://klasma.github.io/Logging_1290/tillsyn/S 2890-2025 tillsynsbegäran.docx", "S 2890-2025")</f>
        <v/>
      </c>
      <c r="AB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46219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s="2" t="inlineStr">
        <is>
          <t>Bukspolsnäcka
Tandsnäcka
Gulsparv
Lamellsnäcka</t>
        </is>
      </c>
      <c r="V44">
        <f>HYPERLINK("https://klasma.github.io/Logging_1290/artfynd/S 1314-2026 artfynd.xlsx", "S 1314-2026")</f>
        <v/>
      </c>
      <c r="W44">
        <f>HYPERLINK("https://klasma.github.io/Logging_1290/kartor/S 1314-2026 karta.png", "S 1314-2026")</f>
        <v/>
      </c>
      <c r="Y44">
        <f>HYPERLINK("https://klasma.github.io/Logging_1290/klagomål/S 1314-2026 FSC-klagomål.docx", "S 1314-2026")</f>
        <v/>
      </c>
      <c r="Z44">
        <f>HYPERLINK("https://klasma.github.io/Logging_1290/klagomålsmail/S 1314-2026 FSC-klagomål mail.docx", "S 1314-2026")</f>
        <v/>
      </c>
      <c r="AA44">
        <f>HYPERLINK("https://klasma.github.io/Logging_1290/tillsyn/S 1314-2026 tillsynsbegäran.docx", "S 1314-2026")</f>
        <v/>
      </c>
      <c r="AB44">
        <f>HYPERLINK("https://klasma.github.io/Logging_1290/tillsynsmail/S 1314-2026 tillsynsbegäran mail.docx", "S 1314-2026")</f>
        <v/>
      </c>
      <c r="AC44">
        <f>HYPERLINK("https://klasma.github.io/Logging_1290/fåglar/S 1314-2026 prioriterade fågelarter.docx", "S 1314-2026")</f>
        <v/>
      </c>
    </row>
    <row r="45" ht="15" customHeight="1">
      <c r="A45" t="inlineStr">
        <is>
          <t>A 12576-2023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46219</v>
      </c>
      <c r="F45" t="inlineStr">
        <is>
          <t>SKÅNE LÄN</t>
        </is>
      </c>
      <c r="G45" t="inlineStr">
        <is>
          <t>KRISTIANSTAD</t>
        </is>
      </c>
      <c r="I45" t="n">
        <v>5.8</v>
      </c>
      <c r="J45" t="n">
        <v>0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3</v>
      </c>
      <c r="U45" s="2" t="inlineStr">
        <is>
          <t>Bukspolsnäcka
Tandsnäcka
Lamellsnäcka</t>
        </is>
      </c>
      <c r="V45">
        <f>HYPERLINK("https://klasma.github.io/Logging_1290/artfynd/A 12576-2023 artfynd.xlsx", "A 12576-2023")</f>
        <v/>
      </c>
      <c r="W45">
        <f>HYPERLINK("https://klasma.github.io/Logging_1290/kartor/A 12576-2023 karta.png", "A 12576-2023")</f>
        <v/>
      </c>
      <c r="Y45">
        <f>HYPERLINK("https://klasma.github.io/Logging_1290/klagomål/A 12576-2023 FSC-klagomål.docx", "A 12576-2023")</f>
        <v/>
      </c>
      <c r="Z45">
        <f>HYPERLINK("https://klasma.github.io/Logging_1290/klagomålsmail/A 12576-2023 FSC-klagomål mail.docx", "A 12576-2023")</f>
        <v/>
      </c>
      <c r="AA45">
        <f>HYPERLINK("https://klasma.github.io/Logging_1290/tillsyn/A 12576-2023 tillsynsbegäran.docx", "A 12576-2023")</f>
        <v/>
      </c>
      <c r="AB45">
        <f>HYPERLINK("https://klasma.github.io/Logging_1290/tillsynsmail/A 12576-2023 tillsynsbegäran mail.docx", "A 12576-2023")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46219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Västlig hakmossa
Röd glada
Större vattensalamander</t>
        </is>
      </c>
      <c r="V46">
        <f>HYPERLINK("https://klasma.github.io/Logging_1290/artfynd/A 33364-2023 artfynd.xlsx", "A 33364-2023")</f>
        <v/>
      </c>
      <c r="W46">
        <f>HYPERLINK("https://klasma.github.io/Logging_1290/kartor/A 33364-2023 karta.png", "A 33364-2023")</f>
        <v/>
      </c>
      <c r="Y46">
        <f>HYPERLINK("https://klasma.github.io/Logging_1290/klagomål/A 33364-2023 FSC-klagomål.docx", "A 33364-2023")</f>
        <v/>
      </c>
      <c r="Z46">
        <f>HYPERLINK("https://klasma.github.io/Logging_1290/klagomålsmail/A 33364-2023 FSC-klagomål mail.docx", "A 33364-2023")</f>
        <v/>
      </c>
      <c r="AA46">
        <f>HYPERLINK("https://klasma.github.io/Logging_1290/tillsyn/A 33364-2023 tillsynsbegäran.docx", "A 33364-2023")</f>
        <v/>
      </c>
      <c r="AB46">
        <f>HYPERLINK("https://klasma.github.io/Logging_1290/tillsynsmail/A 33364-2023 tillsynsbegäran mail.docx", "A 33364-2023")</f>
        <v/>
      </c>
      <c r="AC46">
        <f>HYPERLINK("https://klasma.github.io/Logging_1290/fåglar/A 33364-2023 prioriterade fågelarter.docx", "A 33364-2023")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46219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Grå skärelav
Myskmadra
Kopparödla</t>
        </is>
      </c>
      <c r="V47">
        <f>HYPERLINK("https://klasma.github.io/Logging_1290/artfynd/A 9290-2025 artfynd.xlsx", "A 9290-2025")</f>
        <v/>
      </c>
      <c r="W47">
        <f>HYPERLINK("https://klasma.github.io/Logging_1290/kartor/A 9290-2025 karta.png", "A 9290-2025")</f>
        <v/>
      </c>
      <c r="Y47">
        <f>HYPERLINK("https://klasma.github.io/Logging_1290/klagomål/A 9290-2025 FSC-klagomål.docx", "A 9290-2025")</f>
        <v/>
      </c>
      <c r="Z47">
        <f>HYPERLINK("https://klasma.github.io/Logging_1290/klagomålsmail/A 9290-2025 FSC-klagomål mail.docx", "A 9290-2025")</f>
        <v/>
      </c>
      <c r="AA47">
        <f>HYPERLINK("https://klasma.github.io/Logging_1290/tillsyn/A 9290-2025 tillsynsbegäran.docx", "A 9290-2025")</f>
        <v/>
      </c>
      <c r="AB47">
        <f>HYPERLINK("https://klasma.github.io/Logging_1290/tillsynsmail/A 9290-2025 tillsynsbegäran mail.docx", "A 9290-2025")</f>
        <v/>
      </c>
    </row>
    <row r="48" ht="15" customHeight="1">
      <c r="A48" t="inlineStr">
        <is>
          <t>A 52020-2021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46219</v>
      </c>
      <c r="F48" t="inlineStr">
        <is>
          <t>SKÅNE LÄN</t>
        </is>
      </c>
      <c r="G48" t="inlineStr">
        <is>
          <t>KRISTIANSTAD</t>
        </is>
      </c>
      <c r="I48" t="n">
        <v>1</v>
      </c>
      <c r="J48" t="n">
        <v>3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s="2" t="inlineStr">
        <is>
          <t>Grönfink
Järnsparv
Kungsfågel</t>
        </is>
      </c>
      <c r="V48">
        <f>HYPERLINK("https://klasma.github.io/Logging_1290/artfynd/A 52020-2021 artfynd.xlsx", "A 52020-2021")</f>
        <v/>
      </c>
      <c r="W48">
        <f>HYPERLINK("https://klasma.github.io/Logging_1290/kartor/A 52020-2021 karta.png", "A 52020-2021")</f>
        <v/>
      </c>
      <c r="Y48">
        <f>HYPERLINK("https://klasma.github.io/Logging_1290/klagomål/A 52020-2021 FSC-klagomål.docx", "A 52020-2021")</f>
        <v/>
      </c>
      <c r="Z48">
        <f>HYPERLINK("https://klasma.github.io/Logging_1290/klagomålsmail/A 52020-2021 FSC-klagomål mail.docx", "A 52020-2021")</f>
        <v/>
      </c>
      <c r="AA48">
        <f>HYPERLINK("https://klasma.github.io/Logging_1290/tillsyn/A 52020-2021 tillsynsbegäran.docx", "A 52020-2021")</f>
        <v/>
      </c>
      <c r="AB48">
        <f>HYPERLINK("https://klasma.github.io/Logging_1290/tillsynsmail/A 52020-2021 tillsynsbegäran mail.docx", "A 52020-2021")</f>
        <v/>
      </c>
      <c r="AC48">
        <f>HYPERLINK("https://klasma.github.io/Logging_1290/fåglar/A 52020-2021 prioriterade fågelarter.docx", "A 52020-2021")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46219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s="2" t="inlineStr">
        <is>
          <t>Entita
Mindre hackspett
Gröngöling</t>
        </is>
      </c>
      <c r="V49">
        <f>HYPERLINK("https://klasma.github.io/Logging_1290/artfynd/A 47331-2025 artfynd.xlsx", "A 47331-2025")</f>
        <v/>
      </c>
      <c r="W49">
        <f>HYPERLINK("https://klasma.github.io/Logging_1290/kartor/A 47331-2025 karta.png", "A 47331-2025")</f>
        <v/>
      </c>
      <c r="Y49">
        <f>HYPERLINK("https://klasma.github.io/Logging_1290/klagomål/A 47331-2025 FSC-klagomål.docx", "A 47331-2025")</f>
        <v/>
      </c>
      <c r="Z49">
        <f>HYPERLINK("https://klasma.github.io/Logging_1290/klagomålsmail/A 47331-2025 FSC-klagomål mail.docx", "A 47331-2025")</f>
        <v/>
      </c>
      <c r="AA49">
        <f>HYPERLINK("https://klasma.github.io/Logging_1290/tillsyn/A 47331-2025 tillsynsbegäran.docx", "A 47331-2025")</f>
        <v/>
      </c>
      <c r="AB49">
        <f>HYPERLINK("https://klasma.github.io/Logging_1290/tillsynsmail/A 47331-2025 tillsynsbegäran mail.docx", "A 47331-2025")</f>
        <v/>
      </c>
      <c r="AC49">
        <f>HYPERLINK("https://klasma.github.io/Logging_1290/fåglar/A 47331-2025 prioriterade fågelarter.docx", "A 47331-2025")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46219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s="2" t="inlineStr">
        <is>
          <t>Sydlig gyllenspindling
Piskbaronmossa
Kopparödla</t>
        </is>
      </c>
      <c r="V50">
        <f>HYPERLINK("https://klasma.github.io/Logging_1290/artfynd/A 44585-2023 artfynd.xlsx", "A 44585-2023")</f>
        <v/>
      </c>
      <c r="W50">
        <f>HYPERLINK("https://klasma.github.io/Logging_1290/kartor/A 44585-2023 karta.png", "A 44585-2023")</f>
        <v/>
      </c>
      <c r="Y50">
        <f>HYPERLINK("https://klasma.github.io/Logging_1290/klagomål/A 44585-2023 FSC-klagomål.docx", "A 44585-2023")</f>
        <v/>
      </c>
      <c r="Z50">
        <f>HYPERLINK("https://klasma.github.io/Logging_1290/klagomålsmail/A 44585-2023 FSC-klagomål mail.docx", "A 44585-2023")</f>
        <v/>
      </c>
      <c r="AA50">
        <f>HYPERLINK("https://klasma.github.io/Logging_1290/tillsyn/A 44585-2023 tillsynsbegäran.docx", "A 44585-2023")</f>
        <v/>
      </c>
      <c r="AB50">
        <f>HYPERLINK("https://klasma.github.io/Logging_1290/tillsynsmail/A 44585-2023 tillsynsbegäran mail.docx", "A 44585-2023")</f>
        <v/>
      </c>
    </row>
    <row r="51" ht="15" customHeight="1">
      <c r="A51" t="inlineStr">
        <is>
          <t>A 52053-2025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46219</v>
      </c>
      <c r="F51" t="inlineStr">
        <is>
          <t>SKÅNE LÄN</t>
        </is>
      </c>
      <c r="G51" t="inlineStr">
        <is>
          <t>KRISTIANSTAD</t>
        </is>
      </c>
      <c r="I51" t="n">
        <v>5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5</v>
      </c>
      <c r="U51" s="2" t="inlineStr">
        <is>
          <t>Ask
Guldlockmossa
Murgröna</t>
        </is>
      </c>
      <c r="V51">
        <f>HYPERLINK("https://klasma.github.io/Logging_1290/artfynd/A 52053-2025 artfynd.xlsx", "A 52053-2025")</f>
        <v/>
      </c>
      <c r="W51">
        <f>HYPERLINK("https://klasma.github.io/Logging_1290/kartor/A 52053-2025 karta.png", "A 52053-2025")</f>
        <v/>
      </c>
      <c r="Y51">
        <f>HYPERLINK("https://klasma.github.io/Logging_1290/klagomål/A 52053-2025 FSC-klagomål.docx", "A 52053-2025")</f>
        <v/>
      </c>
      <c r="Z51">
        <f>HYPERLINK("https://klasma.github.io/Logging_1290/klagomålsmail/A 52053-2025 FSC-klagomål mail.docx", "A 52053-2025")</f>
        <v/>
      </c>
      <c r="AA51">
        <f>HYPERLINK("https://klasma.github.io/Logging_1290/tillsyn/A 52053-2025 tillsynsbegäran.docx", "A 52053-2025")</f>
        <v/>
      </c>
      <c r="AB51">
        <f>HYPERLINK("https://klasma.github.io/Logging_1290/tillsynsmail/A 52053-2025 tillsynsbegäran mail.docx", "A 52053-2025")</f>
        <v/>
      </c>
    </row>
    <row r="52" ht="15" customHeight="1">
      <c r="A52" t="inlineStr">
        <is>
          <t>A 52039-2021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46219</v>
      </c>
      <c r="F52" t="inlineStr">
        <is>
          <t>SKÅNE LÄN</t>
        </is>
      </c>
      <c r="G52" t="inlineStr">
        <is>
          <t>KRISTIANSTAD</t>
        </is>
      </c>
      <c r="I52" t="n">
        <v>3.1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s="2" t="inlineStr">
        <is>
          <t>Entita
Järnsparv
Gullviva</t>
        </is>
      </c>
      <c r="V52">
        <f>HYPERLINK("https://klasma.github.io/Logging_1290/artfynd/A 52039-2021 artfynd.xlsx", "A 52039-2021")</f>
        <v/>
      </c>
      <c r="W52">
        <f>HYPERLINK("https://klasma.github.io/Logging_1290/kartor/A 52039-2021 karta.png", "A 52039-2021")</f>
        <v/>
      </c>
      <c r="Y52">
        <f>HYPERLINK("https://klasma.github.io/Logging_1290/klagomål/A 52039-2021 FSC-klagomål.docx", "A 52039-2021")</f>
        <v/>
      </c>
      <c r="Z52">
        <f>HYPERLINK("https://klasma.github.io/Logging_1290/klagomålsmail/A 52039-2021 FSC-klagomål mail.docx", "A 52039-2021")</f>
        <v/>
      </c>
      <c r="AA52">
        <f>HYPERLINK("https://klasma.github.io/Logging_1290/tillsyn/A 52039-2021 tillsynsbegäran.docx", "A 52039-2021")</f>
        <v/>
      </c>
      <c r="AB52">
        <f>HYPERLINK("https://klasma.github.io/Logging_1290/tillsynsmail/A 52039-2021 tillsynsbegäran mail.docx", "A 52039-2021")</f>
        <v/>
      </c>
      <c r="AC52">
        <f>HYPERLINK("https://klasma.github.io/Logging_1290/fåglar/A 52039-2021 prioriterade fågelarter.docx", "A 52039-2021")</f>
        <v/>
      </c>
    </row>
    <row r="53" ht="15" customHeight="1">
      <c r="A53" t="inlineStr">
        <is>
          <t>A 19569-2026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46219</v>
      </c>
      <c r="F53" t="inlineStr">
        <is>
          <t>SKÅNE LÄN</t>
        </is>
      </c>
      <c r="G53" t="inlineStr">
        <is>
          <t>KRISTIANSTAD</t>
        </is>
      </c>
      <c r="H53" t="inlineStr">
        <is>
          <t>Kommuner</t>
        </is>
      </c>
      <c r="I53" t="n">
        <v>5</v>
      </c>
      <c r="J53" t="n">
        <v>2</v>
      </c>
      <c r="K53" t="n">
        <v>1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3</v>
      </c>
      <c r="T53" t="n">
        <v>3</v>
      </c>
      <c r="U53" s="2" t="inlineStr">
        <is>
          <t>Ejder
Luktvädd
Skogsknipprot</t>
        </is>
      </c>
      <c r="V53">
        <f>HYPERLINK("https://klasma.github.io/Logging_1290/artfynd/A 19569-2026 artfynd.xlsx", "A 19569-2026")</f>
        <v/>
      </c>
      <c r="W53">
        <f>HYPERLINK("https://klasma.github.io/Logging_1290/kartor/A 19569-2026 karta.png", "A 19569-2026")</f>
        <v/>
      </c>
      <c r="Y53">
        <f>HYPERLINK("https://klasma.github.io/Logging_1290/klagomål/A 19569-2026 FSC-klagomål.docx", "A 19569-2026")</f>
        <v/>
      </c>
      <c r="Z53">
        <f>HYPERLINK("https://klasma.github.io/Logging_1290/klagomålsmail/A 19569-2026 FSC-klagomål mail.docx", "A 19569-2026")</f>
        <v/>
      </c>
      <c r="AA53">
        <f>HYPERLINK("https://klasma.github.io/Logging_1290/tillsyn/A 19569-2026 tillsynsbegäran.docx", "A 19569-2026")</f>
        <v/>
      </c>
      <c r="AB53">
        <f>HYPERLINK("https://klasma.github.io/Logging_1290/tillsynsmail/A 19569-2026 tillsynsbegäran mail.docx", "A 19569-2026")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46219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s="2" t="inlineStr">
        <is>
          <t>Nattskärra
Spillkråka
Törnskata</t>
        </is>
      </c>
      <c r="V54">
        <f>HYPERLINK("https://klasma.github.io/Logging_1290/artfynd/S 2643-2022 artfynd.xlsx", "S 2643-2022")</f>
        <v/>
      </c>
      <c r="W54">
        <f>HYPERLINK("https://klasma.github.io/Logging_1290/kartor/S 2643-2022 karta.png", "S 2643-2022")</f>
        <v/>
      </c>
      <c r="Y54">
        <f>HYPERLINK("https://klasma.github.io/Logging_1290/klagomål/S 2643-2022 FSC-klagomål.docx", "S 2643-2022")</f>
        <v/>
      </c>
      <c r="Z54">
        <f>HYPERLINK("https://klasma.github.io/Logging_1290/klagomålsmail/S 2643-2022 FSC-klagomål mail.docx", "S 2643-2022")</f>
        <v/>
      </c>
      <c r="AA54">
        <f>HYPERLINK("https://klasma.github.io/Logging_1290/tillsyn/S 2643-2022 tillsynsbegäran.docx", "S 2643-2022")</f>
        <v/>
      </c>
      <c r="AB54">
        <f>HYPERLINK("https://klasma.github.io/Logging_1290/tillsynsmail/S 2643-2022 tillsynsbegäran mail.docx", "S 2643-2022")</f>
        <v/>
      </c>
      <c r="AC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46219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Bokkantlav
Fällmossa
Kornig nållav</t>
        </is>
      </c>
      <c r="V55">
        <f>HYPERLINK("https://klasma.github.io/Logging_1290/artfynd/S 87-2025 artfynd.xlsx", "S 87-2025")</f>
        <v/>
      </c>
      <c r="W55">
        <f>HYPERLINK("https://klasma.github.io/Logging_1290/kartor/S 87-2025 karta.png", "S 87-2025")</f>
        <v/>
      </c>
      <c r="Y55">
        <f>HYPERLINK("https://klasma.github.io/Logging_1290/klagomål/S 87-2025 FSC-klagomål.docx", "S 87-2025")</f>
        <v/>
      </c>
      <c r="Z55">
        <f>HYPERLINK("https://klasma.github.io/Logging_1290/klagomålsmail/S 87-2025 FSC-klagomål mail.docx", "S 87-2025")</f>
        <v/>
      </c>
      <c r="AA55">
        <f>HYPERLINK("https://klasma.github.io/Logging_1290/tillsyn/S 87-2025 tillsynsbegäran.docx", "S 87-2025")</f>
        <v/>
      </c>
      <c r="AB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46219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s="2" t="inlineStr">
        <is>
          <t>Tofsäxing
Hedblomster
Luktvädd</t>
        </is>
      </c>
      <c r="V56">
        <f>HYPERLINK("https://klasma.github.io/Logging_1290/artfynd/S 557-2023 artfynd.xlsx", "S 557-2023")</f>
        <v/>
      </c>
      <c r="W56">
        <f>HYPERLINK("https://klasma.github.io/Logging_1290/kartor/S 557-2023 karta.png", "S 557-2023")</f>
        <v/>
      </c>
      <c r="Y56">
        <f>HYPERLINK("https://klasma.github.io/Logging_1290/klagomål/S 557-2023 FSC-klagomål.docx", "S 557-2023")</f>
        <v/>
      </c>
      <c r="Z56">
        <f>HYPERLINK("https://klasma.github.io/Logging_1290/klagomålsmail/S 557-2023 FSC-klagomål mail.docx", "S 557-2023")</f>
        <v/>
      </c>
      <c r="AA56">
        <f>HYPERLINK("https://klasma.github.io/Logging_1290/tillsyn/S 557-2023 tillsynsbegäran.docx", "S 557-2023")</f>
        <v/>
      </c>
      <c r="AB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46219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s="2" t="inlineStr">
        <is>
          <t>Ekskinn
Fällmossa
Jättesvampmal</t>
        </is>
      </c>
      <c r="V57">
        <f>HYPERLINK("https://klasma.github.io/Logging_1290/artfynd/S 5536-2021 artfynd.xlsx", "S 5536-2021")</f>
        <v/>
      </c>
      <c r="W57">
        <f>HYPERLINK("https://klasma.github.io/Logging_1290/kartor/S 5536-2021 karta.png", "S 5536-2021")</f>
        <v/>
      </c>
      <c r="Y57">
        <f>HYPERLINK("https://klasma.github.io/Logging_1290/klagomål/S 5536-2021 FSC-klagomål.docx", "S 5536-2021")</f>
        <v/>
      </c>
      <c r="Z57">
        <f>HYPERLINK("https://klasma.github.io/Logging_1290/klagomålsmail/S 5536-2021 FSC-klagomål mail.docx", "S 5536-2021")</f>
        <v/>
      </c>
      <c r="AA57">
        <f>HYPERLINK("https://klasma.github.io/Logging_1290/tillsyn/S 5536-2021 tillsynsbegäran.docx", "S 5536-2021")</f>
        <v/>
      </c>
      <c r="AB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46219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Tibast
Svartvit flugsnappare</t>
        </is>
      </c>
      <c r="V58">
        <f>HYPERLINK("https://klasma.github.io/Logging_1290/artfynd/A 56454-2021 artfynd.xlsx", "A 56454-2021")</f>
        <v/>
      </c>
      <c r="W58">
        <f>HYPERLINK("https://klasma.github.io/Logging_1290/kartor/A 56454-2021 karta.png", "A 56454-2021")</f>
        <v/>
      </c>
      <c r="Y58">
        <f>HYPERLINK("https://klasma.github.io/Logging_1290/klagomål/A 56454-2021 FSC-klagomål.docx", "A 56454-2021")</f>
        <v/>
      </c>
      <c r="Z58">
        <f>HYPERLINK("https://klasma.github.io/Logging_1290/klagomålsmail/A 56454-2021 FSC-klagomål mail.docx", "A 56454-2021")</f>
        <v/>
      </c>
      <c r="AA58">
        <f>HYPERLINK("https://klasma.github.io/Logging_1290/tillsyn/A 56454-2021 tillsynsbegäran.docx", "A 56454-2021")</f>
        <v/>
      </c>
      <c r="AB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46219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Lundvårlök
Grönvit nattviol</t>
        </is>
      </c>
      <c r="V59">
        <f>HYPERLINK("https://klasma.github.io/Logging_1290/artfynd/A 59690-2021 artfynd.xlsx", "A 59690-2021")</f>
        <v/>
      </c>
      <c r="W59">
        <f>HYPERLINK("https://klasma.github.io/Logging_1290/kartor/A 59690-2021 karta.png", "A 59690-2021")</f>
        <v/>
      </c>
      <c r="Y59">
        <f>HYPERLINK("https://klasma.github.io/Logging_1290/klagomål/A 59690-2021 FSC-klagomål.docx", "A 59690-2021")</f>
        <v/>
      </c>
      <c r="Z59">
        <f>HYPERLINK("https://klasma.github.io/Logging_1290/klagomålsmail/A 59690-2021 FSC-klagomål mail.docx", "A 59690-2021")</f>
        <v/>
      </c>
      <c r="AA59">
        <f>HYPERLINK("https://klasma.github.io/Logging_1290/tillsyn/A 59690-2021 tillsynsbegäran.docx", "A 59690-2021")</f>
        <v/>
      </c>
      <c r="AB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46219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s="2" t="inlineStr">
        <is>
          <t>Blomkålssvamp
Gullviva</t>
        </is>
      </c>
      <c r="V60">
        <f>HYPERLINK("https://klasma.github.io/Logging_1290/artfynd/A 25762-2024 artfynd.xlsx", "A 25762-2024")</f>
        <v/>
      </c>
      <c r="W60">
        <f>HYPERLINK("https://klasma.github.io/Logging_1290/kartor/A 25762-2024 karta.png", "A 25762-2024")</f>
        <v/>
      </c>
      <c r="Y60">
        <f>HYPERLINK("https://klasma.github.io/Logging_1290/klagomål/A 25762-2024 FSC-klagomål.docx", "A 25762-2024")</f>
        <v/>
      </c>
      <c r="Z60">
        <f>HYPERLINK("https://klasma.github.io/Logging_1290/klagomålsmail/A 25762-2024 FSC-klagomål mail.docx", "A 25762-2024")</f>
        <v/>
      </c>
      <c r="AA60">
        <f>HYPERLINK("https://klasma.github.io/Logging_1290/tillsyn/A 25762-2024 tillsynsbegäran.docx", "A 25762-2024")</f>
        <v/>
      </c>
      <c r="AB60">
        <f>HYPERLINK("https://klasma.github.io/Logging_1290/tillsynsmail/A 25762-2024 tillsynsbegäran mail.docx", "A 25762-2024")</f>
        <v/>
      </c>
    </row>
    <row r="61" ht="15" customHeight="1">
      <c r="A61" t="inlineStr">
        <is>
          <t>A 40296-2025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46219</v>
      </c>
      <c r="F61" t="inlineStr">
        <is>
          <t>SKÅNE LÄN</t>
        </is>
      </c>
      <c r="G61" t="inlineStr">
        <is>
          <t>KRISTIANSTAD</t>
        </is>
      </c>
      <c r="I61" t="n">
        <v>0.8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s="2" t="inlineStr">
        <is>
          <t>Småvänderot
Trana</t>
        </is>
      </c>
      <c r="V61">
        <f>HYPERLINK("https://klasma.github.io/Logging_1290/artfynd/A 40296-2025 artfynd.xlsx", "A 40296-2025")</f>
        <v/>
      </c>
      <c r="W61">
        <f>HYPERLINK("https://klasma.github.io/Logging_1290/kartor/A 40296-2025 karta.png", "A 40296-2025")</f>
        <v/>
      </c>
      <c r="Y61">
        <f>HYPERLINK("https://klasma.github.io/Logging_1290/klagomål/A 40296-2025 FSC-klagomål.docx", "A 40296-2025")</f>
        <v/>
      </c>
      <c r="Z61">
        <f>HYPERLINK("https://klasma.github.io/Logging_1290/klagomålsmail/A 40296-2025 FSC-klagomål mail.docx", "A 40296-2025")</f>
        <v/>
      </c>
      <c r="AA61">
        <f>HYPERLINK("https://klasma.github.io/Logging_1290/tillsyn/A 40296-2025 tillsynsbegäran.docx", "A 40296-2025")</f>
        <v/>
      </c>
      <c r="AB61">
        <f>HYPERLINK("https://klasma.github.io/Logging_1290/tillsynsmail/A 40296-2025 tillsynsbegäran mail.docx", "A 40296-2025")</f>
        <v/>
      </c>
      <c r="AC61">
        <f>HYPERLINK("https://klasma.github.io/Logging_1290/fåglar/A 40296-2025 prioriterade fågelarter.docx", "A 40296-2025")</f>
        <v/>
      </c>
    </row>
    <row r="62" ht="15" customHeight="1">
      <c r="A62" t="inlineStr">
        <is>
          <t>A 55737-2021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44476</v>
      </c>
      <c r="E62" s="1" t="n">
        <v>46219</v>
      </c>
      <c r="F62" t="inlineStr">
        <is>
          <t>SKÅNE LÄN</t>
        </is>
      </c>
      <c r="G62" t="inlineStr">
        <is>
          <t>KRISTIANSTAD</t>
        </is>
      </c>
      <c r="H62" t="inlineStr">
        <is>
          <t>Sveaskog</t>
        </is>
      </c>
      <c r="I62" t="n">
        <v>7.4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Mindre tåtelsmygare
Kopparödla</t>
        </is>
      </c>
      <c r="V62">
        <f>HYPERLINK("https://klasma.github.io/Logging_1290/artfynd/A 55737-2021 artfynd.xlsx", "A 55737-2021")</f>
        <v/>
      </c>
      <c r="W62">
        <f>HYPERLINK("https://klasma.github.io/Logging_1290/kartor/A 55737-2021 karta.png", "A 55737-2021")</f>
        <v/>
      </c>
      <c r="Y62">
        <f>HYPERLINK("https://klasma.github.io/Logging_1290/klagomål/A 55737-2021 FSC-klagomål.docx", "A 55737-2021")</f>
        <v/>
      </c>
      <c r="Z62">
        <f>HYPERLINK("https://klasma.github.io/Logging_1290/klagomålsmail/A 55737-2021 FSC-klagomål mail.docx", "A 55737-2021")</f>
        <v/>
      </c>
      <c r="AA62">
        <f>HYPERLINK("https://klasma.github.io/Logging_1290/tillsyn/A 55737-2021 tillsynsbegäran.docx", "A 55737-2021")</f>
        <v/>
      </c>
      <c r="AB62">
        <f>HYPERLINK("https://klasma.github.io/Logging_1290/tillsynsmail/A 55737-2021 tillsynsbegäran mail.docx", "A 55737-2021")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46219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Jungfrulin
Kopparödla</t>
        </is>
      </c>
      <c r="V63">
        <f>HYPERLINK("https://klasma.github.io/Logging_1290/artfynd/A 47029-2025 artfynd.xlsx", "A 47029-2025")</f>
        <v/>
      </c>
      <c r="W63">
        <f>HYPERLINK("https://klasma.github.io/Logging_1290/kartor/A 47029-2025 karta.png", "A 47029-2025")</f>
        <v/>
      </c>
      <c r="Y63">
        <f>HYPERLINK("https://klasma.github.io/Logging_1290/klagomål/A 47029-2025 FSC-klagomål.docx", "A 47029-2025")</f>
        <v/>
      </c>
      <c r="Z63">
        <f>HYPERLINK("https://klasma.github.io/Logging_1290/klagomålsmail/A 47029-2025 FSC-klagomål mail.docx", "A 47029-2025")</f>
        <v/>
      </c>
      <c r="AA63">
        <f>HYPERLINK("https://klasma.github.io/Logging_1290/tillsyn/A 47029-2025 tillsynsbegäran.docx", "A 47029-2025")</f>
        <v/>
      </c>
      <c r="AB63">
        <f>HYPERLINK("https://klasma.github.io/Logging_1290/tillsynsmail/A 47029-2025 tillsynsbegäran mail.docx", "A 47029-2025")</f>
        <v/>
      </c>
    </row>
    <row r="64" ht="15" customHeight="1">
      <c r="A64" t="inlineStr">
        <is>
          <t>A 15229-2023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46219</v>
      </c>
      <c r="F64" t="inlineStr">
        <is>
          <t>SKÅNE LÄN</t>
        </is>
      </c>
      <c r="G64" t="inlineStr">
        <is>
          <t>KRISTIANSTAD</t>
        </is>
      </c>
      <c r="I64" t="n">
        <v>1.2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Drillsnäppa
Buskskvätta</t>
        </is>
      </c>
      <c r="V64">
        <f>HYPERLINK("https://klasma.github.io/Logging_1290/artfynd/A 15229-2023 artfynd.xlsx", "A 15229-2023")</f>
        <v/>
      </c>
      <c r="W64">
        <f>HYPERLINK("https://klasma.github.io/Logging_1290/kartor/A 15229-2023 karta.png", "A 15229-2023")</f>
        <v/>
      </c>
      <c r="Y64">
        <f>HYPERLINK("https://klasma.github.io/Logging_1290/klagomål/A 15229-2023 FSC-klagomål.docx", "A 15229-2023")</f>
        <v/>
      </c>
      <c r="Z64">
        <f>HYPERLINK("https://klasma.github.io/Logging_1290/klagomålsmail/A 15229-2023 FSC-klagomål mail.docx", "A 15229-2023")</f>
        <v/>
      </c>
      <c r="AA64">
        <f>HYPERLINK("https://klasma.github.io/Logging_1290/tillsyn/A 15229-2023 tillsynsbegäran.docx", "A 15229-2023")</f>
        <v/>
      </c>
      <c r="AB64">
        <f>HYPERLINK("https://klasma.github.io/Logging_1290/tillsynsmail/A 15229-2023 tillsynsbegäran mail.docx", "A 15229-2023")</f>
        <v/>
      </c>
      <c r="AC64">
        <f>HYPERLINK("https://klasma.github.io/Logging_1290/fåglar/A 15229-2023 prioriterade fågelarter.docx", "A 15229-2023")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46219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Dvärgjohannesört
Stor häxört</t>
        </is>
      </c>
      <c r="V65">
        <f>HYPERLINK("https://klasma.github.io/Logging_1290/artfynd/A 30526-2024 artfynd.xlsx", "A 30526-2024")</f>
        <v/>
      </c>
      <c r="W65">
        <f>HYPERLINK("https://klasma.github.io/Logging_1290/kartor/A 30526-2024 karta.png", "A 30526-2024")</f>
        <v/>
      </c>
      <c r="Y65">
        <f>HYPERLINK("https://klasma.github.io/Logging_1290/klagomål/A 30526-2024 FSC-klagomål.docx", "A 30526-2024")</f>
        <v/>
      </c>
      <c r="Z65">
        <f>HYPERLINK("https://klasma.github.io/Logging_1290/klagomålsmail/A 30526-2024 FSC-klagomål mail.docx", "A 30526-2024")</f>
        <v/>
      </c>
      <c r="AA65">
        <f>HYPERLINK("https://klasma.github.io/Logging_1290/tillsyn/A 30526-2024 tillsynsbegäran.docx", "A 30526-2024")</f>
        <v/>
      </c>
      <c r="AB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46219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s="2" t="inlineStr">
        <is>
          <t>Sandödla
Åkersyska</t>
        </is>
      </c>
      <c r="V66">
        <f>HYPERLINK("https://klasma.github.io/Logging_1290/artfynd/A 60333-2022 artfynd.xlsx", "A 60333-2022")</f>
        <v/>
      </c>
      <c r="W66">
        <f>HYPERLINK("https://klasma.github.io/Logging_1290/kartor/A 60333-2022 karta.png", "A 60333-2022")</f>
        <v/>
      </c>
      <c r="Y66">
        <f>HYPERLINK("https://klasma.github.io/Logging_1290/klagomål/A 60333-2022 FSC-klagomål.docx", "A 60333-2022")</f>
        <v/>
      </c>
      <c r="Z66">
        <f>HYPERLINK("https://klasma.github.io/Logging_1290/klagomålsmail/A 60333-2022 FSC-klagomål mail.docx", "A 60333-2022")</f>
        <v/>
      </c>
      <c r="AA66">
        <f>HYPERLINK("https://klasma.github.io/Logging_1290/tillsyn/A 60333-2022 tillsynsbegäran.docx", "A 60333-2022")</f>
        <v/>
      </c>
      <c r="AB66">
        <f>HYPERLINK("https://klasma.github.io/Logging_1290/tillsynsmail/A 60333-2022 tillsynsbegäran mail.docx", "A 60333-2022")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46219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s="2" t="inlineStr">
        <is>
          <t>Gropticka
Stenticka</t>
        </is>
      </c>
      <c r="V67">
        <f>HYPERLINK("https://klasma.github.io/Logging_1290/artfynd/A 1418-2024 artfynd.xlsx", "A 1418-2024")</f>
        <v/>
      </c>
      <c r="W67">
        <f>HYPERLINK("https://klasma.github.io/Logging_1290/kartor/A 1418-2024 karta.png", "A 1418-2024")</f>
        <v/>
      </c>
      <c r="Y67">
        <f>HYPERLINK("https://klasma.github.io/Logging_1290/klagomål/A 1418-2024 FSC-klagomål.docx", "A 1418-2024")</f>
        <v/>
      </c>
      <c r="Z67">
        <f>HYPERLINK("https://klasma.github.io/Logging_1290/klagomålsmail/A 1418-2024 FSC-klagomål mail.docx", "A 1418-2024")</f>
        <v/>
      </c>
      <c r="AA67">
        <f>HYPERLINK("https://klasma.github.io/Logging_1290/tillsyn/A 1418-2024 tillsynsbegäran.docx", "A 1418-2024")</f>
        <v/>
      </c>
      <c r="AB67">
        <f>HYPERLINK("https://klasma.github.io/Logging_1290/tillsynsmail/A 1418-2024 tillsynsbegäran mail.docx", "A 1418-2024")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46219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s="2" t="inlineStr">
        <is>
          <t>Igelkottsröksvamp
Åkergroda</t>
        </is>
      </c>
      <c r="V68">
        <f>HYPERLINK("https://klasma.github.io/Logging_1290/artfynd/A 11720-2025 artfynd.xlsx", "A 11720-2025")</f>
        <v/>
      </c>
      <c r="W68">
        <f>HYPERLINK("https://klasma.github.io/Logging_1290/kartor/A 11720-2025 karta.png", "A 11720-2025")</f>
        <v/>
      </c>
      <c r="Y68">
        <f>HYPERLINK("https://klasma.github.io/Logging_1290/klagomål/A 11720-2025 FSC-klagomål.docx", "A 11720-2025")</f>
        <v/>
      </c>
      <c r="Z68">
        <f>HYPERLINK("https://klasma.github.io/Logging_1290/klagomålsmail/A 11720-2025 FSC-klagomål mail.docx", "A 11720-2025")</f>
        <v/>
      </c>
      <c r="AA68">
        <f>HYPERLINK("https://klasma.github.io/Logging_1290/tillsyn/A 11720-2025 tillsynsbegäran.docx", "A 11720-2025")</f>
        <v/>
      </c>
      <c r="AB68">
        <f>HYPERLINK("https://klasma.github.io/Logging_1290/tillsynsmail/A 11720-2025 tillsynsbegäran mail.docx", "A 11720-2025")</f>
        <v/>
      </c>
    </row>
    <row r="69" ht="15" customHeight="1">
      <c r="A69" t="inlineStr">
        <is>
          <t>A 25456-2023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46219</v>
      </c>
      <c r="F69" t="inlineStr">
        <is>
          <t>SKÅNE LÄN</t>
        </is>
      </c>
      <c r="G69" t="inlineStr">
        <is>
          <t>KRISTIANSTAD</t>
        </is>
      </c>
      <c r="I69" t="n">
        <v>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s="2" t="inlineStr">
        <is>
          <t>Fläckig glansspinnare
Krattsnabbvinge</t>
        </is>
      </c>
      <c r="V69">
        <f>HYPERLINK("https://klasma.github.io/Logging_1290/artfynd/A 25456-2023 artfynd.xlsx", "A 25456-2023")</f>
        <v/>
      </c>
      <c r="W69">
        <f>HYPERLINK("https://klasma.github.io/Logging_1290/kartor/A 25456-2023 karta.png", "A 25456-2023")</f>
        <v/>
      </c>
      <c r="Y69">
        <f>HYPERLINK("https://klasma.github.io/Logging_1290/klagomål/A 25456-2023 FSC-klagomål.docx", "A 25456-2023")</f>
        <v/>
      </c>
      <c r="Z69">
        <f>HYPERLINK("https://klasma.github.io/Logging_1290/klagomålsmail/A 25456-2023 FSC-klagomål mail.docx", "A 25456-2023")</f>
        <v/>
      </c>
      <c r="AA69">
        <f>HYPERLINK("https://klasma.github.io/Logging_1290/tillsyn/A 25456-2023 tillsynsbegäran.docx", "A 25456-2023")</f>
        <v/>
      </c>
      <c r="AB69">
        <f>HYPERLINK("https://klasma.github.io/Logging_1290/tillsynsmail/A 25456-2023 tillsynsbegäran mail.docx", "A 25456-2023")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46219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Entita
Talltita</t>
        </is>
      </c>
      <c r="V70">
        <f>HYPERLINK("https://klasma.github.io/Logging_1290/artfynd/A 63500-2025 artfynd.xlsx", "A 63500-2025")</f>
        <v/>
      </c>
      <c r="W70">
        <f>HYPERLINK("https://klasma.github.io/Logging_1290/kartor/A 63500-2025 karta.png", "A 63500-2025")</f>
        <v/>
      </c>
      <c r="Y70">
        <f>HYPERLINK("https://klasma.github.io/Logging_1290/klagomål/A 63500-2025 FSC-klagomål.docx", "A 63500-2025")</f>
        <v/>
      </c>
      <c r="Z70">
        <f>HYPERLINK("https://klasma.github.io/Logging_1290/klagomålsmail/A 63500-2025 FSC-klagomål mail.docx", "A 63500-2025")</f>
        <v/>
      </c>
      <c r="AA70">
        <f>HYPERLINK("https://klasma.github.io/Logging_1290/tillsyn/A 63500-2025 tillsynsbegäran.docx", "A 63500-2025")</f>
        <v/>
      </c>
      <c r="AB70">
        <f>HYPERLINK("https://klasma.github.io/Logging_1290/tillsynsmail/A 63500-2025 tillsynsbegäran mail.docx", "A 63500-2025")</f>
        <v/>
      </c>
      <c r="AC70">
        <f>HYPERLINK("https://klasma.github.io/Logging_1290/fåglar/A 63500-2025 prioriterade fågelarter.docx", "A 63500-2025")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46219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Fransig jordstjärna
Kantjordstjärna</t>
        </is>
      </c>
      <c r="V71">
        <f>HYPERLINK("https://klasma.github.io/Logging_1290/artfynd/A 9898-2025 artfynd.xlsx", "A 9898-2025")</f>
        <v/>
      </c>
      <c r="W71">
        <f>HYPERLINK("https://klasma.github.io/Logging_1290/kartor/A 9898-2025 karta.png", "A 9898-2025")</f>
        <v/>
      </c>
      <c r="Y71">
        <f>HYPERLINK("https://klasma.github.io/Logging_1290/klagomål/A 9898-2025 FSC-klagomål.docx", "A 9898-2025")</f>
        <v/>
      </c>
      <c r="Z71">
        <f>HYPERLINK("https://klasma.github.io/Logging_1290/klagomålsmail/A 9898-2025 FSC-klagomål mail.docx", "A 9898-2025")</f>
        <v/>
      </c>
      <c r="AA71">
        <f>HYPERLINK("https://klasma.github.io/Logging_1290/tillsyn/A 9898-2025 tillsynsbegäran.docx", "A 9898-2025")</f>
        <v/>
      </c>
      <c r="AB71">
        <f>HYPERLINK("https://klasma.github.io/Logging_1290/tillsynsmail/A 9898-2025 tillsynsbegäran mail.docx", "A 9898-2025")</f>
        <v/>
      </c>
    </row>
    <row r="72" ht="15" customHeight="1">
      <c r="A72" t="inlineStr">
        <is>
          <t>A 30842-2022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44767</v>
      </c>
      <c r="E72" s="1" t="n">
        <v>46219</v>
      </c>
      <c r="F72" t="inlineStr">
        <is>
          <t>SKÅNE LÄN</t>
        </is>
      </c>
      <c r="G72" t="inlineStr">
        <is>
          <t>KRISTIANSTAD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s="2" t="inlineStr">
        <is>
          <t>Småvänderot
Större vattensalamander</t>
        </is>
      </c>
      <c r="V72">
        <f>HYPERLINK("https://klasma.github.io/Logging_1290/artfynd/A 30842-2022 artfynd.xlsx", "A 30842-2022")</f>
        <v/>
      </c>
      <c r="W72">
        <f>HYPERLINK("https://klasma.github.io/Logging_1290/kartor/A 30842-2022 karta.png", "A 30842-2022")</f>
        <v/>
      </c>
      <c r="Y72">
        <f>HYPERLINK("https://klasma.github.io/Logging_1290/klagomål/A 30842-2022 FSC-klagomål.docx", "A 30842-2022")</f>
        <v/>
      </c>
      <c r="Z72">
        <f>HYPERLINK("https://klasma.github.io/Logging_1290/klagomålsmail/A 30842-2022 FSC-klagomål mail.docx", "A 30842-2022")</f>
        <v/>
      </c>
      <c r="AA72">
        <f>HYPERLINK("https://klasma.github.io/Logging_1290/tillsyn/A 30842-2022 tillsynsbegäran.docx", "A 30842-2022")</f>
        <v/>
      </c>
      <c r="AB72">
        <f>HYPERLINK("https://klasma.github.io/Logging_1290/tillsynsmail/A 30842-2022 tillsynsbegäran mail.docx", "A 30842-2022")</f>
        <v/>
      </c>
    </row>
    <row r="73" ht="15" customHeight="1">
      <c r="A73" t="inlineStr">
        <is>
          <t>A 55499-2024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45622</v>
      </c>
      <c r="E73" s="1" t="n">
        <v>46219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2.1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Hedpärlemorfjäril
Grönvit nattviol</t>
        </is>
      </c>
      <c r="V73">
        <f>HYPERLINK("https://klasma.github.io/Logging_1290/artfynd/A 55499-2024 artfynd.xlsx", "A 55499-2024")</f>
        <v/>
      </c>
      <c r="W73">
        <f>HYPERLINK("https://klasma.github.io/Logging_1290/kartor/A 55499-2024 karta.png", "A 55499-2024")</f>
        <v/>
      </c>
      <c r="Y73">
        <f>HYPERLINK("https://klasma.github.io/Logging_1290/klagomål/A 55499-2024 FSC-klagomål.docx", "A 55499-2024")</f>
        <v/>
      </c>
      <c r="Z73">
        <f>HYPERLINK("https://klasma.github.io/Logging_1290/klagomålsmail/A 55499-2024 FSC-klagomål mail.docx", "A 55499-2024")</f>
        <v/>
      </c>
      <c r="AA73">
        <f>HYPERLINK("https://klasma.github.io/Logging_1290/tillsyn/A 55499-2024 tillsynsbegäran.docx", "A 55499-2024")</f>
        <v/>
      </c>
      <c r="AB73">
        <f>HYPERLINK("https://klasma.github.io/Logging_1290/tillsynsmail/A 55499-2024 tillsynsbegäran mail.docx", "A 55499-2024")</f>
        <v/>
      </c>
    </row>
    <row r="74" ht="15" customHeight="1">
      <c r="A74" t="inlineStr">
        <is>
          <t>A 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46219</v>
      </c>
      <c r="F74" t="inlineStr">
        <is>
          <t>SKÅNE LÄN</t>
        </is>
      </c>
      <c r="G74" t="inlineStr">
        <is>
          <t>KRISTIANSTAD</t>
        </is>
      </c>
      <c r="I74" t="n">
        <v>1.9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s="2" t="inlineStr">
        <is>
          <t>Rosa lundlav
Stiftklotterlav</t>
        </is>
      </c>
      <c r="V74">
        <f>HYPERLINK("https://klasma.github.io/Logging_1290/artfynd/A 755-2025 artfynd.xlsx", "A 755-2025")</f>
        <v/>
      </c>
      <c r="W74">
        <f>HYPERLINK("https://klasma.github.io/Logging_1290/kartor/A 755-2025 karta.png", "A 755-2025")</f>
        <v/>
      </c>
      <c r="Y74">
        <f>HYPERLINK("https://klasma.github.io/Logging_1290/klagomål/A 755-2025 FSC-klagomål.docx", "A 755-2025")</f>
        <v/>
      </c>
      <c r="Z74">
        <f>HYPERLINK("https://klasma.github.io/Logging_1290/klagomålsmail/A 755-2025 FSC-klagomål mail.docx", "A 755-2025")</f>
        <v/>
      </c>
      <c r="AA74">
        <f>HYPERLINK("https://klasma.github.io/Logging_1290/tillsyn/A 755-2025 tillsynsbegäran.docx", "A 755-2025")</f>
        <v/>
      </c>
      <c r="AB74">
        <f>HYPERLINK("https://klasma.github.io/Logging_1290/tillsynsmail/A 755-2025 tillsynsbegäran mail.docx", "A 755-2025")</f>
        <v/>
      </c>
    </row>
    <row r="75" ht="15" customHeight="1">
      <c r="A75" t="inlineStr">
        <is>
          <t>A 2888-2024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46219</v>
      </c>
      <c r="F75" t="inlineStr">
        <is>
          <t>SKÅNE LÄN</t>
        </is>
      </c>
      <c r="G75" t="inlineStr">
        <is>
          <t>KRISTIANSTAD</t>
        </is>
      </c>
      <c r="I75" t="n">
        <v>10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Kransrams
Stor häxört</t>
        </is>
      </c>
      <c r="V75">
        <f>HYPERLINK("https://klasma.github.io/Logging_1290/artfynd/A 2888-2024 artfynd.xlsx", "A 2888-2024")</f>
        <v/>
      </c>
      <c r="W75">
        <f>HYPERLINK("https://klasma.github.io/Logging_1290/kartor/A 2888-2024 karta.png", "A 2888-2024")</f>
        <v/>
      </c>
      <c r="Y75">
        <f>HYPERLINK("https://klasma.github.io/Logging_1290/klagomål/A 2888-2024 FSC-klagomål.docx", "A 2888-2024")</f>
        <v/>
      </c>
      <c r="Z75">
        <f>HYPERLINK("https://klasma.github.io/Logging_1290/klagomålsmail/A 2888-2024 FSC-klagomål mail.docx", "A 2888-2024")</f>
        <v/>
      </c>
      <c r="AA75">
        <f>HYPERLINK("https://klasma.github.io/Logging_1290/tillsyn/A 2888-2024 tillsynsbegäran.docx", "A 2888-2024")</f>
        <v/>
      </c>
      <c r="AB75">
        <f>HYPERLINK("https://klasma.github.io/Logging_1290/tillsynsmail/A 2888-2024 tillsynsbegäran mail.docx", "A 2888-2024")</f>
        <v/>
      </c>
    </row>
    <row r="76" ht="15" customHeight="1">
      <c r="A76" t="inlineStr">
        <is>
          <t>A 24803-2025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46219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9.699999999999999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s="2" t="inlineStr">
        <is>
          <t>Kungsfågel
Röd glada</t>
        </is>
      </c>
      <c r="V76">
        <f>HYPERLINK("https://klasma.github.io/Logging_1290/artfynd/A 24803-2025 artfynd.xlsx", "A 24803-2025")</f>
        <v/>
      </c>
      <c r="W76">
        <f>HYPERLINK("https://klasma.github.io/Logging_1290/kartor/A 24803-2025 karta.png", "A 24803-2025")</f>
        <v/>
      </c>
      <c r="Y76">
        <f>HYPERLINK("https://klasma.github.io/Logging_1290/klagomål/A 24803-2025 FSC-klagomål.docx", "A 24803-2025")</f>
        <v/>
      </c>
      <c r="Z76">
        <f>HYPERLINK("https://klasma.github.io/Logging_1290/klagomålsmail/A 24803-2025 FSC-klagomål mail.docx", "A 24803-2025")</f>
        <v/>
      </c>
      <c r="AA76">
        <f>HYPERLINK("https://klasma.github.io/Logging_1290/tillsyn/A 24803-2025 tillsynsbegäran.docx", "A 24803-2025")</f>
        <v/>
      </c>
      <c r="AB76">
        <f>HYPERLINK("https://klasma.github.io/Logging_1290/tillsynsmail/A 24803-2025 tillsynsbegäran mail.docx", "A 24803-2025")</f>
        <v/>
      </c>
      <c r="AC76">
        <f>HYPERLINK("https://klasma.github.io/Logging_1290/fåglar/A 24803-2025 prioriterade fågelarter.docx", "A 24803-2025")</f>
        <v/>
      </c>
    </row>
    <row r="77" ht="15" customHeight="1">
      <c r="A77" t="inlineStr">
        <is>
          <t>A 50779-2024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45602</v>
      </c>
      <c r="E77" s="1" t="n">
        <v>46219</v>
      </c>
      <c r="F77" t="inlineStr">
        <is>
          <t>SKÅNE LÄN</t>
        </is>
      </c>
      <c r="G77" t="inlineStr">
        <is>
          <t>KRISTIANSTAD</t>
        </is>
      </c>
      <c r="I77" t="n">
        <v>5.7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s="2" t="inlineStr">
        <is>
          <t>Bokoxe
Utter</t>
        </is>
      </c>
      <c r="V77">
        <f>HYPERLINK("https://klasma.github.io/Logging_1290/artfynd/A 50779-2024 artfynd.xlsx", "A 50779-2024")</f>
        <v/>
      </c>
      <c r="W77">
        <f>HYPERLINK("https://klasma.github.io/Logging_1290/kartor/A 50779-2024 karta.png", "A 50779-2024")</f>
        <v/>
      </c>
      <c r="Y77">
        <f>HYPERLINK("https://klasma.github.io/Logging_1290/klagomål/A 50779-2024 FSC-klagomål.docx", "A 50779-2024")</f>
        <v/>
      </c>
      <c r="Z77">
        <f>HYPERLINK("https://klasma.github.io/Logging_1290/klagomålsmail/A 50779-2024 FSC-klagomål mail.docx", "A 50779-2024")</f>
        <v/>
      </c>
      <c r="AA77">
        <f>HYPERLINK("https://klasma.github.io/Logging_1290/tillsyn/A 50779-2024 tillsynsbegäran.docx", "A 50779-2024")</f>
        <v/>
      </c>
      <c r="AB77">
        <f>HYPERLINK("https://klasma.github.io/Logging_1290/tillsynsmail/A 50779-2024 tillsynsbegäran mail.docx", "A 50779-2024")</f>
        <v/>
      </c>
    </row>
    <row r="78" ht="15" customHeight="1">
      <c r="A78" t="inlineStr">
        <is>
          <t>A 12744-2026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46091</v>
      </c>
      <c r="E78" s="1" t="n">
        <v>46219</v>
      </c>
      <c r="F78" t="inlineStr">
        <is>
          <t>SKÅNE LÄN</t>
        </is>
      </c>
      <c r="G78" t="inlineStr">
        <is>
          <t>KRISTIANSTAD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Glansfläck
Olivklotterlav</t>
        </is>
      </c>
      <c r="V78">
        <f>HYPERLINK("https://klasma.github.io/Logging_1290/artfynd/A 12744-2026 artfynd.xlsx", "A 12744-2026")</f>
        <v/>
      </c>
      <c r="W78">
        <f>HYPERLINK("https://klasma.github.io/Logging_1290/kartor/A 12744-2026 karta.png", "A 12744-2026")</f>
        <v/>
      </c>
      <c r="Y78">
        <f>HYPERLINK("https://klasma.github.io/Logging_1290/klagomål/A 12744-2026 FSC-klagomål.docx", "A 12744-2026")</f>
        <v/>
      </c>
      <c r="Z78">
        <f>HYPERLINK("https://klasma.github.io/Logging_1290/klagomålsmail/A 12744-2026 FSC-klagomål mail.docx", "A 12744-2026")</f>
        <v/>
      </c>
      <c r="AA78">
        <f>HYPERLINK("https://klasma.github.io/Logging_1290/tillsyn/A 12744-2026 tillsynsbegäran.docx", "A 12744-2026")</f>
        <v/>
      </c>
      <c r="AB78">
        <f>HYPERLINK("https://klasma.github.io/Logging_1290/tillsynsmail/A 12744-2026 tillsynsbegäran mail.docx", "A 12744-2026")</f>
        <v/>
      </c>
    </row>
    <row r="79" ht="15" customHeight="1">
      <c r="A79" t="inlineStr">
        <is>
          <t>A 56969-2023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46219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2.4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Lundbräsma
Myskmadra</t>
        </is>
      </c>
      <c r="V79">
        <f>HYPERLINK("https://klasma.github.io/Logging_1290/artfynd/A 56969-2023 artfynd.xlsx", "A 56969-2023")</f>
        <v/>
      </c>
      <c r="W79">
        <f>HYPERLINK("https://klasma.github.io/Logging_1290/kartor/A 56969-2023 karta.png", "A 56969-2023")</f>
        <v/>
      </c>
      <c r="Y79">
        <f>HYPERLINK("https://klasma.github.io/Logging_1290/klagomål/A 56969-2023 FSC-klagomål.docx", "A 56969-2023")</f>
        <v/>
      </c>
      <c r="Z79">
        <f>HYPERLINK("https://klasma.github.io/Logging_1290/klagomålsmail/A 56969-2023 FSC-klagomål mail.docx", "A 56969-2023")</f>
        <v/>
      </c>
      <c r="AA79">
        <f>HYPERLINK("https://klasma.github.io/Logging_1290/tillsyn/A 56969-2023 tillsynsbegäran.docx", "A 56969-2023")</f>
        <v/>
      </c>
      <c r="AB79">
        <f>HYPERLINK("https://klasma.github.io/Logging_1290/tillsynsmail/A 56969-2023 tillsynsbegäran mail.docx", "A 56969-2023")</f>
        <v/>
      </c>
    </row>
    <row r="80" ht="15" customHeight="1">
      <c r="A80" t="inlineStr">
        <is>
          <t>A 50151-2025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46219</v>
      </c>
      <c r="F80" t="inlineStr">
        <is>
          <t>SKÅNE LÄN</t>
        </is>
      </c>
      <c r="G80" t="inlineStr">
        <is>
          <t>KRISTIANSTAD</t>
        </is>
      </c>
      <c r="I80" t="n">
        <v>2.5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s="2" t="inlineStr">
        <is>
          <t>Slåttergubbe
Grönvit nattviol</t>
        </is>
      </c>
      <c r="V80">
        <f>HYPERLINK("https://klasma.github.io/Logging_1290/artfynd/A 50151-2025 artfynd.xlsx", "A 50151-2025")</f>
        <v/>
      </c>
      <c r="W80">
        <f>HYPERLINK("https://klasma.github.io/Logging_1290/kartor/A 50151-2025 karta.png", "A 50151-2025")</f>
        <v/>
      </c>
      <c r="Y80">
        <f>HYPERLINK("https://klasma.github.io/Logging_1290/klagomål/A 50151-2025 FSC-klagomål.docx", "A 50151-2025")</f>
        <v/>
      </c>
      <c r="Z80">
        <f>HYPERLINK("https://klasma.github.io/Logging_1290/klagomålsmail/A 50151-2025 FSC-klagomål mail.docx", "A 50151-2025")</f>
        <v/>
      </c>
      <c r="AA80">
        <f>HYPERLINK("https://klasma.github.io/Logging_1290/tillsyn/A 50151-2025 tillsynsbegäran.docx", "A 50151-2025")</f>
        <v/>
      </c>
      <c r="AB80">
        <f>HYPERLINK("https://klasma.github.io/Logging_1290/tillsynsmail/A 50151-2025 tillsynsbegäran mail.docx", "A 50151-2025")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46219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Lungrot
Revlummer</t>
        </is>
      </c>
      <c r="V81">
        <f>HYPERLINK("https://klasma.github.io/Logging_1290/artfynd/S 6241-2022 artfynd.xlsx", "S 6241-2022")</f>
        <v/>
      </c>
      <c r="W81">
        <f>HYPERLINK("https://klasma.github.io/Logging_1290/kartor/S 6241-2022 karta.png", "S 6241-2022")</f>
        <v/>
      </c>
      <c r="Y81">
        <f>HYPERLINK("https://klasma.github.io/Logging_1290/klagomål/S 6241-2022 FSC-klagomål.docx", "S 6241-2022")</f>
        <v/>
      </c>
      <c r="Z81">
        <f>HYPERLINK("https://klasma.github.io/Logging_1290/klagomålsmail/S 6241-2022 FSC-klagomål mail.docx", "S 6241-2022")</f>
        <v/>
      </c>
      <c r="AA81">
        <f>HYPERLINK("https://klasma.github.io/Logging_1290/tillsyn/S 6241-2022 tillsynsbegäran.docx", "S 6241-2022")</f>
        <v/>
      </c>
      <c r="AB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46219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Blåmossa
Spillkråka</t>
        </is>
      </c>
      <c r="V82">
        <f>HYPERLINK("https://klasma.github.io/Logging_1290/artfynd/S 5525-2021 artfynd.xlsx", "S 5525-2021")</f>
        <v/>
      </c>
      <c r="W82">
        <f>HYPERLINK("https://klasma.github.io/Logging_1290/kartor/S 5525-2021 karta.png", "S 5525-2021")</f>
        <v/>
      </c>
      <c r="Y82">
        <f>HYPERLINK("https://klasma.github.io/Logging_1290/klagomål/S 5525-2021 FSC-klagomål.docx", "S 5525-2021")</f>
        <v/>
      </c>
      <c r="Z82">
        <f>HYPERLINK("https://klasma.github.io/Logging_1290/klagomålsmail/S 5525-2021 FSC-klagomål mail.docx", "S 5525-2021")</f>
        <v/>
      </c>
      <c r="AA82">
        <f>HYPERLINK("https://klasma.github.io/Logging_1290/tillsyn/S 5525-2021 tillsynsbegäran.docx", "S 5525-2021")</f>
        <v/>
      </c>
      <c r="AB82">
        <f>HYPERLINK("https://klasma.github.io/Logging_1290/tillsynsmail/S 5525-2021 tillsynsbegäran mail.docx", "S 5525-2021")</f>
        <v/>
      </c>
      <c r="AC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46219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Gulnål
Jättesvampmal</t>
        </is>
      </c>
      <c r="V83">
        <f>HYPERLINK("https://klasma.github.io/Logging_1290/artfynd/S 683-2026 artfynd.xlsx", "S 683-2026")</f>
        <v/>
      </c>
      <c r="W83">
        <f>HYPERLINK("https://klasma.github.io/Logging_1290/kartor/S 683-2026 karta.png", "S 683-2026")</f>
        <v/>
      </c>
      <c r="Y83">
        <f>HYPERLINK("https://klasma.github.io/Logging_1290/klagomål/S 683-2026 FSC-klagomål.docx", "S 683-2026")</f>
        <v/>
      </c>
      <c r="Z83">
        <f>HYPERLINK("https://klasma.github.io/Logging_1290/klagomålsmail/S 683-2026 FSC-klagomål mail.docx", "S 683-2026")</f>
        <v/>
      </c>
      <c r="AA83">
        <f>HYPERLINK("https://klasma.github.io/Logging_1290/tillsyn/S 683-2026 tillsynsbegäran.docx", "S 683-2026")</f>
        <v/>
      </c>
      <c r="AB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46219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Gullklöver</t>
        </is>
      </c>
      <c r="V84">
        <f>HYPERLINK("https://klasma.github.io/Logging_1290/artfynd/A 50834-2021 artfynd.xlsx", "A 50834-2021")</f>
        <v/>
      </c>
      <c r="W84">
        <f>HYPERLINK("https://klasma.github.io/Logging_1290/kartor/A 50834-2021 karta.png", "A 50834-2021")</f>
        <v/>
      </c>
      <c r="X84">
        <f>HYPERLINK("https://klasma.github.io/Logging_1290/knärot/A 50834-2021 karta knärot.png", "A 50834-2021")</f>
        <v/>
      </c>
      <c r="Y84">
        <f>HYPERLINK("https://klasma.github.io/Logging_1290/klagomål/A 50834-2021 FSC-klagomål.docx", "A 50834-2021")</f>
        <v/>
      </c>
      <c r="Z84">
        <f>HYPERLINK("https://klasma.github.io/Logging_1290/klagomålsmail/A 50834-2021 FSC-klagomål mail.docx", "A 50834-2021")</f>
        <v/>
      </c>
      <c r="AA84">
        <f>HYPERLINK("https://klasma.github.io/Logging_1290/tillsyn/A 50834-2021 tillsynsbegäran.docx", "A 50834-2021")</f>
        <v/>
      </c>
      <c r="AB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46219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Småvänderot</t>
        </is>
      </c>
      <c r="V85">
        <f>HYPERLINK("https://klasma.github.io/Logging_1290/artfynd/A 38938-2022 artfynd.xlsx", "A 38938-2022")</f>
        <v/>
      </c>
      <c r="W85">
        <f>HYPERLINK("https://klasma.github.io/Logging_1290/kartor/A 38938-2022 karta.png", "A 38938-2022")</f>
        <v/>
      </c>
      <c r="Y85">
        <f>HYPERLINK("https://klasma.github.io/Logging_1290/klagomål/A 38938-2022 FSC-klagomål.docx", "A 38938-2022")</f>
        <v/>
      </c>
      <c r="Z85">
        <f>HYPERLINK("https://klasma.github.io/Logging_1290/klagomålsmail/A 38938-2022 FSC-klagomål mail.docx", "A 38938-2022")</f>
        <v/>
      </c>
      <c r="AA85">
        <f>HYPERLINK("https://klasma.github.io/Logging_1290/tillsyn/A 38938-2022 tillsynsbegäran.docx", "A 38938-2022")</f>
        <v/>
      </c>
      <c r="AB85">
        <f>HYPERLINK("https://klasma.github.io/Logging_1290/tillsynsmail/A 38938-2022 tillsynsbegäran mail.docx", "A 38938-2022")</f>
        <v/>
      </c>
    </row>
    <row r="86" ht="15" customHeight="1">
      <c r="A86" t="inlineStr">
        <is>
          <t>A 33362-2023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45128</v>
      </c>
      <c r="E86" s="1" t="n">
        <v>46219</v>
      </c>
      <c r="F86" t="inlineStr">
        <is>
          <t>SKÅNE LÄN</t>
        </is>
      </c>
      <c r="G86" t="inlineStr">
        <is>
          <t>KRISTIANSTAD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Rostfläck</t>
        </is>
      </c>
      <c r="V86">
        <f>HYPERLINK("https://klasma.github.io/Logging_1290/artfynd/A 33362-2023 artfynd.xlsx", "A 33362-2023")</f>
        <v/>
      </c>
      <c r="W86">
        <f>HYPERLINK("https://klasma.github.io/Logging_1290/kartor/A 33362-2023 karta.png", "A 33362-2023")</f>
        <v/>
      </c>
      <c r="Y86">
        <f>HYPERLINK("https://klasma.github.io/Logging_1290/klagomål/A 33362-2023 FSC-klagomål.docx", "A 33362-2023")</f>
        <v/>
      </c>
      <c r="Z86">
        <f>HYPERLINK("https://klasma.github.io/Logging_1290/klagomålsmail/A 33362-2023 FSC-klagomål mail.docx", "A 33362-2023")</f>
        <v/>
      </c>
      <c r="AA86">
        <f>HYPERLINK("https://klasma.github.io/Logging_1290/tillsyn/A 33362-2023 tillsynsbegäran.docx", "A 33362-2023")</f>
        <v/>
      </c>
      <c r="AB86">
        <f>HYPERLINK("https://klasma.github.io/Logging_1290/tillsynsmail/A 33362-2023 tillsynsbegäran mail.docx", "A 33362-2023")</f>
        <v/>
      </c>
    </row>
    <row r="87" ht="15" customHeight="1">
      <c r="A87" t="inlineStr">
        <is>
          <t>A 8208-2023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44971</v>
      </c>
      <c r="E87" s="1" t="n">
        <v>46219</v>
      </c>
      <c r="F87" t="inlineStr">
        <is>
          <t>SKÅNE LÄN</t>
        </is>
      </c>
      <c r="G87" t="inlineStr">
        <is>
          <t>KRISTIANSTAD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Flodpärlmussla</t>
        </is>
      </c>
      <c r="V87">
        <f>HYPERLINK("https://klasma.github.io/Logging_1290/artfynd/A 8208-2023 artfynd.xlsx", "A 8208-2023")</f>
        <v/>
      </c>
      <c r="W87">
        <f>HYPERLINK("https://klasma.github.io/Logging_1290/kartor/A 8208-2023 karta.png", "A 8208-2023")</f>
        <v/>
      </c>
      <c r="Y87">
        <f>HYPERLINK("https://klasma.github.io/Logging_1290/klagomål/A 8208-2023 FSC-klagomål.docx", "A 8208-2023")</f>
        <v/>
      </c>
      <c r="Z87">
        <f>HYPERLINK("https://klasma.github.io/Logging_1290/klagomålsmail/A 8208-2023 FSC-klagomål mail.docx", "A 8208-2023")</f>
        <v/>
      </c>
      <c r="AA87">
        <f>HYPERLINK("https://klasma.github.io/Logging_1290/tillsyn/A 8208-2023 tillsynsbegäran.docx", "A 8208-2023")</f>
        <v/>
      </c>
      <c r="AB87">
        <f>HYPERLINK("https://klasma.github.io/Logging_1290/tillsynsmail/A 8208-2023 tillsynsbegäran mail.docx", "A 8208-2023")</f>
        <v/>
      </c>
    </row>
    <row r="88" ht="15" customHeight="1">
      <c r="A88" t="inlineStr">
        <is>
          <t>A 27956-2022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46219</v>
      </c>
      <c r="F88" t="inlineStr">
        <is>
          <t>SKÅNE LÄN</t>
        </is>
      </c>
      <c r="G88" t="inlineStr">
        <is>
          <t>KRISTIANSTAD</t>
        </is>
      </c>
      <c r="I88" t="n">
        <v>14.1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Kärrviol</t>
        </is>
      </c>
      <c r="V88">
        <f>HYPERLINK("https://klasma.github.io/Logging_1290/artfynd/A 27956-2022 artfynd.xlsx", "A 27956-2022")</f>
        <v/>
      </c>
      <c r="W88">
        <f>HYPERLINK("https://klasma.github.io/Logging_1290/kartor/A 27956-2022 karta.png", "A 27956-2022")</f>
        <v/>
      </c>
      <c r="Y88">
        <f>HYPERLINK("https://klasma.github.io/Logging_1290/klagomål/A 27956-2022 FSC-klagomål.docx", "A 27956-2022")</f>
        <v/>
      </c>
      <c r="Z88">
        <f>HYPERLINK("https://klasma.github.io/Logging_1290/klagomålsmail/A 27956-2022 FSC-klagomål mail.docx", "A 27956-2022")</f>
        <v/>
      </c>
      <c r="AA88">
        <f>HYPERLINK("https://klasma.github.io/Logging_1290/tillsyn/A 27956-2022 tillsynsbegäran.docx", "A 27956-2022")</f>
        <v/>
      </c>
      <c r="AB88">
        <f>HYPERLINK("https://klasma.github.io/Logging_1290/tillsynsmail/A 27956-2022 tillsynsbegäran mail.docx", "A 27956-2022")</f>
        <v/>
      </c>
    </row>
    <row r="89" ht="15" customHeight="1">
      <c r="A89" t="inlineStr">
        <is>
          <t>A 27955-2022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46219</v>
      </c>
      <c r="F89" t="inlineStr">
        <is>
          <t>SKÅNE LÄN</t>
        </is>
      </c>
      <c r="G89" t="inlineStr">
        <is>
          <t>KRISTIANSTAD</t>
        </is>
      </c>
      <c r="I89" t="n">
        <v>3.6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Spillkråka</t>
        </is>
      </c>
      <c r="V89">
        <f>HYPERLINK("https://klasma.github.io/Logging_1290/artfynd/A 27955-2022 artfynd.xlsx", "A 27955-2022")</f>
        <v/>
      </c>
      <c r="W89">
        <f>HYPERLINK("https://klasma.github.io/Logging_1290/kartor/A 27955-2022 karta.png", "A 27955-2022")</f>
        <v/>
      </c>
      <c r="Y89">
        <f>HYPERLINK("https://klasma.github.io/Logging_1290/klagomål/A 27955-2022 FSC-klagomål.docx", "A 27955-2022")</f>
        <v/>
      </c>
      <c r="Z89">
        <f>HYPERLINK("https://klasma.github.io/Logging_1290/klagomålsmail/A 27955-2022 FSC-klagomål mail.docx", "A 27955-2022")</f>
        <v/>
      </c>
      <c r="AA89">
        <f>HYPERLINK("https://klasma.github.io/Logging_1290/tillsyn/A 27955-2022 tillsynsbegäran.docx", "A 27955-2022")</f>
        <v/>
      </c>
      <c r="AB89">
        <f>HYPERLINK("https://klasma.github.io/Logging_1290/tillsynsmail/A 27955-2022 tillsynsbegäran mail.docx", "A 27955-2022")</f>
        <v/>
      </c>
      <c r="AC89">
        <f>HYPERLINK("https://klasma.github.io/Logging_1290/fåglar/A 27955-2022 prioriterade fågelarter.docx", "A 27955-2022")</f>
        <v/>
      </c>
    </row>
    <row r="90" ht="15" customHeight="1">
      <c r="A90" t="inlineStr">
        <is>
          <t>A 13977-2025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45738</v>
      </c>
      <c r="E90" s="1" t="n">
        <v>46219</v>
      </c>
      <c r="F90" t="inlineStr">
        <is>
          <t>SKÅNE LÄN</t>
        </is>
      </c>
      <c r="G90" t="inlineStr">
        <is>
          <t>KRISTIANSTAD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Rostfläck</t>
        </is>
      </c>
      <c r="V90">
        <f>HYPERLINK("https://klasma.github.io/Logging_1290/artfynd/A 13977-2025 artfynd.xlsx", "A 13977-2025")</f>
        <v/>
      </c>
      <c r="W90">
        <f>HYPERLINK("https://klasma.github.io/Logging_1290/kartor/A 13977-2025 karta.png", "A 13977-2025")</f>
        <v/>
      </c>
      <c r="Y90">
        <f>HYPERLINK("https://klasma.github.io/Logging_1290/klagomål/A 13977-2025 FSC-klagomål.docx", "A 13977-2025")</f>
        <v/>
      </c>
      <c r="Z90">
        <f>HYPERLINK("https://klasma.github.io/Logging_1290/klagomålsmail/A 13977-2025 FSC-klagomål mail.docx", "A 13977-2025")</f>
        <v/>
      </c>
      <c r="AA90">
        <f>HYPERLINK("https://klasma.github.io/Logging_1290/tillsyn/A 13977-2025 tillsynsbegäran.docx", "A 13977-2025")</f>
        <v/>
      </c>
      <c r="AB90">
        <f>HYPERLINK("https://klasma.github.io/Logging_1290/tillsynsmail/A 13977-2025 tillsynsbegäran mail.docx", "A 13977-2025")</f>
        <v/>
      </c>
    </row>
    <row r="91" ht="15" customHeight="1">
      <c r="A91" t="inlineStr">
        <is>
          <t>A 58003-2023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46219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Ekskinn</t>
        </is>
      </c>
      <c r="V91">
        <f>HYPERLINK("https://klasma.github.io/Logging_1290/artfynd/A 58003-2023 artfynd.xlsx", "A 58003-2023")</f>
        <v/>
      </c>
      <c r="W91">
        <f>HYPERLINK("https://klasma.github.io/Logging_1290/kartor/A 58003-2023 karta.png", "A 58003-2023")</f>
        <v/>
      </c>
      <c r="Y91">
        <f>HYPERLINK("https://klasma.github.io/Logging_1290/klagomål/A 58003-2023 FSC-klagomål.docx", "A 58003-2023")</f>
        <v/>
      </c>
      <c r="Z91">
        <f>HYPERLINK("https://klasma.github.io/Logging_1290/klagomålsmail/A 58003-2023 FSC-klagomål mail.docx", "A 58003-2023")</f>
        <v/>
      </c>
      <c r="AA91">
        <f>HYPERLINK("https://klasma.github.io/Logging_1290/tillsyn/A 58003-2023 tillsynsbegäran.docx", "A 58003-2023")</f>
        <v/>
      </c>
      <c r="AB91">
        <f>HYPERLINK("https://klasma.github.io/Logging_1290/tillsynsmail/A 58003-2023 tillsynsbegäran mail.docx", "A 58003-2023")</f>
        <v/>
      </c>
    </row>
    <row r="92" ht="15" customHeight="1">
      <c r="A92" t="inlineStr">
        <is>
          <t>A 9018-2024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46219</v>
      </c>
      <c r="F92" t="inlineStr">
        <is>
          <t>SKÅNE LÄN</t>
        </is>
      </c>
      <c r="G92" t="inlineStr">
        <is>
          <t>KRISTIANSTAD</t>
        </is>
      </c>
      <c r="I92" t="n">
        <v>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Hedblomster</t>
        </is>
      </c>
      <c r="V92">
        <f>HYPERLINK("https://klasma.github.io/Logging_1290/artfynd/A 9018-2024 artfynd.xlsx", "A 9018-2024")</f>
        <v/>
      </c>
      <c r="W92">
        <f>HYPERLINK("https://klasma.github.io/Logging_1290/kartor/A 9018-2024 karta.png", "A 9018-2024")</f>
        <v/>
      </c>
      <c r="Y92">
        <f>HYPERLINK("https://klasma.github.io/Logging_1290/klagomål/A 9018-2024 FSC-klagomål.docx", "A 9018-2024")</f>
        <v/>
      </c>
      <c r="Z92">
        <f>HYPERLINK("https://klasma.github.io/Logging_1290/klagomålsmail/A 9018-2024 FSC-klagomål mail.docx", "A 9018-2024")</f>
        <v/>
      </c>
      <c r="AA92">
        <f>HYPERLINK("https://klasma.github.io/Logging_1290/tillsyn/A 9018-2024 tillsynsbegäran.docx", "A 9018-2024")</f>
        <v/>
      </c>
      <c r="AB92">
        <f>HYPERLINK("https://klasma.github.io/Logging_1290/tillsynsmail/A 9018-2024 tillsynsbegäran mail.docx", "A 9018-2024")</f>
        <v/>
      </c>
    </row>
    <row r="93" ht="15" customHeight="1">
      <c r="A93" t="inlineStr">
        <is>
          <t>A 41004-2022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44825</v>
      </c>
      <c r="E93" s="1" t="n">
        <v>46219</v>
      </c>
      <c r="F93" t="inlineStr">
        <is>
          <t>SKÅNE LÄN</t>
        </is>
      </c>
      <c r="G93" t="inlineStr">
        <is>
          <t>KRISTIANSTAD</t>
        </is>
      </c>
      <c r="I93" t="n">
        <v>2.4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Skogsbräsma</t>
        </is>
      </c>
      <c r="V93">
        <f>HYPERLINK("https://klasma.github.io/Logging_1290/artfynd/A 41004-2022 artfynd.xlsx", "A 41004-2022")</f>
        <v/>
      </c>
      <c r="W93">
        <f>HYPERLINK("https://klasma.github.io/Logging_1290/kartor/A 41004-2022 karta.png", "A 41004-2022")</f>
        <v/>
      </c>
      <c r="Y93">
        <f>HYPERLINK("https://klasma.github.io/Logging_1290/klagomål/A 41004-2022 FSC-klagomål.docx", "A 41004-2022")</f>
        <v/>
      </c>
      <c r="Z93">
        <f>HYPERLINK("https://klasma.github.io/Logging_1290/klagomålsmail/A 41004-2022 FSC-klagomål mail.docx", "A 41004-2022")</f>
        <v/>
      </c>
      <c r="AA93">
        <f>HYPERLINK("https://klasma.github.io/Logging_1290/tillsyn/A 41004-2022 tillsynsbegäran.docx", "A 41004-2022")</f>
        <v/>
      </c>
      <c r="AB93">
        <f>HYPERLINK("https://klasma.github.io/Logging_1290/tillsynsmail/A 41004-2022 tillsynsbegäran mail.docx", "A 41004-2022")</f>
        <v/>
      </c>
    </row>
    <row r="94" ht="15" customHeight="1">
      <c r="A94" t="inlineStr">
        <is>
          <t>A 26965-2023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45093</v>
      </c>
      <c r="E94" s="1" t="n">
        <v>46219</v>
      </c>
      <c r="F94" t="inlineStr">
        <is>
          <t>SKÅNE LÄN</t>
        </is>
      </c>
      <c r="G94" t="inlineStr">
        <is>
          <t>KRISTIANSTAD</t>
        </is>
      </c>
      <c r="H94" t="inlineStr">
        <is>
          <t>Sveaskog</t>
        </is>
      </c>
      <c r="I94" t="n">
        <v>9.9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4</v>
      </c>
      <c r="U94" s="2" t="inlineStr">
        <is>
          <t>Sjötåtel</t>
        </is>
      </c>
      <c r="V94">
        <f>HYPERLINK("https://klasma.github.io/Logging_1290/artfynd/A 26965-2023 artfynd.xlsx", "A 26965-2023")</f>
        <v/>
      </c>
      <c r="W94">
        <f>HYPERLINK("https://klasma.github.io/Logging_1290/kartor/A 26965-2023 karta.png", "A 26965-2023")</f>
        <v/>
      </c>
      <c r="Y94">
        <f>HYPERLINK("https://klasma.github.io/Logging_1290/klagomål/A 26965-2023 FSC-klagomål.docx", "A 26965-2023")</f>
        <v/>
      </c>
      <c r="Z94">
        <f>HYPERLINK("https://klasma.github.io/Logging_1290/klagomålsmail/A 26965-2023 FSC-klagomål mail.docx", "A 26965-2023")</f>
        <v/>
      </c>
      <c r="AA94">
        <f>HYPERLINK("https://klasma.github.io/Logging_1290/tillsyn/A 26965-2023 tillsynsbegäran.docx", "A 26965-2023")</f>
        <v/>
      </c>
      <c r="AB94">
        <f>HYPERLINK("https://klasma.github.io/Logging_1290/tillsynsmail/A 26965-2023 tillsynsbegäran mail.docx", "A 26965-2023")</f>
        <v/>
      </c>
    </row>
    <row r="95" ht="15" customHeight="1">
      <c r="A95" t="inlineStr">
        <is>
          <t>A 28342-2024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46219</v>
      </c>
      <c r="F95" t="inlineStr">
        <is>
          <t>SKÅNE LÄN</t>
        </is>
      </c>
      <c r="G95" t="inlineStr">
        <is>
          <t>KRISTIANSTAD</t>
        </is>
      </c>
      <c r="I95" t="n">
        <v>3.2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Knölspindel</t>
        </is>
      </c>
      <c r="V95">
        <f>HYPERLINK("https://klasma.github.io/Logging_1290/artfynd/A 28342-2024 artfynd.xlsx", "A 28342-2024")</f>
        <v/>
      </c>
      <c r="W95">
        <f>HYPERLINK("https://klasma.github.io/Logging_1290/kartor/A 28342-2024 karta.png", "A 28342-2024")</f>
        <v/>
      </c>
      <c r="Y95">
        <f>HYPERLINK("https://klasma.github.io/Logging_1290/klagomål/A 28342-2024 FSC-klagomål.docx", "A 28342-2024")</f>
        <v/>
      </c>
      <c r="Z95">
        <f>HYPERLINK("https://klasma.github.io/Logging_1290/klagomålsmail/A 28342-2024 FSC-klagomål mail.docx", "A 28342-2024")</f>
        <v/>
      </c>
      <c r="AA95">
        <f>HYPERLINK("https://klasma.github.io/Logging_1290/tillsyn/A 28342-2024 tillsynsbegäran.docx", "A 28342-2024")</f>
        <v/>
      </c>
      <c r="AB95">
        <f>HYPERLINK("https://klasma.github.io/Logging_1290/tillsynsmail/A 28342-2024 tillsynsbegäran mail.docx", "A 28342-2024")</f>
        <v/>
      </c>
    </row>
    <row r="96" ht="15" customHeight="1">
      <c r="A96" t="inlineStr">
        <is>
          <t>A 26243-2024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45468</v>
      </c>
      <c r="E96" s="1" t="n">
        <v>46219</v>
      </c>
      <c r="F96" t="inlineStr">
        <is>
          <t>SKÅNE LÄN</t>
        </is>
      </c>
      <c r="G96" t="inlineStr">
        <is>
          <t>KRISTIANSTAD</t>
        </is>
      </c>
      <c r="I96" t="n">
        <v>7.8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Blåsippa</t>
        </is>
      </c>
      <c r="V96">
        <f>HYPERLINK("https://klasma.github.io/Logging_1290/artfynd/A 26243-2024 artfynd.xlsx", "A 26243-2024")</f>
        <v/>
      </c>
      <c r="W96">
        <f>HYPERLINK("https://klasma.github.io/Logging_1290/kartor/A 26243-2024 karta.png", "A 26243-2024")</f>
        <v/>
      </c>
      <c r="Y96">
        <f>HYPERLINK("https://klasma.github.io/Logging_1290/klagomål/A 26243-2024 FSC-klagomål.docx", "A 26243-2024")</f>
        <v/>
      </c>
      <c r="Z96">
        <f>HYPERLINK("https://klasma.github.io/Logging_1290/klagomålsmail/A 26243-2024 FSC-klagomål mail.docx", "A 26243-2024")</f>
        <v/>
      </c>
      <c r="AA96">
        <f>HYPERLINK("https://klasma.github.io/Logging_1290/tillsyn/A 26243-2024 tillsynsbegäran.docx", "A 26243-2024")</f>
        <v/>
      </c>
      <c r="AB96">
        <f>HYPERLINK("https://klasma.github.io/Logging_1290/tillsynsmail/A 26243-2024 tillsynsbegäran mail.docx", "A 26243-2024")</f>
        <v/>
      </c>
    </row>
    <row r="97" ht="15" customHeight="1">
      <c r="A97" t="inlineStr">
        <is>
          <t>A 34360-2023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45139</v>
      </c>
      <c r="E97" s="1" t="n">
        <v>46219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Småvänderot</t>
        </is>
      </c>
      <c r="V97">
        <f>HYPERLINK("https://klasma.github.io/Logging_1290/artfynd/A 34360-2023 artfynd.xlsx", "A 34360-2023")</f>
        <v/>
      </c>
      <c r="W97">
        <f>HYPERLINK("https://klasma.github.io/Logging_1290/kartor/A 34360-2023 karta.png", "A 34360-2023")</f>
        <v/>
      </c>
      <c r="Y97">
        <f>HYPERLINK("https://klasma.github.io/Logging_1290/klagomål/A 34360-2023 FSC-klagomål.docx", "A 34360-2023")</f>
        <v/>
      </c>
      <c r="Z97">
        <f>HYPERLINK("https://klasma.github.io/Logging_1290/klagomålsmail/A 34360-2023 FSC-klagomål mail.docx", "A 34360-2023")</f>
        <v/>
      </c>
      <c r="AA97">
        <f>HYPERLINK("https://klasma.github.io/Logging_1290/tillsyn/A 34360-2023 tillsynsbegäran.docx", "A 34360-2023")</f>
        <v/>
      </c>
      <c r="AB97">
        <f>HYPERLINK("https://klasma.github.io/Logging_1290/tillsynsmail/A 34360-2023 tillsynsbegäran mail.docx", "A 34360-2023")</f>
        <v/>
      </c>
    </row>
    <row r="98" ht="15" customHeight="1">
      <c r="A98" t="inlineStr">
        <is>
          <t>A 40366-2021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44419</v>
      </c>
      <c r="E98" s="1" t="n">
        <v>46219</v>
      </c>
      <c r="F98" t="inlineStr">
        <is>
          <t>SKÅNE LÄN</t>
        </is>
      </c>
      <c r="G98" t="inlineStr">
        <is>
          <t>KRISTIANSTAD</t>
        </is>
      </c>
      <c r="H98" t="inlineStr">
        <is>
          <t>Kommuner</t>
        </is>
      </c>
      <c r="I98" t="n">
        <v>6.2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Åkerväddsantennmal</t>
        </is>
      </c>
      <c r="V98">
        <f>HYPERLINK("https://klasma.github.io/Logging_1290/artfynd/A 40366-2021 artfynd.xlsx", "A 40366-2021")</f>
        <v/>
      </c>
      <c r="W98">
        <f>HYPERLINK("https://klasma.github.io/Logging_1290/kartor/A 40366-2021 karta.png", "A 40366-2021")</f>
        <v/>
      </c>
      <c r="Y98">
        <f>HYPERLINK("https://klasma.github.io/Logging_1290/klagomål/A 40366-2021 FSC-klagomål.docx", "A 40366-2021")</f>
        <v/>
      </c>
      <c r="Z98">
        <f>HYPERLINK("https://klasma.github.io/Logging_1290/klagomålsmail/A 40366-2021 FSC-klagomål mail.docx", "A 40366-2021")</f>
        <v/>
      </c>
      <c r="AA98">
        <f>HYPERLINK("https://klasma.github.io/Logging_1290/tillsyn/A 40366-2021 tillsynsbegäran.docx", "A 40366-2021")</f>
        <v/>
      </c>
      <c r="AB98">
        <f>HYPERLINK("https://klasma.github.io/Logging_1290/tillsynsmail/A 40366-2021 tillsynsbegäran mail.docx", "A 40366-2021")</f>
        <v/>
      </c>
    </row>
    <row r="99" ht="15" customHeight="1">
      <c r="A99" t="inlineStr">
        <is>
          <t>A 61605-2023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46219</v>
      </c>
      <c r="F99" t="inlineStr">
        <is>
          <t>SKÅNE LÄN</t>
        </is>
      </c>
      <c r="G99" t="inlineStr">
        <is>
          <t>KRISTIANSTAD</t>
        </is>
      </c>
      <c r="I99" t="n">
        <v>6.3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Igelkott</t>
        </is>
      </c>
      <c r="V99">
        <f>HYPERLINK("https://klasma.github.io/Logging_1290/artfynd/A 61605-2023 artfynd.xlsx", "A 61605-2023")</f>
        <v/>
      </c>
      <c r="W99">
        <f>HYPERLINK("https://klasma.github.io/Logging_1290/kartor/A 61605-2023 karta.png", "A 61605-2023")</f>
        <v/>
      </c>
      <c r="Y99">
        <f>HYPERLINK("https://klasma.github.io/Logging_1290/klagomål/A 61605-2023 FSC-klagomål.docx", "A 61605-2023")</f>
        <v/>
      </c>
      <c r="Z99">
        <f>HYPERLINK("https://klasma.github.io/Logging_1290/klagomålsmail/A 61605-2023 FSC-klagomål mail.docx", "A 61605-2023")</f>
        <v/>
      </c>
      <c r="AA99">
        <f>HYPERLINK("https://klasma.github.io/Logging_1290/tillsyn/A 61605-2023 tillsynsbegäran.docx", "A 61605-2023")</f>
        <v/>
      </c>
      <c r="AB99">
        <f>HYPERLINK("https://klasma.github.io/Logging_1290/tillsynsmail/A 61605-2023 tillsynsbegäran mail.docx", "A 61605-2023")</f>
        <v/>
      </c>
    </row>
    <row r="100" ht="15" customHeight="1">
      <c r="A100" t="inlineStr">
        <is>
          <t>A 28429-2024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45477</v>
      </c>
      <c r="E100" s="1" t="n">
        <v>46219</v>
      </c>
      <c r="F100" t="inlineStr">
        <is>
          <t>SKÅNE LÄN</t>
        </is>
      </c>
      <c r="G100" t="inlineStr">
        <is>
          <t>KRISTIANSTAD</t>
        </is>
      </c>
      <c r="I100" t="n">
        <v>0.4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Knölspindel</t>
        </is>
      </c>
      <c r="V100">
        <f>HYPERLINK("https://klasma.github.io/Logging_1290/artfynd/A 28429-2024 artfynd.xlsx", "A 28429-2024")</f>
        <v/>
      </c>
      <c r="W100">
        <f>HYPERLINK("https://klasma.github.io/Logging_1290/kartor/A 28429-2024 karta.png", "A 28429-2024")</f>
        <v/>
      </c>
      <c r="Y100">
        <f>HYPERLINK("https://klasma.github.io/Logging_1290/klagomål/A 28429-2024 FSC-klagomål.docx", "A 28429-2024")</f>
        <v/>
      </c>
      <c r="Z100">
        <f>HYPERLINK("https://klasma.github.io/Logging_1290/klagomålsmail/A 28429-2024 FSC-klagomål mail.docx", "A 28429-2024")</f>
        <v/>
      </c>
      <c r="AA100">
        <f>HYPERLINK("https://klasma.github.io/Logging_1290/tillsyn/A 28429-2024 tillsynsbegäran.docx", "A 28429-2024")</f>
        <v/>
      </c>
      <c r="AB100">
        <f>HYPERLINK("https://klasma.github.io/Logging_1290/tillsynsmail/A 28429-2024 tillsynsbegäran mail.docx", "A 28429-2024")</f>
        <v/>
      </c>
    </row>
    <row r="101" ht="15" customHeight="1">
      <c r="A101" t="inlineStr">
        <is>
          <t>A 31616-2024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45506</v>
      </c>
      <c r="E101" s="1" t="n">
        <v>46219</v>
      </c>
      <c r="F101" t="inlineStr">
        <is>
          <t>SKÅNE LÄN</t>
        </is>
      </c>
      <c r="G101" t="inlineStr">
        <is>
          <t>KRISTIANSTAD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Crunoecia irrorata</t>
        </is>
      </c>
      <c r="V101">
        <f>HYPERLINK("https://klasma.github.io/Logging_1290/artfynd/A 31616-2024 artfynd.xlsx", "A 31616-2024")</f>
        <v/>
      </c>
      <c r="W101">
        <f>HYPERLINK("https://klasma.github.io/Logging_1290/kartor/A 31616-2024 karta.png", "A 31616-2024")</f>
        <v/>
      </c>
      <c r="Y101">
        <f>HYPERLINK("https://klasma.github.io/Logging_1290/klagomål/A 31616-2024 FSC-klagomål.docx", "A 31616-2024")</f>
        <v/>
      </c>
      <c r="Z101">
        <f>HYPERLINK("https://klasma.github.io/Logging_1290/klagomålsmail/A 31616-2024 FSC-klagomål mail.docx", "A 31616-2024")</f>
        <v/>
      </c>
      <c r="AA101">
        <f>HYPERLINK("https://klasma.github.io/Logging_1290/tillsyn/A 31616-2024 tillsynsbegäran.docx", "A 31616-2024")</f>
        <v/>
      </c>
      <c r="AB101">
        <f>HYPERLINK("https://klasma.github.io/Logging_1290/tillsynsmail/A 31616-2024 tillsynsbegäran mail.docx", "A 31616-2024")</f>
        <v/>
      </c>
    </row>
    <row r="102" ht="15" customHeight="1">
      <c r="A102" t="inlineStr">
        <is>
          <t>A 44582-2022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46219</v>
      </c>
      <c r="F102" t="inlineStr">
        <is>
          <t>SKÅNE LÄN</t>
        </is>
      </c>
      <c r="G102" t="inlineStr">
        <is>
          <t>KRISTIANSTAD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Orangepudrad klotterlav</t>
        </is>
      </c>
      <c r="V102">
        <f>HYPERLINK("https://klasma.github.io/Logging_1290/artfynd/A 44582-2022 artfynd.xlsx", "A 44582-2022")</f>
        <v/>
      </c>
      <c r="W102">
        <f>HYPERLINK("https://klasma.github.io/Logging_1290/kartor/A 44582-2022 karta.png", "A 44582-2022")</f>
        <v/>
      </c>
      <c r="Y102">
        <f>HYPERLINK("https://klasma.github.io/Logging_1290/klagomål/A 44582-2022 FSC-klagomål.docx", "A 44582-2022")</f>
        <v/>
      </c>
      <c r="Z102">
        <f>HYPERLINK("https://klasma.github.io/Logging_1290/klagomålsmail/A 44582-2022 FSC-klagomål mail.docx", "A 44582-2022")</f>
        <v/>
      </c>
      <c r="AA102">
        <f>HYPERLINK("https://klasma.github.io/Logging_1290/tillsyn/A 44582-2022 tillsynsbegäran.docx", "A 44582-2022")</f>
        <v/>
      </c>
      <c r="AB102">
        <f>HYPERLINK("https://klasma.github.io/Logging_1290/tillsynsmail/A 44582-2022 tillsynsbegäran mail.docx", "A 44582-2022")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46219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Lungrot</t>
        </is>
      </c>
      <c r="V103">
        <f>HYPERLINK("https://klasma.github.io/Logging_1290/artfynd/A 47317-2025 artfynd.xlsx", "A 47317-2025")</f>
        <v/>
      </c>
      <c r="W103">
        <f>HYPERLINK("https://klasma.github.io/Logging_1290/kartor/A 47317-2025 karta.png", "A 47317-2025")</f>
        <v/>
      </c>
      <c r="Y103">
        <f>HYPERLINK("https://klasma.github.io/Logging_1290/klagomål/A 47317-2025 FSC-klagomål.docx", "A 47317-2025")</f>
        <v/>
      </c>
      <c r="Z103">
        <f>HYPERLINK("https://klasma.github.io/Logging_1290/klagomålsmail/A 47317-2025 FSC-klagomål mail.docx", "A 47317-2025")</f>
        <v/>
      </c>
      <c r="AA103">
        <f>HYPERLINK("https://klasma.github.io/Logging_1290/tillsyn/A 47317-2025 tillsynsbegäran.docx", "A 47317-2025")</f>
        <v/>
      </c>
      <c r="AB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46931-2025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46219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Blåmossa</t>
        </is>
      </c>
      <c r="V104">
        <f>HYPERLINK("https://klasma.github.io/Logging_1290/artfynd/A 46931-2025 artfynd.xlsx", "A 46931-2025")</f>
        <v/>
      </c>
      <c r="W104">
        <f>HYPERLINK("https://klasma.github.io/Logging_1290/kartor/A 46931-2025 karta.png", "A 46931-2025")</f>
        <v/>
      </c>
      <c r="Y104">
        <f>HYPERLINK("https://klasma.github.io/Logging_1290/klagomål/A 46931-2025 FSC-klagomål.docx", "A 46931-2025")</f>
        <v/>
      </c>
      <c r="Z104">
        <f>HYPERLINK("https://klasma.github.io/Logging_1290/klagomålsmail/A 46931-2025 FSC-klagomål mail.docx", "A 46931-2025")</f>
        <v/>
      </c>
      <c r="AA104">
        <f>HYPERLINK("https://klasma.github.io/Logging_1290/tillsyn/A 46931-2025 tillsynsbegäran.docx", "A 46931-2025")</f>
        <v/>
      </c>
      <c r="AB104">
        <f>HYPERLINK("https://klasma.github.io/Logging_1290/tillsynsmail/A 46931-2025 tillsynsbegäran mail.docx", "A 46931-2025")</f>
        <v/>
      </c>
    </row>
    <row r="105" ht="15" customHeight="1">
      <c r="A105" t="inlineStr">
        <is>
          <t>A 15105-2023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45015</v>
      </c>
      <c r="E105" s="1" t="n">
        <v>46219</v>
      </c>
      <c r="F105" t="inlineStr">
        <is>
          <t>SKÅNE LÄN</t>
        </is>
      </c>
      <c r="G105" t="inlineStr">
        <is>
          <t>KRISTIANSTAD</t>
        </is>
      </c>
      <c r="H105" t="inlineStr">
        <is>
          <t>Kyrkan</t>
        </is>
      </c>
      <c r="I105" t="n">
        <v>3.2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Liten baronmossa</t>
        </is>
      </c>
      <c r="V105">
        <f>HYPERLINK("https://klasma.github.io/Logging_1290/artfynd/A 15105-2023 artfynd.xlsx", "A 15105-2023")</f>
        <v/>
      </c>
      <c r="W105">
        <f>HYPERLINK("https://klasma.github.io/Logging_1290/kartor/A 15105-2023 karta.png", "A 15105-2023")</f>
        <v/>
      </c>
      <c r="Y105">
        <f>HYPERLINK("https://klasma.github.io/Logging_1290/klagomål/A 15105-2023 FSC-klagomål.docx", "A 15105-2023")</f>
        <v/>
      </c>
      <c r="Z105">
        <f>HYPERLINK("https://klasma.github.io/Logging_1290/klagomålsmail/A 15105-2023 FSC-klagomål mail.docx", "A 15105-2023")</f>
        <v/>
      </c>
      <c r="AA105">
        <f>HYPERLINK("https://klasma.github.io/Logging_1290/tillsyn/A 15105-2023 tillsynsbegäran.docx", "A 15105-2023")</f>
        <v/>
      </c>
      <c r="AB105">
        <f>HYPERLINK("https://klasma.github.io/Logging_1290/tillsynsmail/A 15105-2023 tillsynsbegäran mail.docx", "A 15105-2023")</f>
        <v/>
      </c>
    </row>
    <row r="106" ht="15" customHeight="1">
      <c r="A106" t="inlineStr">
        <is>
          <t>A 49428-2025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46219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Större vattensalamander</t>
        </is>
      </c>
      <c r="V106">
        <f>HYPERLINK("https://klasma.github.io/Logging_1290/artfynd/A 49428-2025 artfynd.xlsx", "A 49428-2025")</f>
        <v/>
      </c>
      <c r="W106">
        <f>HYPERLINK("https://klasma.github.io/Logging_1290/kartor/A 49428-2025 karta.png", "A 49428-2025")</f>
        <v/>
      </c>
      <c r="Y106">
        <f>HYPERLINK("https://klasma.github.io/Logging_1290/klagomål/A 49428-2025 FSC-klagomål.docx", "A 49428-2025")</f>
        <v/>
      </c>
      <c r="Z106">
        <f>HYPERLINK("https://klasma.github.io/Logging_1290/klagomålsmail/A 49428-2025 FSC-klagomål mail.docx", "A 49428-2025")</f>
        <v/>
      </c>
      <c r="AA106">
        <f>HYPERLINK("https://klasma.github.io/Logging_1290/tillsyn/A 49428-2025 tillsynsbegäran.docx", "A 49428-2025")</f>
        <v/>
      </c>
      <c r="AB106">
        <f>HYPERLINK("https://klasma.github.io/Logging_1290/tillsynsmail/A 49428-2025 tillsynsbegäran mail.docx", "A 49428-2025")</f>
        <v/>
      </c>
    </row>
    <row r="107" ht="15" customHeight="1">
      <c r="A107" t="inlineStr">
        <is>
          <t>A 45495-2024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45577</v>
      </c>
      <c r="E107" s="1" t="n">
        <v>46219</v>
      </c>
      <c r="F107" t="inlineStr">
        <is>
          <t>SKÅNE LÄN</t>
        </is>
      </c>
      <c r="G107" t="inlineStr">
        <is>
          <t>KRISTIANSTAD</t>
        </is>
      </c>
      <c r="I107" t="n">
        <v>9.1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Koralltaggsvamp</t>
        </is>
      </c>
      <c r="V107">
        <f>HYPERLINK("https://klasma.github.io/Logging_1290/artfynd/A 45495-2024 artfynd.xlsx", "A 45495-2024")</f>
        <v/>
      </c>
      <c r="W107">
        <f>HYPERLINK("https://klasma.github.io/Logging_1290/kartor/A 45495-2024 karta.png", "A 45495-2024")</f>
        <v/>
      </c>
      <c r="Y107">
        <f>HYPERLINK("https://klasma.github.io/Logging_1290/klagomål/A 45495-2024 FSC-klagomål.docx", "A 45495-2024")</f>
        <v/>
      </c>
      <c r="Z107">
        <f>HYPERLINK("https://klasma.github.io/Logging_1290/klagomålsmail/A 45495-2024 FSC-klagomål mail.docx", "A 45495-2024")</f>
        <v/>
      </c>
      <c r="AA107">
        <f>HYPERLINK("https://klasma.github.io/Logging_1290/tillsyn/A 45495-2024 tillsynsbegäran.docx", "A 45495-2024")</f>
        <v/>
      </c>
      <c r="AB107">
        <f>HYPERLINK("https://klasma.github.io/Logging_1290/tillsynsmail/A 45495-2024 tillsynsbegäran mail.docx", "A 45495-2024")</f>
        <v/>
      </c>
    </row>
    <row r="108" ht="15" customHeight="1">
      <c r="A108" t="inlineStr">
        <is>
          <t>A 7054-2024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46219</v>
      </c>
      <c r="F108" t="inlineStr">
        <is>
          <t>SKÅNE LÄN</t>
        </is>
      </c>
      <c r="G108" t="inlineStr">
        <is>
          <t>KRISTIANSTAD</t>
        </is>
      </c>
      <c r="H108" t="inlineStr">
        <is>
          <t>Sveaskog</t>
        </is>
      </c>
      <c r="I108" t="n">
        <v>0.4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Törnskata</t>
        </is>
      </c>
      <c r="V108">
        <f>HYPERLINK("https://klasma.github.io/Logging_1290/artfynd/A 7054-2024 artfynd.xlsx", "A 7054-2024")</f>
        <v/>
      </c>
      <c r="W108">
        <f>HYPERLINK("https://klasma.github.io/Logging_1290/kartor/A 7054-2024 karta.png", "A 7054-2024")</f>
        <v/>
      </c>
      <c r="Y108">
        <f>HYPERLINK("https://klasma.github.io/Logging_1290/klagomål/A 7054-2024 FSC-klagomål.docx", "A 7054-2024")</f>
        <v/>
      </c>
      <c r="Z108">
        <f>HYPERLINK("https://klasma.github.io/Logging_1290/klagomålsmail/A 7054-2024 FSC-klagomål mail.docx", "A 7054-2024")</f>
        <v/>
      </c>
      <c r="AA108">
        <f>HYPERLINK("https://klasma.github.io/Logging_1290/tillsyn/A 7054-2024 tillsynsbegäran.docx", "A 7054-2024")</f>
        <v/>
      </c>
      <c r="AB108">
        <f>HYPERLINK("https://klasma.github.io/Logging_1290/tillsynsmail/A 7054-2024 tillsynsbegäran mail.docx", "A 7054-2024")</f>
        <v/>
      </c>
      <c r="AC108">
        <f>HYPERLINK("https://klasma.github.io/Logging_1290/fåglar/A 7054-2024 prioriterade fågelarter.docx", "A 7054-2024")</f>
        <v/>
      </c>
    </row>
    <row r="109" ht="15" customHeight="1">
      <c r="A109" t="inlineStr">
        <is>
          <t>A 53189-2025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46219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Igelkott</t>
        </is>
      </c>
      <c r="V109">
        <f>HYPERLINK("https://klasma.github.io/Logging_1290/artfynd/A 53189-2025 artfynd.xlsx", "A 53189-2025")</f>
        <v/>
      </c>
      <c r="W109">
        <f>HYPERLINK("https://klasma.github.io/Logging_1290/kartor/A 53189-2025 karta.png", "A 53189-2025")</f>
        <v/>
      </c>
      <c r="Y109">
        <f>HYPERLINK("https://klasma.github.io/Logging_1290/klagomål/A 53189-2025 FSC-klagomål.docx", "A 53189-2025")</f>
        <v/>
      </c>
      <c r="Z109">
        <f>HYPERLINK("https://klasma.github.io/Logging_1290/klagomålsmail/A 53189-2025 FSC-klagomål mail.docx", "A 53189-2025")</f>
        <v/>
      </c>
      <c r="AA109">
        <f>HYPERLINK("https://klasma.github.io/Logging_1290/tillsyn/A 53189-2025 tillsynsbegäran.docx", "A 53189-2025")</f>
        <v/>
      </c>
      <c r="AB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46219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Entita</t>
        </is>
      </c>
      <c r="V110">
        <f>HYPERLINK("https://klasma.github.io/Logging_1290/artfynd/A 53182-2025 artfynd.xlsx", "A 53182-2025")</f>
        <v/>
      </c>
      <c r="W110">
        <f>HYPERLINK("https://klasma.github.io/Logging_1290/kartor/A 53182-2025 karta.png", "A 53182-2025")</f>
        <v/>
      </c>
      <c r="Y110">
        <f>HYPERLINK("https://klasma.github.io/Logging_1290/klagomål/A 53182-2025 FSC-klagomål.docx", "A 53182-2025")</f>
        <v/>
      </c>
      <c r="Z110">
        <f>HYPERLINK("https://klasma.github.io/Logging_1290/klagomålsmail/A 53182-2025 FSC-klagomål mail.docx", "A 53182-2025")</f>
        <v/>
      </c>
      <c r="AA110">
        <f>HYPERLINK("https://klasma.github.io/Logging_1290/tillsyn/A 53182-2025 tillsynsbegäran.docx", "A 53182-2025")</f>
        <v/>
      </c>
      <c r="AB110">
        <f>HYPERLINK("https://klasma.github.io/Logging_1290/tillsynsmail/A 53182-2025 tillsynsbegäran mail.docx", "A 53182-2025")</f>
        <v/>
      </c>
      <c r="AC110">
        <f>HYPERLINK("https://klasma.github.io/Logging_1290/fåglar/A 53182-2025 prioriterade fågelarter.docx", "A 53182-2025")</f>
        <v/>
      </c>
    </row>
    <row r="111" ht="15" customHeight="1">
      <c r="A111" t="inlineStr">
        <is>
          <t>A 58474-2025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46219</v>
      </c>
      <c r="F111" t="inlineStr">
        <is>
          <t>SKÅNE LÄN</t>
        </is>
      </c>
      <c r="G111" t="inlineStr">
        <is>
          <t>KRISTIANSTAD</t>
        </is>
      </c>
      <c r="I111" t="n">
        <v>4.7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Storspov</t>
        </is>
      </c>
      <c r="V111">
        <f>HYPERLINK("https://klasma.github.io/Logging_1290/artfynd/A 58474-2025 artfynd.xlsx", "A 58474-2025")</f>
        <v/>
      </c>
      <c r="W111">
        <f>HYPERLINK("https://klasma.github.io/Logging_1290/kartor/A 58474-2025 karta.png", "A 58474-2025")</f>
        <v/>
      </c>
      <c r="Y111">
        <f>HYPERLINK("https://klasma.github.io/Logging_1290/klagomål/A 58474-2025 FSC-klagomål.docx", "A 58474-2025")</f>
        <v/>
      </c>
      <c r="Z111">
        <f>HYPERLINK("https://klasma.github.io/Logging_1290/klagomålsmail/A 58474-2025 FSC-klagomål mail.docx", "A 58474-2025")</f>
        <v/>
      </c>
      <c r="AA111">
        <f>HYPERLINK("https://klasma.github.io/Logging_1290/tillsyn/A 58474-2025 tillsynsbegäran.docx", "A 58474-2025")</f>
        <v/>
      </c>
      <c r="AB111">
        <f>HYPERLINK("https://klasma.github.io/Logging_1290/tillsynsmail/A 58474-2025 tillsynsbegäran mail.docx", "A 58474-2025")</f>
        <v/>
      </c>
    </row>
    <row r="112" ht="15" customHeight="1">
      <c r="A112" t="inlineStr">
        <is>
          <t>A 52012-2024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45607</v>
      </c>
      <c r="E112" s="1" t="n">
        <v>46219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2.6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Luddfingerört</t>
        </is>
      </c>
      <c r="V112">
        <f>HYPERLINK("https://klasma.github.io/Logging_1290/artfynd/A 52012-2024 artfynd.xlsx", "A 52012-2024")</f>
        <v/>
      </c>
      <c r="W112">
        <f>HYPERLINK("https://klasma.github.io/Logging_1290/kartor/A 52012-2024 karta.png", "A 52012-2024")</f>
        <v/>
      </c>
      <c r="Y112">
        <f>HYPERLINK("https://klasma.github.io/Logging_1290/klagomål/A 52012-2024 FSC-klagomål.docx", "A 52012-2024")</f>
        <v/>
      </c>
      <c r="Z112">
        <f>HYPERLINK("https://klasma.github.io/Logging_1290/klagomålsmail/A 52012-2024 FSC-klagomål mail.docx", "A 52012-2024")</f>
        <v/>
      </c>
      <c r="AA112">
        <f>HYPERLINK("https://klasma.github.io/Logging_1290/tillsyn/A 52012-2024 tillsynsbegäran.docx", "A 52012-2024")</f>
        <v/>
      </c>
      <c r="AB112">
        <f>HYPERLINK("https://klasma.github.io/Logging_1290/tillsynsmail/A 52012-2024 tillsynsbegäran mail.docx", "A 52012-2024")</f>
        <v/>
      </c>
    </row>
    <row r="113" ht="15" customHeight="1">
      <c r="A113" t="inlineStr">
        <is>
          <t>A 14232-2023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46219</v>
      </c>
      <c r="F113" t="inlineStr">
        <is>
          <t>SKÅNE LÄN</t>
        </is>
      </c>
      <c r="G113" t="inlineStr">
        <is>
          <t>KRISTIANSTAD</t>
        </is>
      </c>
      <c r="I113" t="n">
        <v>7.1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Gullviva</t>
        </is>
      </c>
      <c r="V113">
        <f>HYPERLINK("https://klasma.github.io/Logging_1290/artfynd/A 14232-2023 artfynd.xlsx", "A 14232-2023")</f>
        <v/>
      </c>
      <c r="W113">
        <f>HYPERLINK("https://klasma.github.io/Logging_1290/kartor/A 14232-2023 karta.png", "A 14232-2023")</f>
        <v/>
      </c>
      <c r="Y113">
        <f>HYPERLINK("https://klasma.github.io/Logging_1290/klagomål/A 14232-2023 FSC-klagomål.docx", "A 14232-2023")</f>
        <v/>
      </c>
      <c r="Z113">
        <f>HYPERLINK("https://klasma.github.io/Logging_1290/klagomålsmail/A 14232-2023 FSC-klagomål mail.docx", "A 14232-2023")</f>
        <v/>
      </c>
      <c r="AA113">
        <f>HYPERLINK("https://klasma.github.io/Logging_1290/tillsyn/A 14232-2023 tillsynsbegäran.docx", "A 14232-2023")</f>
        <v/>
      </c>
      <c r="AB113">
        <f>HYPERLINK("https://klasma.github.io/Logging_1290/tillsynsmail/A 14232-2023 tillsynsbegäran mail.docx", "A 14232-2023")</f>
        <v/>
      </c>
    </row>
    <row r="114" ht="15" customHeight="1">
      <c r="A114" t="inlineStr">
        <is>
          <t>A 60006-2025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46219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4.8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Ekoxe</t>
        </is>
      </c>
      <c r="V114">
        <f>HYPERLINK("https://klasma.github.io/Logging_1290/artfynd/A 60006-2025 artfynd.xlsx", "A 60006-2025")</f>
        <v/>
      </c>
      <c r="W114">
        <f>HYPERLINK("https://klasma.github.io/Logging_1290/kartor/A 60006-2025 karta.png", "A 60006-2025")</f>
        <v/>
      </c>
      <c r="Y114">
        <f>HYPERLINK("https://klasma.github.io/Logging_1290/klagomål/A 60006-2025 FSC-klagomål.docx", "A 60006-2025")</f>
        <v/>
      </c>
      <c r="Z114">
        <f>HYPERLINK("https://klasma.github.io/Logging_1290/klagomålsmail/A 60006-2025 FSC-klagomål mail.docx", "A 60006-2025")</f>
        <v/>
      </c>
      <c r="AA114">
        <f>HYPERLINK("https://klasma.github.io/Logging_1290/tillsyn/A 60006-2025 tillsynsbegäran.docx", "A 60006-2025")</f>
        <v/>
      </c>
      <c r="AB114">
        <f>HYPERLINK("https://klasma.github.io/Logging_1290/tillsynsmail/A 60006-2025 tillsynsbegäran mail.docx", "A 60006-2025")</f>
        <v/>
      </c>
    </row>
    <row r="115" ht="15" customHeight="1">
      <c r="A115" t="inlineStr">
        <is>
          <t>A 40668-2024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46219</v>
      </c>
      <c r="F115" t="inlineStr">
        <is>
          <t>SKÅNE LÄN</t>
        </is>
      </c>
      <c r="G115" t="inlineStr">
        <is>
          <t>KRISTIANSTAD</t>
        </is>
      </c>
      <c r="I115" t="n">
        <v>1.3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Spillkråka</t>
        </is>
      </c>
      <c r="V115">
        <f>HYPERLINK("https://klasma.github.io/Logging_1290/artfynd/A 40668-2024 artfynd.xlsx", "A 40668-2024")</f>
        <v/>
      </c>
      <c r="W115">
        <f>HYPERLINK("https://klasma.github.io/Logging_1290/kartor/A 40668-2024 karta.png", "A 40668-2024")</f>
        <v/>
      </c>
      <c r="Y115">
        <f>HYPERLINK("https://klasma.github.io/Logging_1290/klagomål/A 40668-2024 FSC-klagomål.docx", "A 40668-2024")</f>
        <v/>
      </c>
      <c r="Z115">
        <f>HYPERLINK("https://klasma.github.io/Logging_1290/klagomålsmail/A 40668-2024 FSC-klagomål mail.docx", "A 40668-2024")</f>
        <v/>
      </c>
      <c r="AA115">
        <f>HYPERLINK("https://klasma.github.io/Logging_1290/tillsyn/A 40668-2024 tillsynsbegäran.docx", "A 40668-2024")</f>
        <v/>
      </c>
      <c r="AB115">
        <f>HYPERLINK("https://klasma.github.io/Logging_1290/tillsynsmail/A 40668-2024 tillsynsbegäran mail.docx", "A 40668-2024")</f>
        <v/>
      </c>
      <c r="AC115">
        <f>HYPERLINK("https://klasma.github.io/Logging_1290/fåglar/A 40668-2024 prioriterade fågelarter.docx", "A 40668-2024")</f>
        <v/>
      </c>
    </row>
    <row r="116" ht="15" customHeight="1">
      <c r="A116" t="inlineStr">
        <is>
          <t>A 38440-2024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46219</v>
      </c>
      <c r="F116" t="inlineStr">
        <is>
          <t>SKÅNE LÄN</t>
        </is>
      </c>
      <c r="G116" t="inlineStr">
        <is>
          <t>KRISTIANSTAD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Igelkott</t>
        </is>
      </c>
      <c r="V116">
        <f>HYPERLINK("https://klasma.github.io/Logging_1290/artfynd/A 38440-2024 artfynd.xlsx", "A 38440-2024")</f>
        <v/>
      </c>
      <c r="W116">
        <f>HYPERLINK("https://klasma.github.io/Logging_1290/kartor/A 38440-2024 karta.png", "A 38440-2024")</f>
        <v/>
      </c>
      <c r="Y116">
        <f>HYPERLINK("https://klasma.github.io/Logging_1290/klagomål/A 38440-2024 FSC-klagomål.docx", "A 38440-2024")</f>
        <v/>
      </c>
      <c r="Z116">
        <f>HYPERLINK("https://klasma.github.io/Logging_1290/klagomålsmail/A 38440-2024 FSC-klagomål mail.docx", "A 38440-2024")</f>
        <v/>
      </c>
      <c r="AA116">
        <f>HYPERLINK("https://klasma.github.io/Logging_1290/tillsyn/A 38440-2024 tillsynsbegäran.docx", "A 38440-2024")</f>
        <v/>
      </c>
      <c r="AB116">
        <f>HYPERLINK("https://klasma.github.io/Logging_1290/tillsynsmail/A 38440-2024 tillsynsbegäran mail.docx", "A 38440-2024")</f>
        <v/>
      </c>
    </row>
    <row r="117" ht="15" customHeight="1">
      <c r="A117" t="inlineStr">
        <is>
          <t>A 17023-2025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45755</v>
      </c>
      <c r="E117" s="1" t="n">
        <v>46219</v>
      </c>
      <c r="F117" t="inlineStr">
        <is>
          <t>SKÅNE LÄN</t>
        </is>
      </c>
      <c r="G117" t="inlineStr">
        <is>
          <t>KRISTIANSTAD</t>
        </is>
      </c>
      <c r="I117" t="n">
        <v>5.7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Ekskinn</t>
        </is>
      </c>
      <c r="V117">
        <f>HYPERLINK("https://klasma.github.io/Logging_1290/artfynd/A 17023-2025 artfynd.xlsx", "A 17023-2025")</f>
        <v/>
      </c>
      <c r="W117">
        <f>HYPERLINK("https://klasma.github.io/Logging_1290/kartor/A 17023-2025 karta.png", "A 17023-2025")</f>
        <v/>
      </c>
      <c r="Y117">
        <f>HYPERLINK("https://klasma.github.io/Logging_1290/klagomål/A 17023-2025 FSC-klagomål.docx", "A 17023-2025")</f>
        <v/>
      </c>
      <c r="Z117">
        <f>HYPERLINK("https://klasma.github.io/Logging_1290/klagomålsmail/A 17023-2025 FSC-klagomål mail.docx", "A 17023-2025")</f>
        <v/>
      </c>
      <c r="AA117">
        <f>HYPERLINK("https://klasma.github.io/Logging_1290/tillsyn/A 17023-2025 tillsynsbegäran.docx", "A 17023-2025")</f>
        <v/>
      </c>
      <c r="AB117">
        <f>HYPERLINK("https://klasma.github.io/Logging_1290/tillsynsmail/A 17023-2025 tillsynsbegäran mail.docx", "A 17023-2025")</f>
        <v/>
      </c>
    </row>
    <row r="118" ht="15" customHeight="1">
      <c r="A118" t="inlineStr">
        <is>
          <t>A 52014-2024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46219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Luddfingerört</t>
        </is>
      </c>
      <c r="V118">
        <f>HYPERLINK("https://klasma.github.io/Logging_1290/artfynd/A 52014-2024 artfynd.xlsx", "A 52014-2024")</f>
        <v/>
      </c>
      <c r="W118">
        <f>HYPERLINK("https://klasma.github.io/Logging_1290/kartor/A 52014-2024 karta.png", "A 52014-2024")</f>
        <v/>
      </c>
      <c r="Y118">
        <f>HYPERLINK("https://klasma.github.io/Logging_1290/klagomål/A 52014-2024 FSC-klagomål.docx", "A 52014-2024")</f>
        <v/>
      </c>
      <c r="Z118">
        <f>HYPERLINK("https://klasma.github.io/Logging_1290/klagomålsmail/A 52014-2024 FSC-klagomål mail.docx", "A 52014-2024")</f>
        <v/>
      </c>
      <c r="AA118">
        <f>HYPERLINK("https://klasma.github.io/Logging_1290/tillsyn/A 52014-2024 tillsynsbegäran.docx", "A 52014-2024")</f>
        <v/>
      </c>
      <c r="AB118">
        <f>HYPERLINK("https://klasma.github.io/Logging_1290/tillsynsmail/A 52014-2024 tillsynsbegäran mail.docx", "A 52014-2024")</f>
        <v/>
      </c>
    </row>
    <row r="119" ht="15" customHeight="1">
      <c r="A119" t="inlineStr">
        <is>
          <t>A 15706-2025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46219</v>
      </c>
      <c r="F119" t="inlineStr">
        <is>
          <t>SKÅNE LÄN</t>
        </is>
      </c>
      <c r="G119" t="inlineStr">
        <is>
          <t>KRISTIANSTAD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Ask</t>
        </is>
      </c>
      <c r="V119">
        <f>HYPERLINK("https://klasma.github.io/Logging_1290/artfynd/A 15706-2025 artfynd.xlsx", "A 15706-2025")</f>
        <v/>
      </c>
      <c r="W119">
        <f>HYPERLINK("https://klasma.github.io/Logging_1290/kartor/A 15706-2025 karta.png", "A 15706-2025")</f>
        <v/>
      </c>
      <c r="Y119">
        <f>HYPERLINK("https://klasma.github.io/Logging_1290/klagomål/A 15706-2025 FSC-klagomål.docx", "A 15706-2025")</f>
        <v/>
      </c>
      <c r="Z119">
        <f>HYPERLINK("https://klasma.github.io/Logging_1290/klagomålsmail/A 15706-2025 FSC-klagomål mail.docx", "A 15706-2025")</f>
        <v/>
      </c>
      <c r="AA119">
        <f>HYPERLINK("https://klasma.github.io/Logging_1290/tillsyn/A 15706-2025 tillsynsbegäran.docx", "A 15706-2025")</f>
        <v/>
      </c>
      <c r="AB119">
        <f>HYPERLINK("https://klasma.github.io/Logging_1290/tillsynsmail/A 15706-2025 tillsynsbegäran mail.docx", "A 15706-2025")</f>
        <v/>
      </c>
    </row>
    <row r="120" ht="15" customHeight="1">
      <c r="A120" t="inlineStr">
        <is>
          <t>A 18539-2022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44686</v>
      </c>
      <c r="E120" s="1" t="n">
        <v>46219</v>
      </c>
      <c r="F120" t="inlineStr">
        <is>
          <t>SKÅNE LÄN</t>
        </is>
      </c>
      <c r="G120" t="inlineStr">
        <is>
          <t>KRISTIANSTAD</t>
        </is>
      </c>
      <c r="I120" t="n">
        <v>4.3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Skogslysing</t>
        </is>
      </c>
      <c r="V120">
        <f>HYPERLINK("https://klasma.github.io/Logging_1290/artfynd/A 18539-2022 artfynd.xlsx", "A 18539-2022")</f>
        <v/>
      </c>
      <c r="W120">
        <f>HYPERLINK("https://klasma.github.io/Logging_1290/kartor/A 18539-2022 karta.png", "A 18539-2022")</f>
        <v/>
      </c>
      <c r="Y120">
        <f>HYPERLINK("https://klasma.github.io/Logging_1290/klagomål/A 18539-2022 FSC-klagomål.docx", "A 18539-2022")</f>
        <v/>
      </c>
      <c r="Z120">
        <f>HYPERLINK("https://klasma.github.io/Logging_1290/klagomålsmail/A 18539-2022 FSC-klagomål mail.docx", "A 18539-2022")</f>
        <v/>
      </c>
      <c r="AA120">
        <f>HYPERLINK("https://klasma.github.io/Logging_1290/tillsyn/A 18539-2022 tillsynsbegäran.docx", "A 18539-2022")</f>
        <v/>
      </c>
      <c r="AB120">
        <f>HYPERLINK("https://klasma.github.io/Logging_1290/tillsynsmail/A 18539-2022 tillsynsbegäran mail.docx", "A 18539-2022")</f>
        <v/>
      </c>
    </row>
    <row r="121" ht="15" customHeight="1">
      <c r="A121" t="inlineStr">
        <is>
          <t>A 28425-2024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45477</v>
      </c>
      <c r="E121" s="1" t="n">
        <v>46219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Missne</t>
        </is>
      </c>
      <c r="V121">
        <f>HYPERLINK("https://klasma.github.io/Logging_1290/artfynd/A 28425-2024 artfynd.xlsx", "A 28425-2024")</f>
        <v/>
      </c>
      <c r="W121">
        <f>HYPERLINK("https://klasma.github.io/Logging_1290/kartor/A 28425-2024 karta.png", "A 28425-2024")</f>
        <v/>
      </c>
      <c r="Y121">
        <f>HYPERLINK("https://klasma.github.io/Logging_1290/klagomål/A 28425-2024 FSC-klagomål.docx", "A 28425-2024")</f>
        <v/>
      </c>
      <c r="Z121">
        <f>HYPERLINK("https://klasma.github.io/Logging_1290/klagomålsmail/A 28425-2024 FSC-klagomål mail.docx", "A 28425-2024")</f>
        <v/>
      </c>
      <c r="AA121">
        <f>HYPERLINK("https://klasma.github.io/Logging_1290/tillsyn/A 28425-2024 tillsynsbegäran.docx", "A 28425-2024")</f>
        <v/>
      </c>
      <c r="AB121">
        <f>HYPERLINK("https://klasma.github.io/Logging_1290/tillsynsmail/A 28425-2024 tillsynsbegäran mail.docx", "A 28425-2024")</f>
        <v/>
      </c>
    </row>
    <row r="122" ht="15" customHeight="1">
      <c r="A122" t="inlineStr">
        <is>
          <t>A 1919-2026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46035</v>
      </c>
      <c r="E122" s="1" t="n">
        <v>46219</v>
      </c>
      <c r="F122" t="inlineStr">
        <is>
          <t>SKÅNE LÄN</t>
        </is>
      </c>
      <c r="G122" t="inlineStr">
        <is>
          <t>KRISTIANSTAD</t>
        </is>
      </c>
      <c r="I122" t="n">
        <v>8.300000000000001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Ängsskära</t>
        </is>
      </c>
      <c r="V122">
        <f>HYPERLINK("https://klasma.github.io/Logging_1290/artfynd/A 1919-2026 artfynd.xlsx", "A 1919-2026")</f>
        <v/>
      </c>
      <c r="W122">
        <f>HYPERLINK("https://klasma.github.io/Logging_1290/kartor/A 1919-2026 karta.png", "A 1919-2026")</f>
        <v/>
      </c>
      <c r="Y122">
        <f>HYPERLINK("https://klasma.github.io/Logging_1290/klagomål/A 1919-2026 FSC-klagomål.docx", "A 1919-2026")</f>
        <v/>
      </c>
      <c r="Z122">
        <f>HYPERLINK("https://klasma.github.io/Logging_1290/klagomålsmail/A 1919-2026 FSC-klagomål mail.docx", "A 1919-2026")</f>
        <v/>
      </c>
      <c r="AA122">
        <f>HYPERLINK("https://klasma.github.io/Logging_1290/tillsyn/A 1919-2026 tillsynsbegäran.docx", "A 1919-2026")</f>
        <v/>
      </c>
      <c r="AB122">
        <f>HYPERLINK("https://klasma.github.io/Logging_1290/tillsynsmail/A 1919-2026 tillsynsbegäran mail.docx", "A 1919-2026")</f>
        <v/>
      </c>
    </row>
    <row r="123" ht="15" customHeight="1">
      <c r="A123" t="inlineStr">
        <is>
          <t>A 22272-2024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45446</v>
      </c>
      <c r="E123" s="1" t="n">
        <v>46219</v>
      </c>
      <c r="F123" t="inlineStr">
        <is>
          <t>SKÅNE LÄN</t>
        </is>
      </c>
      <c r="G123" t="inlineStr">
        <is>
          <t>KRISTIANSTAD</t>
        </is>
      </c>
      <c r="I123" t="n">
        <v>5.7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Dubbelnycklar</t>
        </is>
      </c>
      <c r="V123">
        <f>HYPERLINK("https://klasma.github.io/Logging_1290/artfynd/A 22272-2024 artfynd.xlsx", "A 22272-2024")</f>
        <v/>
      </c>
      <c r="W123">
        <f>HYPERLINK("https://klasma.github.io/Logging_1290/kartor/A 22272-2024 karta.png", "A 22272-2024")</f>
        <v/>
      </c>
      <c r="Y123">
        <f>HYPERLINK("https://klasma.github.io/Logging_1290/klagomål/A 22272-2024 FSC-klagomål.docx", "A 22272-2024")</f>
        <v/>
      </c>
      <c r="Z123">
        <f>HYPERLINK("https://klasma.github.io/Logging_1290/klagomålsmail/A 22272-2024 FSC-klagomål mail.docx", "A 22272-2024")</f>
        <v/>
      </c>
      <c r="AA123">
        <f>HYPERLINK("https://klasma.github.io/Logging_1290/tillsyn/A 22272-2024 tillsynsbegäran.docx", "A 22272-2024")</f>
        <v/>
      </c>
      <c r="AB123">
        <f>HYPERLINK("https://klasma.github.io/Logging_1290/tillsynsmail/A 22272-2024 tillsynsbegäran mail.docx", "A 22272-2024")</f>
        <v/>
      </c>
    </row>
    <row r="124" ht="15" customHeight="1">
      <c r="A124" t="inlineStr">
        <is>
          <t>A 50702-2025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46219</v>
      </c>
      <c r="F124" t="inlineStr">
        <is>
          <t>SKÅNE LÄN</t>
        </is>
      </c>
      <c r="G124" t="inlineStr">
        <is>
          <t>KRISTIANSTAD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Guldlockmossa</t>
        </is>
      </c>
      <c r="V124">
        <f>HYPERLINK("https://klasma.github.io/Logging_1290/artfynd/A 50702-2025 artfynd.xlsx", "A 50702-2025")</f>
        <v/>
      </c>
      <c r="W124">
        <f>HYPERLINK("https://klasma.github.io/Logging_1290/kartor/A 50702-2025 karta.png", "A 50702-2025")</f>
        <v/>
      </c>
      <c r="Y124">
        <f>HYPERLINK("https://klasma.github.io/Logging_1290/klagomål/A 50702-2025 FSC-klagomål.docx", "A 50702-2025")</f>
        <v/>
      </c>
      <c r="Z124">
        <f>HYPERLINK("https://klasma.github.io/Logging_1290/klagomålsmail/A 50702-2025 FSC-klagomål mail.docx", "A 50702-2025")</f>
        <v/>
      </c>
      <c r="AA124">
        <f>HYPERLINK("https://klasma.github.io/Logging_1290/tillsyn/A 50702-2025 tillsynsbegäran.docx", "A 50702-2025")</f>
        <v/>
      </c>
      <c r="AB124">
        <f>HYPERLINK("https://klasma.github.io/Logging_1290/tillsynsmail/A 50702-2025 tillsynsbegäran mail.docx", "A 50702-2025")</f>
        <v/>
      </c>
    </row>
    <row r="125" ht="15" customHeight="1">
      <c r="A125" t="inlineStr">
        <is>
          <t>A 34096-2025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45845</v>
      </c>
      <c r="E125" s="1" t="n">
        <v>46219</v>
      </c>
      <c r="F125" t="inlineStr">
        <is>
          <t>SKÅNE LÄN</t>
        </is>
      </c>
      <c r="G125" t="inlineStr">
        <is>
          <t>KRISTIANSTAD</t>
        </is>
      </c>
      <c r="I125" t="n">
        <v>6.5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Dunmossa</t>
        </is>
      </c>
      <c r="V125">
        <f>HYPERLINK("https://klasma.github.io/Logging_1290/artfynd/A 34096-2025 artfynd.xlsx", "A 34096-2025")</f>
        <v/>
      </c>
      <c r="W125">
        <f>HYPERLINK("https://klasma.github.io/Logging_1290/kartor/A 34096-2025 karta.png", "A 34096-2025")</f>
        <v/>
      </c>
      <c r="Y125">
        <f>HYPERLINK("https://klasma.github.io/Logging_1290/klagomål/A 34096-2025 FSC-klagomål.docx", "A 34096-2025")</f>
        <v/>
      </c>
      <c r="Z125">
        <f>HYPERLINK("https://klasma.github.io/Logging_1290/klagomålsmail/A 34096-2025 FSC-klagomål mail.docx", "A 34096-2025")</f>
        <v/>
      </c>
      <c r="AA125">
        <f>HYPERLINK("https://klasma.github.io/Logging_1290/tillsyn/A 34096-2025 tillsynsbegäran.docx", "A 34096-2025")</f>
        <v/>
      </c>
      <c r="AB125">
        <f>HYPERLINK("https://klasma.github.io/Logging_1290/tillsynsmail/A 34096-2025 tillsynsbegäran mail.docx", "A 34096-2025")</f>
        <v/>
      </c>
    </row>
    <row r="126" ht="15" customHeight="1">
      <c r="A126" t="inlineStr">
        <is>
          <t>A 62367-2023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45267</v>
      </c>
      <c r="E126" s="1" t="n">
        <v>46219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Sjötåtel</t>
        </is>
      </c>
      <c r="V126">
        <f>HYPERLINK("https://klasma.github.io/Logging_1290/artfynd/A 62367-2023 artfynd.xlsx", "A 62367-2023")</f>
        <v/>
      </c>
      <c r="W126">
        <f>HYPERLINK("https://klasma.github.io/Logging_1290/kartor/A 62367-2023 karta.png", "A 62367-2023")</f>
        <v/>
      </c>
      <c r="Y126">
        <f>HYPERLINK("https://klasma.github.io/Logging_1290/klagomål/A 62367-2023 FSC-klagomål.docx", "A 62367-2023")</f>
        <v/>
      </c>
      <c r="Z126">
        <f>HYPERLINK("https://klasma.github.io/Logging_1290/klagomålsmail/A 62367-2023 FSC-klagomål mail.docx", "A 62367-2023")</f>
        <v/>
      </c>
      <c r="AA126">
        <f>HYPERLINK("https://klasma.github.io/Logging_1290/tillsyn/A 62367-2023 tillsynsbegäran.docx", "A 62367-2023")</f>
        <v/>
      </c>
      <c r="AB126">
        <f>HYPERLINK("https://klasma.github.io/Logging_1290/tillsynsmail/A 62367-2023 tillsynsbegäran mail.docx", "A 62367-2023")</f>
        <v/>
      </c>
    </row>
    <row r="127" ht="15" customHeight="1">
      <c r="A127" t="inlineStr">
        <is>
          <t>A 4615-2024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46219</v>
      </c>
      <c r="F127" t="inlineStr">
        <is>
          <t>SKÅNE LÄN</t>
        </is>
      </c>
      <c r="G127" t="inlineStr">
        <is>
          <t>KRISTIANSTAD</t>
        </is>
      </c>
      <c r="I127" t="n">
        <v>6.6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Skogslysing</t>
        </is>
      </c>
      <c r="V127">
        <f>HYPERLINK("https://klasma.github.io/Logging_1290/artfynd/A 4615-2024 artfynd.xlsx", "A 4615-2024")</f>
        <v/>
      </c>
      <c r="W127">
        <f>HYPERLINK("https://klasma.github.io/Logging_1290/kartor/A 4615-2024 karta.png", "A 4615-2024")</f>
        <v/>
      </c>
      <c r="Y127">
        <f>HYPERLINK("https://klasma.github.io/Logging_1290/klagomål/A 4615-2024 FSC-klagomål.docx", "A 4615-2024")</f>
        <v/>
      </c>
      <c r="Z127">
        <f>HYPERLINK("https://klasma.github.io/Logging_1290/klagomålsmail/A 4615-2024 FSC-klagomål mail.docx", "A 4615-2024")</f>
        <v/>
      </c>
      <c r="AA127">
        <f>HYPERLINK("https://klasma.github.io/Logging_1290/tillsyn/A 4615-2024 tillsynsbegäran.docx", "A 4615-2024")</f>
        <v/>
      </c>
      <c r="AB127">
        <f>HYPERLINK("https://klasma.github.io/Logging_1290/tillsynsmail/A 4615-2024 tillsynsbegäran mail.docx", "A 4615-2024")</f>
        <v/>
      </c>
    </row>
    <row r="128" ht="15" customHeight="1">
      <c r="A128" t="inlineStr">
        <is>
          <t>A 8290-2024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46219</v>
      </c>
      <c r="F128" t="inlineStr">
        <is>
          <t>SKÅNE LÄN</t>
        </is>
      </c>
      <c r="G128" t="inlineStr">
        <is>
          <t>KRISTIANSTAD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Lömsk flugsvamp</t>
        </is>
      </c>
      <c r="V128">
        <f>HYPERLINK("https://klasma.github.io/Logging_1290/artfynd/A 8290-2024 artfynd.xlsx", "A 8290-2024")</f>
        <v/>
      </c>
      <c r="W128">
        <f>HYPERLINK("https://klasma.github.io/Logging_1290/kartor/A 8290-2024 karta.png", "A 8290-2024")</f>
        <v/>
      </c>
      <c r="Y128">
        <f>HYPERLINK("https://klasma.github.io/Logging_1290/klagomål/A 8290-2024 FSC-klagomål.docx", "A 8290-2024")</f>
        <v/>
      </c>
      <c r="Z128">
        <f>HYPERLINK("https://klasma.github.io/Logging_1290/klagomålsmail/A 8290-2024 FSC-klagomål mail.docx", "A 8290-2024")</f>
        <v/>
      </c>
      <c r="AA128">
        <f>HYPERLINK("https://klasma.github.io/Logging_1290/tillsyn/A 8290-2024 tillsynsbegäran.docx", "A 8290-2024")</f>
        <v/>
      </c>
      <c r="AB128">
        <f>HYPERLINK("https://klasma.github.io/Logging_1290/tillsynsmail/A 8290-2024 tillsynsbegäran mail.docx", "A 8290-2024")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46219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s="2" t="inlineStr">
        <is>
          <t>Backsippa</t>
        </is>
      </c>
      <c r="V129">
        <f>HYPERLINK("https://klasma.github.io/Logging_1290/artfynd/A 1188-2024 artfynd.xlsx", "A 1188-2024")</f>
        <v/>
      </c>
      <c r="W129">
        <f>HYPERLINK("https://klasma.github.io/Logging_1290/kartor/A 1188-2024 karta.png", "A 1188-2024")</f>
        <v/>
      </c>
      <c r="Y129">
        <f>HYPERLINK("https://klasma.github.io/Logging_1290/klagomål/A 1188-2024 FSC-klagomål.docx", "A 1188-2024")</f>
        <v/>
      </c>
      <c r="Z129">
        <f>HYPERLINK("https://klasma.github.io/Logging_1290/klagomålsmail/A 1188-2024 FSC-klagomål mail.docx", "A 1188-2024")</f>
        <v/>
      </c>
      <c r="AA129">
        <f>HYPERLINK("https://klasma.github.io/Logging_1290/tillsyn/A 1188-2024 tillsynsbegäran.docx", "A 1188-2024")</f>
        <v/>
      </c>
      <c r="AB129">
        <f>HYPERLINK("https://klasma.github.io/Logging_1290/tillsynsmail/A 1188-2024 tillsynsbegäran mail.docx", "A 1188-2024")</f>
        <v/>
      </c>
    </row>
    <row r="130" ht="15" customHeight="1">
      <c r="A130" t="inlineStr">
        <is>
          <t>A 30925-2022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46219</v>
      </c>
      <c r="F130" t="inlineStr">
        <is>
          <t>SKÅNE LÄN</t>
        </is>
      </c>
      <c r="G130" t="inlineStr">
        <is>
          <t>KRISTIANSTAD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Sjötåtel</t>
        </is>
      </c>
      <c r="V130">
        <f>HYPERLINK("https://klasma.github.io/Logging_1290/artfynd/A 30925-2022 artfynd.xlsx", "A 30925-2022")</f>
        <v/>
      </c>
      <c r="W130">
        <f>HYPERLINK("https://klasma.github.io/Logging_1290/kartor/A 30925-2022 karta.png", "A 30925-2022")</f>
        <v/>
      </c>
      <c r="Y130">
        <f>HYPERLINK("https://klasma.github.io/Logging_1290/klagomål/A 30925-2022 FSC-klagomål.docx", "A 30925-2022")</f>
        <v/>
      </c>
      <c r="Z130">
        <f>HYPERLINK("https://klasma.github.io/Logging_1290/klagomålsmail/A 30925-2022 FSC-klagomål mail.docx", "A 30925-2022")</f>
        <v/>
      </c>
      <c r="AA130">
        <f>HYPERLINK("https://klasma.github.io/Logging_1290/tillsyn/A 30925-2022 tillsynsbegäran.docx", "A 30925-2022")</f>
        <v/>
      </c>
      <c r="AB130">
        <f>HYPERLINK("https://klasma.github.io/Logging_1290/tillsynsmail/A 30925-2022 tillsynsbegäran mail.docx", "A 30925-2022")</f>
        <v/>
      </c>
    </row>
    <row r="131" ht="15" customHeight="1">
      <c r="A131" t="inlineStr">
        <is>
          <t>A 16079-2026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46219</v>
      </c>
      <c r="F131" t="inlineStr">
        <is>
          <t>SKÅNE LÄN</t>
        </is>
      </c>
      <c r="G131" t="inlineStr">
        <is>
          <t>KRISTIANSTAD</t>
        </is>
      </c>
      <c r="I131" t="n">
        <v>13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s="2" t="inlineStr">
        <is>
          <t>Småvänderot</t>
        </is>
      </c>
      <c r="V131">
        <f>HYPERLINK("https://klasma.github.io/Logging_1290/artfynd/A 16079-2026 artfynd.xlsx", "A 16079-2026")</f>
        <v/>
      </c>
      <c r="W131">
        <f>HYPERLINK("https://klasma.github.io/Logging_1290/kartor/A 16079-2026 karta.png", "A 16079-2026")</f>
        <v/>
      </c>
      <c r="Y131">
        <f>HYPERLINK("https://klasma.github.io/Logging_1290/klagomål/A 16079-2026 FSC-klagomål.docx", "A 16079-2026")</f>
        <v/>
      </c>
      <c r="Z131">
        <f>HYPERLINK("https://klasma.github.io/Logging_1290/klagomålsmail/A 16079-2026 FSC-klagomål mail.docx", "A 16079-2026")</f>
        <v/>
      </c>
      <c r="AA131">
        <f>HYPERLINK("https://klasma.github.io/Logging_1290/tillsyn/A 16079-2026 tillsynsbegäran.docx", "A 16079-2026")</f>
        <v/>
      </c>
      <c r="AB131">
        <f>HYPERLINK("https://klasma.github.io/Logging_1290/tillsynsmail/A 16079-2026 tillsynsbegäran mail.docx", "A 16079-2026")</f>
        <v/>
      </c>
    </row>
    <row r="132" ht="15" customHeight="1">
      <c r="A132" t="inlineStr">
        <is>
          <t>A 27234-2025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46219</v>
      </c>
      <c r="F132" t="inlineStr">
        <is>
          <t>SKÅNE LÄN</t>
        </is>
      </c>
      <c r="G132" t="inlineStr">
        <is>
          <t>KRISTIANSTAD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Småvänderot</t>
        </is>
      </c>
      <c r="V132">
        <f>HYPERLINK("https://klasma.github.io/Logging_1290/artfynd/A 27234-2025 artfynd.xlsx", "A 27234-2025")</f>
        <v/>
      </c>
      <c r="W132">
        <f>HYPERLINK("https://klasma.github.io/Logging_1290/kartor/A 27234-2025 karta.png", "A 27234-2025")</f>
        <v/>
      </c>
      <c r="Y132">
        <f>HYPERLINK("https://klasma.github.io/Logging_1290/klagomål/A 27234-2025 FSC-klagomål.docx", "A 27234-2025")</f>
        <v/>
      </c>
      <c r="Z132">
        <f>HYPERLINK("https://klasma.github.io/Logging_1290/klagomålsmail/A 27234-2025 FSC-klagomål mail.docx", "A 27234-2025")</f>
        <v/>
      </c>
      <c r="AA132">
        <f>HYPERLINK("https://klasma.github.io/Logging_1290/tillsyn/A 27234-2025 tillsynsbegäran.docx", "A 27234-2025")</f>
        <v/>
      </c>
      <c r="AB132">
        <f>HYPERLINK("https://klasma.github.io/Logging_1290/tillsynsmail/A 27234-2025 tillsynsbegäran mail.docx", "A 27234-2025")</f>
        <v/>
      </c>
    </row>
    <row r="133" ht="15" customHeight="1">
      <c r="A133" t="inlineStr">
        <is>
          <t>A 30857-2023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46219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s="2" t="inlineStr">
        <is>
          <t>Sommarfibbla</t>
        </is>
      </c>
      <c r="V133">
        <f>HYPERLINK("https://klasma.github.io/Logging_1290/artfynd/A 30857-2023 artfynd.xlsx", "A 30857-2023")</f>
        <v/>
      </c>
      <c r="W133">
        <f>HYPERLINK("https://klasma.github.io/Logging_1290/kartor/A 30857-2023 karta.png", "A 30857-2023")</f>
        <v/>
      </c>
      <c r="Y133">
        <f>HYPERLINK("https://klasma.github.io/Logging_1290/klagomål/A 30857-2023 FSC-klagomål.docx", "A 30857-2023")</f>
        <v/>
      </c>
      <c r="Z133">
        <f>HYPERLINK("https://klasma.github.io/Logging_1290/klagomålsmail/A 30857-2023 FSC-klagomål mail.docx", "A 30857-2023")</f>
        <v/>
      </c>
      <c r="AA133">
        <f>HYPERLINK("https://klasma.github.io/Logging_1290/tillsyn/A 30857-2023 tillsynsbegäran.docx", "A 30857-2023")</f>
        <v/>
      </c>
      <c r="AB133">
        <f>HYPERLINK("https://klasma.github.io/Logging_1290/tillsynsmail/A 30857-2023 tillsynsbegäran mail.docx", "A 30857-2023")</f>
        <v/>
      </c>
    </row>
    <row r="134" ht="15" customHeight="1">
      <c r="A134" t="inlineStr">
        <is>
          <t>A 19704-2026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46219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s="2" t="inlineStr">
        <is>
          <t>Desmeknopp</t>
        </is>
      </c>
      <c r="V134">
        <f>HYPERLINK("https://klasma.github.io/Logging_1290/artfynd/A 19704-2026 artfynd.xlsx", "A 19704-2026")</f>
        <v/>
      </c>
      <c r="W134">
        <f>HYPERLINK("https://klasma.github.io/Logging_1290/kartor/A 19704-2026 karta.png", "A 19704-2026")</f>
        <v/>
      </c>
      <c r="Y134">
        <f>HYPERLINK("https://klasma.github.io/Logging_1290/klagomål/A 19704-2026 FSC-klagomål.docx", "A 19704-2026")</f>
        <v/>
      </c>
      <c r="Z134">
        <f>HYPERLINK("https://klasma.github.io/Logging_1290/klagomålsmail/A 19704-2026 FSC-klagomål mail.docx", "A 19704-2026")</f>
        <v/>
      </c>
      <c r="AA134">
        <f>HYPERLINK("https://klasma.github.io/Logging_1290/tillsyn/A 19704-2026 tillsynsbegäran.docx", "A 19704-2026")</f>
        <v/>
      </c>
      <c r="AB134">
        <f>HYPERLINK("https://klasma.github.io/Logging_1290/tillsynsmail/A 19704-2026 tillsynsbegäran mail.docx", "A 19704-2026")</f>
        <v/>
      </c>
    </row>
    <row r="135" ht="15" customHeight="1">
      <c r="A135" t="inlineStr">
        <is>
          <t>A 30918-2022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44767</v>
      </c>
      <c r="E135" s="1" t="n">
        <v>46219</v>
      </c>
      <c r="F135" t="inlineStr">
        <is>
          <t>SKÅNE LÄN</t>
        </is>
      </c>
      <c r="G135" t="inlineStr">
        <is>
          <t>KRISTIANSTAD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s="2" t="inlineStr">
        <is>
          <t>Sjötåtel</t>
        </is>
      </c>
      <c r="V135">
        <f>HYPERLINK("https://klasma.github.io/Logging_1290/artfynd/A 30918-2022 artfynd.xlsx", "A 30918-2022")</f>
        <v/>
      </c>
      <c r="W135">
        <f>HYPERLINK("https://klasma.github.io/Logging_1290/kartor/A 30918-2022 karta.png", "A 30918-2022")</f>
        <v/>
      </c>
      <c r="Y135">
        <f>HYPERLINK("https://klasma.github.io/Logging_1290/klagomål/A 30918-2022 FSC-klagomål.docx", "A 30918-2022")</f>
        <v/>
      </c>
      <c r="Z135">
        <f>HYPERLINK("https://klasma.github.io/Logging_1290/klagomålsmail/A 30918-2022 FSC-klagomål mail.docx", "A 30918-2022")</f>
        <v/>
      </c>
      <c r="AA135">
        <f>HYPERLINK("https://klasma.github.io/Logging_1290/tillsyn/A 30918-2022 tillsynsbegäran.docx", "A 30918-2022")</f>
        <v/>
      </c>
      <c r="AB135">
        <f>HYPERLINK("https://klasma.github.io/Logging_1290/tillsynsmail/A 30918-2022 tillsynsbegäran mail.docx", "A 30918-2022")</f>
        <v/>
      </c>
    </row>
    <row r="136" ht="15" customHeight="1">
      <c r="A136" t="inlineStr">
        <is>
          <t>A 32219-2025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45835</v>
      </c>
      <c r="E136" s="1" t="n">
        <v>46219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Ägretthäger</t>
        </is>
      </c>
      <c r="V136">
        <f>HYPERLINK("https://klasma.github.io/Logging_1290/artfynd/A 32219-2025 artfynd.xlsx", "A 32219-2025")</f>
        <v/>
      </c>
      <c r="W136">
        <f>HYPERLINK("https://klasma.github.io/Logging_1290/kartor/A 32219-2025 karta.png", "A 32219-2025")</f>
        <v/>
      </c>
      <c r="Y136">
        <f>HYPERLINK("https://klasma.github.io/Logging_1290/klagomål/A 32219-2025 FSC-klagomål.docx", "A 32219-2025")</f>
        <v/>
      </c>
      <c r="Z136">
        <f>HYPERLINK("https://klasma.github.io/Logging_1290/klagomålsmail/A 32219-2025 FSC-klagomål mail.docx", "A 32219-2025")</f>
        <v/>
      </c>
      <c r="AA136">
        <f>HYPERLINK("https://klasma.github.io/Logging_1290/tillsyn/A 32219-2025 tillsynsbegäran.docx", "A 32219-2025")</f>
        <v/>
      </c>
      <c r="AB136">
        <f>HYPERLINK("https://klasma.github.io/Logging_1290/tillsynsmail/A 32219-2025 tillsynsbegäran mail.docx", "A 32219-2025")</f>
        <v/>
      </c>
      <c r="AC136">
        <f>HYPERLINK("https://klasma.github.io/Logging_1290/fåglar/A 32219-2025 prioriterade fågelarter.docx", "A 32219-2025")</f>
        <v/>
      </c>
    </row>
    <row r="137" ht="15" customHeight="1">
      <c r="A137" t="inlineStr">
        <is>
          <t>A 33883-2025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46219</v>
      </c>
      <c r="F137" t="inlineStr">
        <is>
          <t>SKÅNE LÄN</t>
        </is>
      </c>
      <c r="G137" t="inlineStr">
        <is>
          <t>KRISTIANSTAD</t>
        </is>
      </c>
      <c r="I137" t="n">
        <v>2.3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Stor häxört</t>
        </is>
      </c>
      <c r="V137">
        <f>HYPERLINK("https://klasma.github.io/Logging_1290/artfynd/A 33883-2025 artfynd.xlsx", "A 33883-2025")</f>
        <v/>
      </c>
      <c r="W137">
        <f>HYPERLINK("https://klasma.github.io/Logging_1290/kartor/A 33883-2025 karta.png", "A 33883-2025")</f>
        <v/>
      </c>
      <c r="Y137">
        <f>HYPERLINK("https://klasma.github.io/Logging_1290/klagomål/A 33883-2025 FSC-klagomål.docx", "A 33883-2025")</f>
        <v/>
      </c>
      <c r="Z137">
        <f>HYPERLINK("https://klasma.github.io/Logging_1290/klagomålsmail/A 33883-2025 FSC-klagomål mail.docx", "A 33883-2025")</f>
        <v/>
      </c>
      <c r="AA137">
        <f>HYPERLINK("https://klasma.github.io/Logging_1290/tillsyn/A 33883-2025 tillsynsbegäran.docx", "A 33883-2025")</f>
        <v/>
      </c>
      <c r="AB137">
        <f>HYPERLINK("https://klasma.github.io/Logging_1290/tillsynsmail/A 33883-2025 tillsynsbegäran mail.docx", "A 33883-2025")</f>
        <v/>
      </c>
    </row>
    <row r="138" ht="15" customHeight="1">
      <c r="A138" t="inlineStr">
        <is>
          <t>A 16783-2025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46219</v>
      </c>
      <c r="F138" t="inlineStr">
        <is>
          <t>SKÅNE LÄN</t>
        </is>
      </c>
      <c r="G138" t="inlineStr">
        <is>
          <t>KRISTIANSTAD</t>
        </is>
      </c>
      <c r="I138" t="n">
        <v>20.2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Öring</t>
        </is>
      </c>
      <c r="V138">
        <f>HYPERLINK("https://klasma.github.io/Logging_1290/artfynd/A 16783-2025 artfynd.xlsx", "A 16783-2025")</f>
        <v/>
      </c>
      <c r="W138">
        <f>HYPERLINK("https://klasma.github.io/Logging_1290/kartor/A 16783-2025 karta.png", "A 16783-2025")</f>
        <v/>
      </c>
      <c r="Y138">
        <f>HYPERLINK("https://klasma.github.io/Logging_1290/klagomål/A 16783-2025 FSC-klagomål.docx", "A 16783-2025")</f>
        <v/>
      </c>
      <c r="Z138">
        <f>HYPERLINK("https://klasma.github.io/Logging_1290/klagomålsmail/A 16783-2025 FSC-klagomål mail.docx", "A 16783-2025")</f>
        <v/>
      </c>
      <c r="AA138">
        <f>HYPERLINK("https://klasma.github.io/Logging_1290/tillsyn/A 16783-2025 tillsynsbegäran.docx", "A 16783-2025")</f>
        <v/>
      </c>
      <c r="AB138">
        <f>HYPERLINK("https://klasma.github.io/Logging_1290/tillsynsmail/A 16783-2025 tillsynsbegäran mail.docx", "A 16783-2025")</f>
        <v/>
      </c>
    </row>
    <row r="139" ht="15" customHeight="1">
      <c r="A139" t="inlineStr">
        <is>
          <t>A 32101-2024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46219</v>
      </c>
      <c r="F139" t="inlineStr">
        <is>
          <t>SKÅNE LÄN</t>
        </is>
      </c>
      <c r="G139" t="inlineStr">
        <is>
          <t>KRISTIANSTAD</t>
        </is>
      </c>
      <c r="I139" t="n">
        <v>6.6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Skogsknipprot</t>
        </is>
      </c>
      <c r="V139">
        <f>HYPERLINK("https://klasma.github.io/Logging_1290/artfynd/A 32101-2024 artfynd.xlsx", "A 32101-2024")</f>
        <v/>
      </c>
      <c r="W139">
        <f>HYPERLINK("https://klasma.github.io/Logging_1290/kartor/A 32101-2024 karta.png", "A 32101-2024")</f>
        <v/>
      </c>
      <c r="Y139">
        <f>HYPERLINK("https://klasma.github.io/Logging_1290/klagomål/A 32101-2024 FSC-klagomål.docx", "A 32101-2024")</f>
        <v/>
      </c>
      <c r="Z139">
        <f>HYPERLINK("https://klasma.github.io/Logging_1290/klagomålsmail/A 32101-2024 FSC-klagomål mail.docx", "A 32101-2024")</f>
        <v/>
      </c>
      <c r="AA139">
        <f>HYPERLINK("https://klasma.github.io/Logging_1290/tillsyn/A 32101-2024 tillsynsbegäran.docx", "A 32101-2024")</f>
        <v/>
      </c>
      <c r="AB139">
        <f>HYPERLINK("https://klasma.github.io/Logging_1290/tillsynsmail/A 32101-2024 tillsynsbegäran mail.docx", "A 32101-2024")</f>
        <v/>
      </c>
    </row>
    <row r="140" ht="15" customHeight="1">
      <c r="A140" t="inlineStr">
        <is>
          <t>A 27462-2026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46219</v>
      </c>
      <c r="F140" t="inlineStr">
        <is>
          <t>SKÅNE LÄN</t>
        </is>
      </c>
      <c r="G140" t="inlineStr">
        <is>
          <t>KRISTIANSTAD</t>
        </is>
      </c>
      <c r="I140" t="n">
        <v>9.1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Skuggsprötmossa</t>
        </is>
      </c>
      <c r="V140">
        <f>HYPERLINK("https://klasma.github.io/Logging_1290/artfynd/A 27462-2026 artfynd.xlsx", "A 27462-2026")</f>
        <v/>
      </c>
      <c r="W140">
        <f>HYPERLINK("https://klasma.github.io/Logging_1290/kartor/A 27462-2026 karta.png", "A 27462-2026")</f>
        <v/>
      </c>
      <c r="Y140">
        <f>HYPERLINK("https://klasma.github.io/Logging_1290/klagomål/A 27462-2026 FSC-klagomål.docx", "A 27462-2026")</f>
        <v/>
      </c>
      <c r="Z140">
        <f>HYPERLINK("https://klasma.github.io/Logging_1290/klagomålsmail/A 27462-2026 FSC-klagomål mail.docx", "A 27462-2026")</f>
        <v/>
      </c>
      <c r="AA140">
        <f>HYPERLINK("https://klasma.github.io/Logging_1290/tillsyn/A 27462-2026 tillsynsbegäran.docx", "A 27462-2026")</f>
        <v/>
      </c>
      <c r="AB140">
        <f>HYPERLINK("https://klasma.github.io/Logging_1290/tillsynsmail/A 27462-2026 tillsynsbegäran mail.docx", "A 27462-2026")</f>
        <v/>
      </c>
    </row>
    <row r="141" ht="15" customHeight="1">
      <c r="A141" t="inlineStr">
        <is>
          <t>A 27606-2026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46219</v>
      </c>
      <c r="F141" t="inlineStr">
        <is>
          <t>SKÅNE LÄN</t>
        </is>
      </c>
      <c r="G141" t="inlineStr">
        <is>
          <t>KRISTIANSTAD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s="2" t="inlineStr">
        <is>
          <t>Flodpärlmussla</t>
        </is>
      </c>
      <c r="V141">
        <f>HYPERLINK("https://klasma.github.io/Logging_1290/artfynd/A 27606-2026 artfynd.xlsx", "A 27606-2026")</f>
        <v/>
      </c>
      <c r="W141">
        <f>HYPERLINK("https://klasma.github.io/Logging_1290/kartor/A 27606-2026 karta.png", "A 27606-2026")</f>
        <v/>
      </c>
      <c r="Y141">
        <f>HYPERLINK("https://klasma.github.io/Logging_1290/klagomål/A 27606-2026 FSC-klagomål.docx", "A 27606-2026")</f>
        <v/>
      </c>
      <c r="Z141">
        <f>HYPERLINK("https://klasma.github.io/Logging_1290/klagomålsmail/A 27606-2026 FSC-klagomål mail.docx", "A 27606-2026")</f>
        <v/>
      </c>
      <c r="AA141">
        <f>HYPERLINK("https://klasma.github.io/Logging_1290/tillsyn/A 27606-2026 tillsynsbegäran.docx", "A 27606-2026")</f>
        <v/>
      </c>
      <c r="AB141">
        <f>HYPERLINK("https://klasma.github.io/Logging_1290/tillsynsmail/A 27606-2026 tillsynsbegäran mail.docx", "A 27606-2026")</f>
        <v/>
      </c>
    </row>
    <row r="142" ht="15" customHeight="1">
      <c r="A142" t="inlineStr">
        <is>
          <t>A 50699-2025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46219</v>
      </c>
      <c r="F142" t="inlineStr">
        <is>
          <t>SKÅNE LÄN</t>
        </is>
      </c>
      <c r="G142" t="inlineStr">
        <is>
          <t>KRISTIANSTAD</t>
        </is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2</v>
      </c>
      <c r="U142" s="2" t="inlineStr">
        <is>
          <t>Guldlockmossa</t>
        </is>
      </c>
      <c r="V142">
        <f>HYPERLINK("https://klasma.github.io/Logging_1290/artfynd/A 50699-2025 artfynd.xlsx", "A 50699-2025")</f>
        <v/>
      </c>
      <c r="W142">
        <f>HYPERLINK("https://klasma.github.io/Logging_1290/kartor/A 50699-2025 karta.png", "A 50699-2025")</f>
        <v/>
      </c>
      <c r="Y142">
        <f>HYPERLINK("https://klasma.github.io/Logging_1290/klagomål/A 50699-2025 FSC-klagomål.docx", "A 50699-2025")</f>
        <v/>
      </c>
      <c r="Z142">
        <f>HYPERLINK("https://klasma.github.io/Logging_1290/klagomålsmail/A 50699-2025 FSC-klagomål mail.docx", "A 50699-2025")</f>
        <v/>
      </c>
      <c r="AA142">
        <f>HYPERLINK("https://klasma.github.io/Logging_1290/tillsyn/A 50699-2025 tillsynsbegäran.docx", "A 50699-2025")</f>
        <v/>
      </c>
      <c r="AB142">
        <f>HYPERLINK("https://klasma.github.io/Logging_1290/tillsynsmail/A 50699-2025 tillsynsbegäran mail.docx", "A 50699-2025")</f>
        <v/>
      </c>
    </row>
    <row r="143" ht="15" customHeight="1">
      <c r="A143" t="inlineStr">
        <is>
          <t>A 21835-2026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46219</v>
      </c>
      <c r="F143" t="inlineStr">
        <is>
          <t>SKÅNE LÄN</t>
        </is>
      </c>
      <c r="G143" t="inlineStr">
        <is>
          <t>KRISTIANSTAD</t>
        </is>
      </c>
      <c r="I143" t="n">
        <v>7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Skogsbräsma</t>
        </is>
      </c>
      <c r="V143">
        <f>HYPERLINK("https://klasma.github.io/Logging_1290/artfynd/A 21835-2026 artfynd.xlsx", "A 21835-2026")</f>
        <v/>
      </c>
      <c r="W143">
        <f>HYPERLINK("https://klasma.github.io/Logging_1290/kartor/A 21835-2026 karta.png", "A 21835-2026")</f>
        <v/>
      </c>
      <c r="Y143">
        <f>HYPERLINK("https://klasma.github.io/Logging_1290/klagomål/A 21835-2026 FSC-klagomål.docx", "A 21835-2026")</f>
        <v/>
      </c>
      <c r="Z143">
        <f>HYPERLINK("https://klasma.github.io/Logging_1290/klagomålsmail/A 21835-2026 FSC-klagomål mail.docx", "A 21835-2026")</f>
        <v/>
      </c>
      <c r="AA143">
        <f>HYPERLINK("https://klasma.github.io/Logging_1290/tillsyn/A 21835-2026 tillsynsbegäran.docx", "A 21835-2026")</f>
        <v/>
      </c>
      <c r="AB143">
        <f>HYPERLINK("https://klasma.github.io/Logging_1290/tillsynsmail/A 21835-2026 tillsynsbegäran mail.docx", "A 21835-2026")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46219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s="2" t="inlineStr">
        <is>
          <t>Skogsalm</t>
        </is>
      </c>
      <c r="V144">
        <f>HYPERLINK("https://klasma.github.io/Logging_1290/artfynd/S 4512-2023 artfynd.xlsx", "S 4512-2023")</f>
        <v/>
      </c>
      <c r="W144">
        <f>HYPERLINK("https://klasma.github.io/Logging_1290/kartor/S 4512-2023 karta.png", "S 4512-2023")</f>
        <v/>
      </c>
      <c r="Y144">
        <f>HYPERLINK("https://klasma.github.io/Logging_1290/klagomål/S 4512-2023 FSC-klagomål.docx", "S 4512-2023")</f>
        <v/>
      </c>
      <c r="Z144">
        <f>HYPERLINK("https://klasma.github.io/Logging_1290/klagomålsmail/S 4512-2023 FSC-klagomål mail.docx", "S 4512-2023")</f>
        <v/>
      </c>
      <c r="AA144">
        <f>HYPERLINK("https://klasma.github.io/Logging_1290/tillsyn/S 4512-2023 tillsynsbegäran.docx", "S 4512-2023")</f>
        <v/>
      </c>
      <c r="AB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46219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s="2" t="inlineStr">
        <is>
          <t>Småvänderot</t>
        </is>
      </c>
      <c r="V145">
        <f>HYPERLINK("https://klasma.github.io/Logging_1290/artfynd/S 53-2024 artfynd.xlsx", "S 53-2024")</f>
        <v/>
      </c>
      <c r="W145">
        <f>HYPERLINK("https://klasma.github.io/Logging_1290/kartor/S 53-2024 karta.png", "S 53-2024")</f>
        <v/>
      </c>
      <c r="Y145">
        <f>HYPERLINK("https://klasma.github.io/Logging_1290/klagomål/S 53-2024 FSC-klagomål.docx", "S 53-2024")</f>
        <v/>
      </c>
      <c r="Z145">
        <f>HYPERLINK("https://klasma.github.io/Logging_1290/klagomålsmail/S 53-2024 FSC-klagomål mail.docx", "S 53-2024")</f>
        <v/>
      </c>
      <c r="AA145">
        <f>HYPERLINK("https://klasma.github.io/Logging_1290/tillsyn/S 53-2024 tillsynsbegäran.docx", "S 53-2024")</f>
        <v/>
      </c>
      <c r="AB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46219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Knölspindel</t>
        </is>
      </c>
      <c r="V146">
        <f>HYPERLINK("https://klasma.github.io/Logging_1290/artfynd/S 2349-2024 artfynd.xlsx", "S 2349-2024")</f>
        <v/>
      </c>
      <c r="W146">
        <f>HYPERLINK("https://klasma.github.io/Logging_1290/kartor/S 2349-2024 karta.png", "S 2349-2024")</f>
        <v/>
      </c>
      <c r="Y146">
        <f>HYPERLINK("https://klasma.github.io/Logging_1290/klagomål/S 2349-2024 FSC-klagomål.docx", "S 2349-2024")</f>
        <v/>
      </c>
      <c r="Z146">
        <f>HYPERLINK("https://klasma.github.io/Logging_1290/klagomålsmail/S 2349-2024 FSC-klagomål mail.docx", "S 2349-2024")</f>
        <v/>
      </c>
      <c r="AA146">
        <f>HYPERLINK("https://klasma.github.io/Logging_1290/tillsyn/S 2349-2024 tillsynsbegäran.docx", "S 2349-2024")</f>
        <v/>
      </c>
      <c r="AB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46219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Jättesvampmal</t>
        </is>
      </c>
      <c r="V147">
        <f>HYPERLINK("https://klasma.github.io/Logging_1290/artfynd/S 5537-2021 artfynd.xlsx", "S 5537-2021")</f>
        <v/>
      </c>
      <c r="W147">
        <f>HYPERLINK("https://klasma.github.io/Logging_1290/kartor/S 5537-2021 karta.png", "S 5537-2021")</f>
        <v/>
      </c>
      <c r="Y147">
        <f>HYPERLINK("https://klasma.github.io/Logging_1290/klagomål/S 5537-2021 FSC-klagomål.docx", "S 5537-2021")</f>
        <v/>
      </c>
      <c r="Z147">
        <f>HYPERLINK("https://klasma.github.io/Logging_1290/klagomålsmail/S 5537-2021 FSC-klagomål mail.docx", "S 5537-2021")</f>
        <v/>
      </c>
      <c r="AA147">
        <f>HYPERLINK("https://klasma.github.io/Logging_1290/tillsyn/S 5537-2021 tillsynsbegäran.docx", "S 5537-2021")</f>
        <v/>
      </c>
      <c r="AB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46219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Skogsknipprot</t>
        </is>
      </c>
      <c r="V148">
        <f>HYPERLINK("https://klasma.github.io/Logging_1290/artfynd/S 3606-2024 artfynd.xlsx", "S 3606-2024")</f>
        <v/>
      </c>
      <c r="W148">
        <f>HYPERLINK("https://klasma.github.io/Logging_1290/kartor/S 3606-2024 karta.png", "S 3606-2024")</f>
        <v/>
      </c>
      <c r="Y148">
        <f>HYPERLINK("https://klasma.github.io/Logging_1290/klagomål/S 3606-2024 FSC-klagomål.docx", "S 3606-2024")</f>
        <v/>
      </c>
      <c r="Z148">
        <f>HYPERLINK("https://klasma.github.io/Logging_1290/klagomålsmail/S 3606-2024 FSC-klagomål mail.docx", "S 3606-2024")</f>
        <v/>
      </c>
      <c r="AA148">
        <f>HYPERLINK("https://klasma.github.io/Logging_1290/tillsyn/S 3606-2024 tillsynsbegäran.docx", "S 3606-2024")</f>
        <v/>
      </c>
      <c r="AB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46219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s="2" t="inlineStr">
        <is>
          <t>Småvänderot</t>
        </is>
      </c>
      <c r="V149">
        <f>HYPERLINK("https://klasma.github.io/Logging_1290/artfynd/S 4118-2024 artfynd.xlsx", "S 4118-2024")</f>
        <v/>
      </c>
      <c r="W149">
        <f>HYPERLINK("https://klasma.github.io/Logging_1290/kartor/S 4118-2024 karta.png", "S 4118-2024")</f>
        <v/>
      </c>
      <c r="Y149">
        <f>HYPERLINK("https://klasma.github.io/Logging_1290/klagomål/S 4118-2024 FSC-klagomål.docx", "S 4118-2024")</f>
        <v/>
      </c>
      <c r="Z149">
        <f>HYPERLINK("https://klasma.github.io/Logging_1290/klagomålsmail/S 4118-2024 FSC-klagomål mail.docx", "S 4118-2024")</f>
        <v/>
      </c>
      <c r="AA149">
        <f>HYPERLINK("https://klasma.github.io/Logging_1290/tillsyn/S 4118-2024 tillsynsbegäran.docx", "S 4118-2024")</f>
        <v/>
      </c>
      <c r="AB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46219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Platt fjädermossa</t>
        </is>
      </c>
      <c r="V150">
        <f>HYPERLINK("https://klasma.github.io/Logging_1290/artfynd/S 906-2025 artfynd.xlsx", "S 906-2025")</f>
        <v/>
      </c>
      <c r="W150">
        <f>HYPERLINK("https://klasma.github.io/Logging_1290/kartor/S 906-2025 karta.png", "S 906-2025")</f>
        <v/>
      </c>
      <c r="Y150">
        <f>HYPERLINK("https://klasma.github.io/Logging_1290/klagomål/S 906-2025 FSC-klagomål.docx", "S 906-2025")</f>
        <v/>
      </c>
      <c r="Z150">
        <f>HYPERLINK("https://klasma.github.io/Logging_1290/klagomålsmail/S 906-2025 FSC-klagomål mail.docx", "S 906-2025")</f>
        <v/>
      </c>
      <c r="AA150">
        <f>HYPERLINK("https://klasma.github.io/Logging_1290/tillsyn/S 906-2025 tillsynsbegäran.docx", "S 906-2025")</f>
        <v/>
      </c>
      <c r="AB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46219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Brandticka</t>
        </is>
      </c>
      <c r="V151">
        <f>HYPERLINK("https://klasma.github.io/Logging_1290/artfynd/S 303-2026 artfynd.xlsx", "S 303-2026")</f>
        <v/>
      </c>
      <c r="W151">
        <f>HYPERLINK("https://klasma.github.io/Logging_1290/kartor/S 303-2026 karta.png", "S 303-2026")</f>
        <v/>
      </c>
      <c r="Y151">
        <f>HYPERLINK("https://klasma.github.io/Logging_1290/klagomål/S 303-2026 FSC-klagomål.docx", "S 303-2026")</f>
        <v/>
      </c>
      <c r="Z151">
        <f>HYPERLINK("https://klasma.github.io/Logging_1290/klagomålsmail/S 303-2026 FSC-klagomål mail.docx", "S 303-2026")</f>
        <v/>
      </c>
      <c r="AA151">
        <f>HYPERLINK("https://klasma.github.io/Logging_1290/tillsyn/S 303-2026 tillsynsbegäran.docx", "S 303-2026")</f>
        <v/>
      </c>
      <c r="AB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46219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46219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46219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43868-2022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46219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46219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53258-2021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46219</v>
      </c>
      <c r="F157" t="inlineStr">
        <is>
          <t>SKÅNE LÄN</t>
        </is>
      </c>
      <c r="G157" t="inlineStr">
        <is>
          <t>KRISTIANSTAD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46219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46219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46219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46219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16588-2022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46219</v>
      </c>
      <c r="F162" t="inlineStr">
        <is>
          <t>SKÅNE LÄN</t>
        </is>
      </c>
      <c r="G162" t="inlineStr">
        <is>
          <t>KRISTIANSTAD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44705</v>
      </c>
      <c r="E163" s="1" t="n">
        <v>46219</v>
      </c>
      <c r="F163" t="inlineStr">
        <is>
          <t>SKÅNE LÄN</t>
        </is>
      </c>
      <c r="G163" t="inlineStr">
        <is>
          <t>KRISTIANSTAD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74507-2021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44560</v>
      </c>
      <c r="E164" s="1" t="n">
        <v>46219</v>
      </c>
      <c r="F164" t="inlineStr">
        <is>
          <t>SKÅNE LÄN</t>
        </is>
      </c>
      <c r="G164" t="inlineStr">
        <is>
          <t>KRISTIANSTAD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46219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46219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46219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46219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46219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37556-2021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44399</v>
      </c>
      <c r="E170" s="1" t="n">
        <v>46219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44329-2021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44435</v>
      </c>
      <c r="E171" s="1" t="n">
        <v>46219</v>
      </c>
      <c r="F171" t="inlineStr">
        <is>
          <t>SKÅNE LÄN</t>
        </is>
      </c>
      <c r="G171" t="inlineStr">
        <is>
          <t>KRISTIANSTAD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8206-2022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46219</v>
      </c>
      <c r="F172" t="inlineStr">
        <is>
          <t>SKÅNE LÄN</t>
        </is>
      </c>
      <c r="G172" t="inlineStr">
        <is>
          <t>KRISTIANSTAD</t>
        </is>
      </c>
      <c r="H172" t="inlineStr">
        <is>
          <t>Kyrkan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11054-2022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44628</v>
      </c>
      <c r="E173" s="1" t="n">
        <v>46219</v>
      </c>
      <c r="F173" t="inlineStr">
        <is>
          <t>SKÅNE LÄN</t>
        </is>
      </c>
      <c r="G173" t="inlineStr">
        <is>
          <t>KRISTIANSTAD</t>
        </is>
      </c>
      <c r="I173" t="n">
        <v>14.5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44572</v>
      </c>
      <c r="E174" s="1" t="n">
        <v>46219</v>
      </c>
      <c r="F174" t="inlineStr">
        <is>
          <t>SKÅNE LÄN</t>
        </is>
      </c>
      <c r="G174" t="inlineStr">
        <is>
          <t>KRISTIANSTAD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8844-2022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46219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44592</v>
      </c>
      <c r="E176" s="1" t="n">
        <v>46219</v>
      </c>
      <c r="F176" t="inlineStr">
        <is>
          <t>SKÅNE LÄN</t>
        </is>
      </c>
      <c r="G176" t="inlineStr">
        <is>
          <t>KRISTIANSTAD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10352-2022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46219</v>
      </c>
      <c r="F177" t="inlineStr">
        <is>
          <t>SKÅNE LÄN</t>
        </is>
      </c>
      <c r="G177" t="inlineStr">
        <is>
          <t>KRISTIANSTAD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10355-2022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46219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38693-2021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44410</v>
      </c>
      <c r="E179" s="1" t="n">
        <v>46219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43663-2022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44837</v>
      </c>
      <c r="E180" s="1" t="n">
        <v>46219</v>
      </c>
      <c r="F180" t="inlineStr">
        <is>
          <t>SKÅNE LÄN</t>
        </is>
      </c>
      <c r="G180" t="inlineStr">
        <is>
          <t>KRISTIANSTAD</t>
        </is>
      </c>
      <c r="H180" t="inlineStr">
        <is>
          <t>Övriga Aktiebolag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10805-2022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46219</v>
      </c>
      <c r="F181" t="inlineStr">
        <is>
          <t>SKÅNE LÄN</t>
        </is>
      </c>
      <c r="G181" t="inlineStr">
        <is>
          <t>KRISTIANSTAD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46190-2021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44442</v>
      </c>
      <c r="E182" s="1" t="n">
        <v>46219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46219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55670-2022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46219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46219</v>
      </c>
      <c r="F185" t="inlineStr">
        <is>
          <t>SKÅNE LÄN</t>
        </is>
      </c>
      <c r="G185" t="inlineStr">
        <is>
          <t>KRISTIANSTAD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59831-2021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44491</v>
      </c>
      <c r="E186" s="1" t="n">
        <v>46219</v>
      </c>
      <c r="F186" t="inlineStr">
        <is>
          <t>SKÅNE LÄN</t>
        </is>
      </c>
      <c r="G186" t="inlineStr">
        <is>
          <t>KRISTIANSTAD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44596</v>
      </c>
      <c r="E187" s="1" t="n">
        <v>46219</v>
      </c>
      <c r="F187" t="inlineStr">
        <is>
          <t>SKÅNE LÄN</t>
        </is>
      </c>
      <c r="G187" t="inlineStr">
        <is>
          <t>KRISTIANSTAD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46219</v>
      </c>
      <c r="F188" t="inlineStr">
        <is>
          <t>SKÅNE LÄN</t>
        </is>
      </c>
      <c r="G188" t="inlineStr">
        <is>
          <t>KRISTIANSTAD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46219</v>
      </c>
      <c r="F189" t="inlineStr">
        <is>
          <t>SKÅNE LÄN</t>
        </is>
      </c>
      <c r="G189" t="inlineStr">
        <is>
          <t>KRISTIANSTAD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45043-2022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46219</v>
      </c>
      <c r="F190" t="inlineStr">
        <is>
          <t>SKÅNE LÄN</t>
        </is>
      </c>
      <c r="G190" t="inlineStr">
        <is>
          <t>KRISTIANSTAD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49747-2022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46219</v>
      </c>
      <c r="F191" t="inlineStr">
        <is>
          <t>SKÅNE LÄN</t>
        </is>
      </c>
      <c r="G191" t="inlineStr">
        <is>
          <t>KRISTIANSTAD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50520-2022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44866</v>
      </c>
      <c r="E192" s="1" t="n">
        <v>46219</v>
      </c>
      <c r="F192" t="inlineStr">
        <is>
          <t>SKÅNE LÄN</t>
        </is>
      </c>
      <c r="G192" t="inlineStr">
        <is>
          <t>KRISTIANSTAD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21417-2022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44706</v>
      </c>
      <c r="E193" s="1" t="n">
        <v>46219</v>
      </c>
      <c r="F193" t="inlineStr">
        <is>
          <t>SKÅNE LÄN</t>
        </is>
      </c>
      <c r="G193" t="inlineStr">
        <is>
          <t>KRISTIANSTAD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54057-2021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44470</v>
      </c>
      <c r="E194" s="1" t="n">
        <v>46219</v>
      </c>
      <c r="F194" t="inlineStr">
        <is>
          <t>SKÅNE LÄN</t>
        </is>
      </c>
      <c r="G194" t="inlineStr">
        <is>
          <t>KRISTIANSTAD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43655-2021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46219</v>
      </c>
      <c r="F195" t="inlineStr">
        <is>
          <t>SKÅNE LÄN</t>
        </is>
      </c>
      <c r="G195" t="inlineStr">
        <is>
          <t>KRISTIANSTAD</t>
        </is>
      </c>
      <c r="H195" t="inlineStr">
        <is>
          <t>Övriga Aktiebolag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30863-2022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44767</v>
      </c>
      <c r="E196" s="1" t="n">
        <v>46219</v>
      </c>
      <c r="F196" t="inlineStr">
        <is>
          <t>SKÅNE LÄN</t>
        </is>
      </c>
      <c r="G196" t="inlineStr">
        <is>
          <t>KRISTIANSTAD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48173-2021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44449</v>
      </c>
      <c r="E197" s="1" t="n">
        <v>46219</v>
      </c>
      <c r="F197" t="inlineStr">
        <is>
          <t>SKÅNE LÄN</t>
        </is>
      </c>
      <c r="G197" t="inlineStr">
        <is>
          <t>KRISTIANSTAD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46219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22548-2022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46219</v>
      </c>
      <c r="F199" t="inlineStr">
        <is>
          <t>SKÅNE LÄN</t>
        </is>
      </c>
      <c r="G199" t="inlineStr">
        <is>
          <t>KRISTIANSTAD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67024-2021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46219</v>
      </c>
      <c r="F200" t="inlineStr">
        <is>
          <t>SKÅNE LÄN</t>
        </is>
      </c>
      <c r="G200" t="inlineStr">
        <is>
          <t>KRISTIANSTAD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18322-2022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44685</v>
      </c>
      <c r="E201" s="1" t="n">
        <v>46219</v>
      </c>
      <c r="F201" t="inlineStr">
        <is>
          <t>SKÅNE LÄN</t>
        </is>
      </c>
      <c r="G201" t="inlineStr">
        <is>
          <t>KRISTIANSTAD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40328-2021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44419</v>
      </c>
      <c r="E202" s="1" t="n">
        <v>46219</v>
      </c>
      <c r="F202" t="inlineStr">
        <is>
          <t>SKÅNE LÄN</t>
        </is>
      </c>
      <c r="G202" t="inlineStr">
        <is>
          <t>KRISTIANSTAD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6348-2024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45338</v>
      </c>
      <c r="E203" s="1" t="n">
        <v>46219</v>
      </c>
      <c r="F203" t="inlineStr">
        <is>
          <t>SKÅNE LÄN</t>
        </is>
      </c>
      <c r="G203" t="inlineStr">
        <is>
          <t>KRISTIANSTAD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46627-2024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46219</v>
      </c>
      <c r="F204" t="inlineStr">
        <is>
          <t>SKÅNE LÄN</t>
        </is>
      </c>
      <c r="G204" t="inlineStr">
        <is>
          <t>KRISTIANSTAD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46219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45307</v>
      </c>
      <c r="E206" s="1" t="n">
        <v>46219</v>
      </c>
      <c r="F206" t="inlineStr">
        <is>
          <t>SKÅNE LÄN</t>
        </is>
      </c>
      <c r="G206" t="inlineStr">
        <is>
          <t>KRISTIANSTAD</t>
        </is>
      </c>
      <c r="H206" t="inlineStr">
        <is>
          <t>Övriga Aktiebolag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24947-2023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45085</v>
      </c>
      <c r="E207" s="1" t="n">
        <v>46219</v>
      </c>
      <c r="F207" t="inlineStr">
        <is>
          <t>SKÅNE LÄN</t>
        </is>
      </c>
      <c r="G207" t="inlineStr">
        <is>
          <t>KRISTIANSTAD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19532-2023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45049</v>
      </c>
      <c r="E208" s="1" t="n">
        <v>46219</v>
      </c>
      <c r="F208" t="inlineStr">
        <is>
          <t>SKÅNE LÄN</t>
        </is>
      </c>
      <c r="G208" t="inlineStr">
        <is>
          <t>KRISTIANSTAD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28853-2022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44749</v>
      </c>
      <c r="E209" s="1" t="n">
        <v>46219</v>
      </c>
      <c r="F209" t="inlineStr">
        <is>
          <t>SKÅNE LÄN</t>
        </is>
      </c>
      <c r="G209" t="inlineStr">
        <is>
          <t>KRISTIANSTAD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11010-2024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45370</v>
      </c>
      <c r="E210" s="1" t="n">
        <v>46219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11012-2024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46219</v>
      </c>
      <c r="F211" t="inlineStr">
        <is>
          <t>SKÅNE LÄN</t>
        </is>
      </c>
      <c r="G211" t="inlineStr">
        <is>
          <t>KRISTIANSTAD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13433-2022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44645</v>
      </c>
      <c r="E212" s="1" t="n">
        <v>46219</v>
      </c>
      <c r="F212" t="inlineStr">
        <is>
          <t>SKÅNE LÄN</t>
        </is>
      </c>
      <c r="G212" t="inlineStr">
        <is>
          <t>KRISTIANSTAD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19910-2022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46219</v>
      </c>
      <c r="F213" t="inlineStr">
        <is>
          <t>SKÅNE LÄN</t>
        </is>
      </c>
      <c r="G213" t="inlineStr">
        <is>
          <t>KRISTIANSTAD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9020-2024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46219</v>
      </c>
      <c r="F214" t="inlineStr">
        <is>
          <t>SKÅNE LÄN</t>
        </is>
      </c>
      <c r="G214" t="inlineStr">
        <is>
          <t>KRISTIANSTAD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38000-2024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46219</v>
      </c>
      <c r="F215" t="inlineStr">
        <is>
          <t>SKÅNE LÄN</t>
        </is>
      </c>
      <c r="G215" t="inlineStr">
        <is>
          <t>KRISTIANSTAD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44946</v>
      </c>
      <c r="E216" s="1" t="n">
        <v>46219</v>
      </c>
      <c r="F216" t="inlineStr">
        <is>
          <t>SKÅNE LÄN</t>
        </is>
      </c>
      <c r="G216" t="inlineStr">
        <is>
          <t>KRISTIANSTAD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37558-2021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44399</v>
      </c>
      <c r="E217" s="1" t="n">
        <v>46219</v>
      </c>
      <c r="F217" t="inlineStr">
        <is>
          <t>SKÅNE LÄN</t>
        </is>
      </c>
      <c r="G217" t="inlineStr">
        <is>
          <t>KRISTIANSTAD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35026-2023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45144</v>
      </c>
      <c r="E218" s="1" t="n">
        <v>46219</v>
      </c>
      <c r="F218" t="inlineStr">
        <is>
          <t>SKÅNE LÄN</t>
        </is>
      </c>
      <c r="G218" t="inlineStr">
        <is>
          <t>KRISTIANSTAD</t>
        </is>
      </c>
      <c r="H218" t="inlineStr">
        <is>
          <t>Övriga Aktiebolag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27961-2022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44744</v>
      </c>
      <c r="E219" s="1" t="n">
        <v>46219</v>
      </c>
      <c r="F219" t="inlineStr">
        <is>
          <t>SKÅNE LÄN</t>
        </is>
      </c>
      <c r="G219" t="inlineStr">
        <is>
          <t>KRISTIANSTAD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54631-2023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45228</v>
      </c>
      <c r="E220" s="1" t="n">
        <v>46219</v>
      </c>
      <c r="F220" t="inlineStr">
        <is>
          <t>SKÅNE LÄN</t>
        </is>
      </c>
      <c r="G220" t="inlineStr">
        <is>
          <t>KRISTIANSTAD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42658-2021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44428</v>
      </c>
      <c r="E221" s="1" t="n">
        <v>46219</v>
      </c>
      <c r="F221" t="inlineStr">
        <is>
          <t>SKÅNE LÄN</t>
        </is>
      </c>
      <c r="G221" t="inlineStr">
        <is>
          <t>KRISTIANSTAD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10970-2022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46219</v>
      </c>
      <c r="F222" t="inlineStr">
        <is>
          <t>SKÅNE LÄN</t>
        </is>
      </c>
      <c r="G222" t="inlineStr">
        <is>
          <t>KRISTIANSTAD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66449-2021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44518</v>
      </c>
      <c r="E223" s="1" t="n">
        <v>46219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10580-2023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44988</v>
      </c>
      <c r="E224" s="1" t="n">
        <v>46219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24952-2023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46219</v>
      </c>
      <c r="F225" t="inlineStr">
        <is>
          <t>SKÅNE LÄN</t>
        </is>
      </c>
      <c r="G225" t="inlineStr">
        <is>
          <t>KRISTIANSTAD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16579-2022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44672</v>
      </c>
      <c r="E226" s="1" t="n">
        <v>46219</v>
      </c>
      <c r="F226" t="inlineStr">
        <is>
          <t>SKÅNE LÄN</t>
        </is>
      </c>
      <c r="G226" t="inlineStr">
        <is>
          <t>KRISTIANSTAD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34348-2024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45525</v>
      </c>
      <c r="E227" s="1" t="n">
        <v>46219</v>
      </c>
      <c r="F227" t="inlineStr">
        <is>
          <t>SKÅNE LÄN</t>
        </is>
      </c>
      <c r="G227" t="inlineStr">
        <is>
          <t>KRISTIANSTAD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35693-2024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45532</v>
      </c>
      <c r="E228" s="1" t="n">
        <v>46219</v>
      </c>
      <c r="F228" t="inlineStr">
        <is>
          <t>SKÅNE LÄN</t>
        </is>
      </c>
      <c r="G228" t="inlineStr">
        <is>
          <t>KRISTIANSTAD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14965-2024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45398</v>
      </c>
      <c r="E229" s="1" t="n">
        <v>46219</v>
      </c>
      <c r="F229" t="inlineStr">
        <is>
          <t>SKÅNE LÄN</t>
        </is>
      </c>
      <c r="G229" t="inlineStr">
        <is>
          <t>KRISTIANSTAD</t>
        </is>
      </c>
      <c r="I229" t="n">
        <v>13.5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46219</v>
      </c>
      <c r="F230" t="inlineStr">
        <is>
          <t>SKÅNE LÄN</t>
        </is>
      </c>
      <c r="G230" t="inlineStr">
        <is>
          <t>KRISTIANSTAD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17400-2023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46219</v>
      </c>
      <c r="F231" t="inlineStr">
        <is>
          <t>SKÅNE LÄN</t>
        </is>
      </c>
      <c r="G231" t="inlineStr">
        <is>
          <t>KRISTIANSTAD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46521-2023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46219</v>
      </c>
      <c r="F232" t="inlineStr">
        <is>
          <t>SKÅNE LÄN</t>
        </is>
      </c>
      <c r="G232" t="inlineStr">
        <is>
          <t>KRISTIANSTAD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46524-2023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46219</v>
      </c>
      <c r="F233" t="inlineStr">
        <is>
          <t>SKÅNE LÄN</t>
        </is>
      </c>
      <c r="G233" t="inlineStr">
        <is>
          <t>KRISTIANSTAD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27529-2022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44742</v>
      </c>
      <c r="E234" s="1" t="n">
        <v>46219</v>
      </c>
      <c r="F234" t="inlineStr">
        <is>
          <t>SKÅNE LÄN</t>
        </is>
      </c>
      <c r="G234" t="inlineStr">
        <is>
          <t>KRISTIANSTAD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33752-2024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45520</v>
      </c>
      <c r="E235" s="1" t="n">
        <v>46219</v>
      </c>
      <c r="F235" t="inlineStr">
        <is>
          <t>SKÅNE LÄN</t>
        </is>
      </c>
      <c r="G235" t="inlineStr">
        <is>
          <t>KRISTIANSTAD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29934-2023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46219</v>
      </c>
      <c r="F236" t="inlineStr">
        <is>
          <t>SKÅNE LÄN</t>
        </is>
      </c>
      <c r="G236" t="inlineStr">
        <is>
          <t>KRISTIANSTAD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8750-2024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45343</v>
      </c>
      <c r="E237" s="1" t="n">
        <v>46219</v>
      </c>
      <c r="F237" t="inlineStr">
        <is>
          <t>SKÅNE LÄN</t>
        </is>
      </c>
      <c r="G237" t="inlineStr">
        <is>
          <t>KRISTIANSTAD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47235-2024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46219</v>
      </c>
      <c r="F238" t="inlineStr">
        <is>
          <t>SKÅNE LÄN</t>
        </is>
      </c>
      <c r="G238" t="inlineStr">
        <is>
          <t>KRISTIANSTAD</t>
        </is>
      </c>
      <c r="H238" t="inlineStr">
        <is>
          <t>Övriga Aktiebolag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45337</v>
      </c>
      <c r="E239" s="1" t="n">
        <v>46219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2834-2023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44945</v>
      </c>
      <c r="E240" s="1" t="n">
        <v>46219</v>
      </c>
      <c r="F240" t="inlineStr">
        <is>
          <t>SKÅNE LÄN</t>
        </is>
      </c>
      <c r="G240" t="inlineStr">
        <is>
          <t>KRISTIANSTAD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45728-2022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46219</v>
      </c>
      <c r="F241" t="inlineStr">
        <is>
          <t>SKÅNE LÄN</t>
        </is>
      </c>
      <c r="G241" t="inlineStr">
        <is>
          <t>KRISTIANSTAD</t>
        </is>
      </c>
      <c r="H241" t="inlineStr">
        <is>
          <t>Övriga Aktiebolag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44963</v>
      </c>
      <c r="E242" s="1" t="n">
        <v>46219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18752-2023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45043</v>
      </c>
      <c r="E243" s="1" t="n">
        <v>46219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8807-2025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45712</v>
      </c>
      <c r="E244" s="1" t="n">
        <v>46219</v>
      </c>
      <c r="F244" t="inlineStr">
        <is>
          <t>SKÅNE LÄN</t>
        </is>
      </c>
      <c r="G244" t="inlineStr">
        <is>
          <t>KRISTIANSTAD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35677-2024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46219</v>
      </c>
      <c r="F245" t="inlineStr">
        <is>
          <t>SKÅNE LÄN</t>
        </is>
      </c>
      <c r="G245" t="inlineStr">
        <is>
          <t>KRISTIANSTAD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35688-2024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46219</v>
      </c>
      <c r="F246" t="inlineStr">
        <is>
          <t>SKÅNE LÄN</t>
        </is>
      </c>
      <c r="G246" t="inlineStr">
        <is>
          <t>KRISTIANSTAD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45300</v>
      </c>
      <c r="E247" s="1" t="n">
        <v>46219</v>
      </c>
      <c r="F247" t="inlineStr">
        <is>
          <t>SKÅNE LÄN</t>
        </is>
      </c>
      <c r="G247" t="inlineStr">
        <is>
          <t>KRISTIANSTAD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34688-2024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45526</v>
      </c>
      <c r="E248" s="1" t="n">
        <v>46219</v>
      </c>
      <c r="F248" t="inlineStr">
        <is>
          <t>SKÅNE LÄN</t>
        </is>
      </c>
      <c r="G248" t="inlineStr">
        <is>
          <t>KRISTIANSTAD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7056-2024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45343</v>
      </c>
      <c r="E249" s="1" t="n">
        <v>46219</v>
      </c>
      <c r="F249" t="inlineStr">
        <is>
          <t>SKÅNE LÄN</t>
        </is>
      </c>
      <c r="G249" t="inlineStr">
        <is>
          <t>KRISTIANSTAD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11786-2022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44634</v>
      </c>
      <c r="E250" s="1" t="n">
        <v>46219</v>
      </c>
      <c r="F250" t="inlineStr">
        <is>
          <t>SKÅNE LÄN</t>
        </is>
      </c>
      <c r="G250" t="inlineStr">
        <is>
          <t>KRISTIANSTAD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8512-2024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45355</v>
      </c>
      <c r="E251" s="1" t="n">
        <v>46219</v>
      </c>
      <c r="F251" t="inlineStr">
        <is>
          <t>SKÅNE LÄN</t>
        </is>
      </c>
      <c r="G251" t="inlineStr">
        <is>
          <t>KRISTIANSTAD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42293-2023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46219</v>
      </c>
      <c r="F252" t="inlineStr">
        <is>
          <t>SKÅNE LÄN</t>
        </is>
      </c>
      <c r="G252" t="inlineStr">
        <is>
          <t>KRISTIANSTAD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32702-2023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45121</v>
      </c>
      <c r="E253" s="1" t="n">
        <v>46219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32717-2023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45121</v>
      </c>
      <c r="E254" s="1" t="n">
        <v>46219</v>
      </c>
      <c r="F254" t="inlineStr">
        <is>
          <t>SKÅNE LÄN</t>
        </is>
      </c>
      <c r="G254" t="inlineStr">
        <is>
          <t>KRISTIANSTAD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30858-2023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45112</v>
      </c>
      <c r="E255" s="1" t="n">
        <v>46219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45496-2024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45577</v>
      </c>
      <c r="E256" s="1" t="n">
        <v>46219</v>
      </c>
      <c r="F256" t="inlineStr">
        <is>
          <t>SKÅNE LÄN</t>
        </is>
      </c>
      <c r="G256" t="inlineStr">
        <is>
          <t>KRISTIANSTAD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54308-2023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45232</v>
      </c>
      <c r="E257" s="1" t="n">
        <v>46219</v>
      </c>
      <c r="F257" t="inlineStr">
        <is>
          <t>SKÅNE LÄN</t>
        </is>
      </c>
      <c r="G257" t="inlineStr">
        <is>
          <t>KRISTIANSTAD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45307</v>
      </c>
      <c r="E258" s="1" t="n">
        <v>46219</v>
      </c>
      <c r="F258" t="inlineStr">
        <is>
          <t>SKÅNE LÄN</t>
        </is>
      </c>
      <c r="G258" t="inlineStr">
        <is>
          <t>KRISTIANSTAD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45321</v>
      </c>
      <c r="E259" s="1" t="n">
        <v>46219</v>
      </c>
      <c r="F259" t="inlineStr">
        <is>
          <t>SKÅNE LÄN</t>
        </is>
      </c>
      <c r="G259" t="inlineStr">
        <is>
          <t>KRISTIANSTAD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56633-2022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46219</v>
      </c>
      <c r="F260" t="inlineStr">
        <is>
          <t>SKÅNE LÄN</t>
        </is>
      </c>
      <c r="G260" t="inlineStr">
        <is>
          <t>KRISTIANSTAD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12404-2024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45379</v>
      </c>
      <c r="E261" s="1" t="n">
        <v>46219</v>
      </c>
      <c r="F261" t="inlineStr">
        <is>
          <t>SKÅNE LÄN</t>
        </is>
      </c>
      <c r="G261" t="inlineStr">
        <is>
          <t>KRISTIANSTAD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57987-2023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45247</v>
      </c>
      <c r="E262" s="1" t="n">
        <v>46219</v>
      </c>
      <c r="F262" t="inlineStr">
        <is>
          <t>SKÅNE LÄN</t>
        </is>
      </c>
      <c r="G262" t="inlineStr">
        <is>
          <t>KRISTIANSTAD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45336</v>
      </c>
      <c r="E263" s="1" t="n">
        <v>46219</v>
      </c>
      <c r="F263" t="inlineStr">
        <is>
          <t>SKÅNE LÄN</t>
        </is>
      </c>
      <c r="G263" t="inlineStr">
        <is>
          <t>KRISTIANSTAD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17613-2024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45416</v>
      </c>
      <c r="E264" s="1" t="n">
        <v>46219</v>
      </c>
      <c r="F264" t="inlineStr">
        <is>
          <t>SKÅNE LÄN</t>
        </is>
      </c>
      <c r="G264" t="inlineStr">
        <is>
          <t>KRISTIANSTAD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49520-2021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44455</v>
      </c>
      <c r="E265" s="1" t="n">
        <v>46219</v>
      </c>
      <c r="F265" t="inlineStr">
        <is>
          <t>SKÅNE LÄN</t>
        </is>
      </c>
      <c r="G265" t="inlineStr">
        <is>
          <t>KRISTIANSTAD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50543-2024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46219</v>
      </c>
      <c r="F266" t="inlineStr">
        <is>
          <t>SKÅNE LÄN</t>
        </is>
      </c>
      <c r="G266" t="inlineStr">
        <is>
          <t>KRISTIANSTAD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46504-2022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44847</v>
      </c>
      <c r="E267" s="1" t="n">
        <v>46219</v>
      </c>
      <c r="F267" t="inlineStr">
        <is>
          <t>SKÅNE LÄN</t>
        </is>
      </c>
      <c r="G267" t="inlineStr">
        <is>
          <t>KRISTIANSTAD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52057-2021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44463</v>
      </c>
      <c r="E268" s="1" t="n">
        <v>46219</v>
      </c>
      <c r="F268" t="inlineStr">
        <is>
          <t>SKÅNE LÄN</t>
        </is>
      </c>
      <c r="G268" t="inlineStr">
        <is>
          <t>KRISTIANSTAD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11970-2023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44995</v>
      </c>
      <c r="E269" s="1" t="n">
        <v>46219</v>
      </c>
      <c r="F269" t="inlineStr">
        <is>
          <t>SKÅNE LÄN</t>
        </is>
      </c>
      <c r="G269" t="inlineStr">
        <is>
          <t>KRISTIANSTAD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60460-2023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45258</v>
      </c>
      <c r="E270" s="1" t="n">
        <v>46219</v>
      </c>
      <c r="F270" t="inlineStr">
        <is>
          <t>SKÅNE LÄN</t>
        </is>
      </c>
      <c r="G270" t="inlineStr">
        <is>
          <t>KRISTIANSTAD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45079</v>
      </c>
      <c r="E271" s="1" t="n">
        <v>46219</v>
      </c>
      <c r="F271" t="inlineStr">
        <is>
          <t>SKÅNE LÄN</t>
        </is>
      </c>
      <c r="G271" t="inlineStr">
        <is>
          <t>KRISTIANSTAD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39898-2023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46219</v>
      </c>
      <c r="F272" t="inlineStr">
        <is>
          <t>SKÅNE LÄN</t>
        </is>
      </c>
      <c r="G272" t="inlineStr">
        <is>
          <t>KRISTIANSTAD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45672</v>
      </c>
      <c r="E273" s="1" t="n">
        <v>46219</v>
      </c>
      <c r="F273" t="inlineStr">
        <is>
          <t>SKÅNE LÄN</t>
        </is>
      </c>
      <c r="G273" t="inlineStr">
        <is>
          <t>KRISTIANSTAD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31525-2023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45116</v>
      </c>
      <c r="E274" s="1" t="n">
        <v>46219</v>
      </c>
      <c r="F274" t="inlineStr">
        <is>
          <t>SKÅNE LÄN</t>
        </is>
      </c>
      <c r="G274" t="inlineStr">
        <is>
          <t>KRISTIANSTAD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14442-2023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45012</v>
      </c>
      <c r="E275" s="1" t="n">
        <v>46219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23673-2023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45077</v>
      </c>
      <c r="E276" s="1" t="n">
        <v>46219</v>
      </c>
      <c r="F276" t="inlineStr">
        <is>
          <t>SKÅNE LÄN</t>
        </is>
      </c>
      <c r="G276" t="inlineStr">
        <is>
          <t>KRISTIANSTAD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23674-2023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45077</v>
      </c>
      <c r="E277" s="1" t="n">
        <v>46219</v>
      </c>
      <c r="F277" t="inlineStr">
        <is>
          <t>SKÅNE LÄN</t>
        </is>
      </c>
      <c r="G277" t="inlineStr">
        <is>
          <t>KRISTIANSTAD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35024-2023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45144</v>
      </c>
      <c r="E278" s="1" t="n">
        <v>46219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32021-2023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46219</v>
      </c>
      <c r="F279" t="inlineStr">
        <is>
          <t>SKÅNE LÄN</t>
        </is>
      </c>
      <c r="G279" t="inlineStr">
        <is>
          <t>KRISTIANSTAD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11150-2023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46219</v>
      </c>
      <c r="F280" t="inlineStr">
        <is>
          <t>SKÅNE LÄN</t>
        </is>
      </c>
      <c r="G280" t="inlineStr">
        <is>
          <t>KRISTIANSTAD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63681-2023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45275</v>
      </c>
      <c r="E281" s="1" t="n">
        <v>46219</v>
      </c>
      <c r="F281" t="inlineStr">
        <is>
          <t>SKÅNE LÄN</t>
        </is>
      </c>
      <c r="G281" t="inlineStr">
        <is>
          <t>KRISTIANSTAD</t>
        </is>
      </c>
      <c r="H281" t="inlineStr">
        <is>
          <t>Sveaskog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18046-2024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45420</v>
      </c>
      <c r="E282" s="1" t="n">
        <v>46219</v>
      </c>
      <c r="F282" t="inlineStr">
        <is>
          <t>SKÅNE LÄN</t>
        </is>
      </c>
      <c r="G282" t="inlineStr">
        <is>
          <t>KRISTIANSTAD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36358-2023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46219</v>
      </c>
      <c r="F283" t="inlineStr">
        <is>
          <t>SKÅNE LÄN</t>
        </is>
      </c>
      <c r="G283" t="inlineStr">
        <is>
          <t>KRISTIANSTAD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46095-2023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45190</v>
      </c>
      <c r="E284" s="1" t="n">
        <v>46219</v>
      </c>
      <c r="F284" t="inlineStr">
        <is>
          <t>SKÅNE LÄN</t>
        </is>
      </c>
      <c r="G284" t="inlineStr">
        <is>
          <t>KRISTIANSTAD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25759-2024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45465</v>
      </c>
      <c r="E285" s="1" t="n">
        <v>46219</v>
      </c>
      <c r="F285" t="inlineStr">
        <is>
          <t>SKÅNE LÄN</t>
        </is>
      </c>
      <c r="G285" t="inlineStr">
        <is>
          <t>KRISTIANSTAD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35948-2024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45533</v>
      </c>
      <c r="E286" s="1" t="n">
        <v>46219</v>
      </c>
      <c r="F286" t="inlineStr">
        <is>
          <t>SKÅNE LÄN</t>
        </is>
      </c>
      <c r="G286" t="inlineStr">
        <is>
          <t>KRISTIANSTAD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10748-2023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46219</v>
      </c>
      <c r="F287" t="inlineStr">
        <is>
          <t>SKÅNE LÄN</t>
        </is>
      </c>
      <c r="G287" t="inlineStr">
        <is>
          <t>KRISTIANSTAD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14837-2023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45014</v>
      </c>
      <c r="E288" s="1" t="n">
        <v>46219</v>
      </c>
      <c r="F288" t="inlineStr">
        <is>
          <t>SKÅNE LÄN</t>
        </is>
      </c>
      <c r="G288" t="inlineStr">
        <is>
          <t>KRISTIANSTAD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61491-2024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45646</v>
      </c>
      <c r="E289" s="1" t="n">
        <v>46219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58175-2021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44487</v>
      </c>
      <c r="E290" s="1" t="n">
        <v>46219</v>
      </c>
      <c r="F290" t="inlineStr">
        <is>
          <t>SKÅNE LÄN</t>
        </is>
      </c>
      <c r="G290" t="inlineStr">
        <is>
          <t>KRISTIANSTAD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8997-2024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45357</v>
      </c>
      <c r="E291" s="1" t="n">
        <v>46219</v>
      </c>
      <c r="F291" t="inlineStr">
        <is>
          <t>SKÅNE LÄN</t>
        </is>
      </c>
      <c r="G291" t="inlineStr">
        <is>
          <t>KRISTIANSTAD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32705-2023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45121</v>
      </c>
      <c r="E292" s="1" t="n">
        <v>46219</v>
      </c>
      <c r="F292" t="inlineStr">
        <is>
          <t>SKÅNE LÄN</t>
        </is>
      </c>
      <c r="G292" t="inlineStr">
        <is>
          <t>KRISTIANSTAD</t>
        </is>
      </c>
      <c r="H292" t="inlineStr">
        <is>
          <t>Sveaskog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35022-2023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45144</v>
      </c>
      <c r="E293" s="1" t="n">
        <v>46219</v>
      </c>
      <c r="F293" t="inlineStr">
        <is>
          <t>SKÅNE LÄN</t>
        </is>
      </c>
      <c r="G293" t="inlineStr">
        <is>
          <t>KRISTIANSTAD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35023-2023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45144</v>
      </c>
      <c r="E294" s="1" t="n">
        <v>46219</v>
      </c>
      <c r="F294" t="inlineStr">
        <is>
          <t>SKÅNE LÄN</t>
        </is>
      </c>
      <c r="G294" t="inlineStr">
        <is>
          <t>KRISTIANSTAD</t>
        </is>
      </c>
      <c r="H294" t="inlineStr">
        <is>
          <t>Övriga Aktiebolag</t>
        </is>
      </c>
      <c r="I294" t="n">
        <v>15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38781-2025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46219</v>
      </c>
      <c r="F295" t="inlineStr">
        <is>
          <t>SKÅNE LÄN</t>
        </is>
      </c>
      <c r="G295" t="inlineStr">
        <is>
          <t>KRISTIANSTAD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38784-2025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46219</v>
      </c>
      <c r="F296" t="inlineStr">
        <is>
          <t>SKÅNE LÄN</t>
        </is>
      </c>
      <c r="G296" t="inlineStr">
        <is>
          <t>KRISTIANSTAD</t>
        </is>
      </c>
      <c r="I296" t="n">
        <v>12.9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45668</v>
      </c>
      <c r="E297" s="1" t="n">
        <v>46219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38779-2025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46219</v>
      </c>
      <c r="F298" t="inlineStr">
        <is>
          <t>SKÅNE LÄN</t>
        </is>
      </c>
      <c r="G298" t="inlineStr">
        <is>
          <t>KRISTIANSTAD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39332-2025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45889</v>
      </c>
      <c r="E299" s="1" t="n">
        <v>46219</v>
      </c>
      <c r="F299" t="inlineStr">
        <is>
          <t>SKÅNE LÄN</t>
        </is>
      </c>
      <c r="G299" t="inlineStr">
        <is>
          <t>KRISTIANSTAD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15111-2023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45015</v>
      </c>
      <c r="E300" s="1" t="n">
        <v>46219</v>
      </c>
      <c r="F300" t="inlineStr">
        <is>
          <t>SKÅNE LÄN</t>
        </is>
      </c>
      <c r="G300" t="inlineStr">
        <is>
          <t>KRISTIANSTAD</t>
        </is>
      </c>
      <c r="H300" t="inlineStr">
        <is>
          <t>Kyrkan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34719-2022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44795</v>
      </c>
      <c r="E301" s="1" t="n">
        <v>46219</v>
      </c>
      <c r="F301" t="inlineStr">
        <is>
          <t>SKÅNE LÄN</t>
        </is>
      </c>
      <c r="G301" t="inlineStr">
        <is>
          <t>KRISTIANSTAD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45323</v>
      </c>
      <c r="E302" s="1" t="n">
        <v>46219</v>
      </c>
      <c r="F302" t="inlineStr">
        <is>
          <t>SKÅNE LÄN</t>
        </is>
      </c>
      <c r="G302" t="inlineStr">
        <is>
          <t>KRISTIANSTAD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47232-2024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45586</v>
      </c>
      <c r="E303" s="1" t="n">
        <v>46219</v>
      </c>
      <c r="F303" t="inlineStr">
        <is>
          <t>SKÅNE LÄN</t>
        </is>
      </c>
      <c r="G303" t="inlineStr">
        <is>
          <t>KRISTIANSTAD</t>
        </is>
      </c>
      <c r="H303" t="inlineStr">
        <is>
          <t>Övriga Aktiebolag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25766-2024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45465</v>
      </c>
      <c r="E304" s="1" t="n">
        <v>46219</v>
      </c>
      <c r="F304" t="inlineStr">
        <is>
          <t>SKÅNE LÄN</t>
        </is>
      </c>
      <c r="G304" t="inlineStr">
        <is>
          <t>KRISTIANSTAD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43871-2023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46219</v>
      </c>
      <c r="F305" t="inlineStr">
        <is>
          <t>SKÅNE LÄN</t>
        </is>
      </c>
      <c r="G305" t="inlineStr">
        <is>
          <t>KRISTIANSTAD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26907-2024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46219</v>
      </c>
      <c r="F306" t="inlineStr">
        <is>
          <t>SKÅNE LÄN</t>
        </is>
      </c>
      <c r="G306" t="inlineStr">
        <is>
          <t>KRISTIANSTAD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39994-2025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46219</v>
      </c>
      <c r="F307" t="inlineStr">
        <is>
          <t>SKÅNE LÄN</t>
        </is>
      </c>
      <c r="G307" t="inlineStr">
        <is>
          <t>KRISTIANSTAD</t>
        </is>
      </c>
      <c r="I307" t="n">
        <v>12.8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45693</v>
      </c>
      <c r="E308" s="1" t="n">
        <v>46219</v>
      </c>
      <c r="F308" t="inlineStr">
        <is>
          <t>SKÅNE LÄN</t>
        </is>
      </c>
      <c r="G308" t="inlineStr">
        <is>
          <t>KRISTIANSTAD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40500-2025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45896</v>
      </c>
      <c r="E309" s="1" t="n">
        <v>46219</v>
      </c>
      <c r="F309" t="inlineStr">
        <is>
          <t>SKÅNE LÄN</t>
        </is>
      </c>
      <c r="G309" t="inlineStr">
        <is>
          <t>KRISTIANSTAD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40301-2025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46219</v>
      </c>
      <c r="F310" t="inlineStr">
        <is>
          <t>SKÅNE LÄN</t>
        </is>
      </c>
      <c r="G310" t="inlineStr">
        <is>
          <t>KRISTIANSTAD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23850-2024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45455</v>
      </c>
      <c r="E311" s="1" t="n">
        <v>46219</v>
      </c>
      <c r="F311" t="inlineStr">
        <is>
          <t>SKÅNE LÄN</t>
        </is>
      </c>
      <c r="G311" t="inlineStr">
        <is>
          <t>KRISTIANSTAD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40037-2022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44818</v>
      </c>
      <c r="E312" s="1" t="n">
        <v>46219</v>
      </c>
      <c r="F312" t="inlineStr">
        <is>
          <t>SKÅNE LÄN</t>
        </is>
      </c>
      <c r="G312" t="inlineStr">
        <is>
          <t>KRISTIANSTAD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40286-2025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46219</v>
      </c>
      <c r="F313" t="inlineStr">
        <is>
          <t>SKÅNE LÄN</t>
        </is>
      </c>
      <c r="G313" t="inlineStr">
        <is>
          <t>KRISTIANSTAD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17925-2024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45419</v>
      </c>
      <c r="E314" s="1" t="n">
        <v>46219</v>
      </c>
      <c r="F314" t="inlineStr">
        <is>
          <t>SKÅNE LÄN</t>
        </is>
      </c>
      <c r="G314" t="inlineStr">
        <is>
          <t>KRISTIANSTAD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44579-2023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46219</v>
      </c>
      <c r="F315" t="inlineStr">
        <is>
          <t>SKÅNE LÄN</t>
        </is>
      </c>
      <c r="G315" t="inlineStr">
        <is>
          <t>KRISTIANSTAD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41245-2025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46219</v>
      </c>
      <c r="F316" t="inlineStr">
        <is>
          <t>SKÅNE LÄN</t>
        </is>
      </c>
      <c r="G316" t="inlineStr">
        <is>
          <t>KRISTIANSTAD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8110-2025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46219</v>
      </c>
      <c r="F317" t="inlineStr">
        <is>
          <t>SKÅNE LÄN</t>
        </is>
      </c>
      <c r="G317" t="inlineStr">
        <is>
          <t>KRISTIANSTAD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41361-2025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46219</v>
      </c>
      <c r="F318" t="inlineStr">
        <is>
          <t>SKÅNE LÄN</t>
        </is>
      </c>
      <c r="G318" t="inlineStr">
        <is>
          <t>KRISTIANSTAD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45900</v>
      </c>
      <c r="E319" s="1" t="n">
        <v>46219</v>
      </c>
      <c r="F319" t="inlineStr">
        <is>
          <t>SKÅNE LÄN</t>
        </is>
      </c>
      <c r="G319" t="inlineStr">
        <is>
          <t>KRISTIANSTAD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32714-2023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46219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31619-2024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45506</v>
      </c>
      <c r="E321" s="1" t="n">
        <v>46219</v>
      </c>
      <c r="F321" t="inlineStr">
        <is>
          <t>SKÅNE LÄN</t>
        </is>
      </c>
      <c r="G321" t="inlineStr">
        <is>
          <t>KRISTIANSTAD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41357-2025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45900</v>
      </c>
      <c r="E322" s="1" t="n">
        <v>46219</v>
      </c>
      <c r="F322" t="inlineStr">
        <is>
          <t>SKÅNE LÄN</t>
        </is>
      </c>
      <c r="G322" t="inlineStr">
        <is>
          <t>KRISTIANSTAD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64835-2023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45282</v>
      </c>
      <c r="E323" s="1" t="n">
        <v>46219</v>
      </c>
      <c r="F323" t="inlineStr">
        <is>
          <t>SKÅNE LÄN</t>
        </is>
      </c>
      <c r="G323" t="inlineStr">
        <is>
          <t>KRISTIANSTAD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41359-2025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45900</v>
      </c>
      <c r="E324" s="1" t="n">
        <v>46219</v>
      </c>
      <c r="F324" t="inlineStr">
        <is>
          <t>SKÅNE LÄN</t>
        </is>
      </c>
      <c r="G324" t="inlineStr">
        <is>
          <t>KRISTIANSTAD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41362-2025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45900</v>
      </c>
      <c r="E325" s="1" t="n">
        <v>46219</v>
      </c>
      <c r="F325" t="inlineStr">
        <is>
          <t>SKÅNE LÄN</t>
        </is>
      </c>
      <c r="G325" t="inlineStr">
        <is>
          <t>KRISTIANSTAD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41636-2025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45902</v>
      </c>
      <c r="E326" s="1" t="n">
        <v>46219</v>
      </c>
      <c r="F326" t="inlineStr">
        <is>
          <t>SKÅNE LÄN</t>
        </is>
      </c>
      <c r="G326" t="inlineStr">
        <is>
          <t>KRISTIANSTAD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41358-2025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46219</v>
      </c>
      <c r="F327" t="inlineStr">
        <is>
          <t>SKÅNE LÄN</t>
        </is>
      </c>
      <c r="G327" t="inlineStr">
        <is>
          <t>KRISTIANSTAD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8455-2025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45709</v>
      </c>
      <c r="E328" s="1" t="n">
        <v>46219</v>
      </c>
      <c r="F328" t="inlineStr">
        <is>
          <t>SKÅNE LÄN</t>
        </is>
      </c>
      <c r="G328" t="inlineStr">
        <is>
          <t>KRISTIANSTAD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13891-2025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45737</v>
      </c>
      <c r="E329" s="1" t="n">
        <v>46219</v>
      </c>
      <c r="F329" t="inlineStr">
        <is>
          <t>SKÅNE LÄN</t>
        </is>
      </c>
      <c r="G329" t="inlineStr">
        <is>
          <t>KRISTIANSTAD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38046-2024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46219</v>
      </c>
      <c r="F330" t="inlineStr">
        <is>
          <t>SKÅNE LÄN</t>
        </is>
      </c>
      <c r="G330" t="inlineStr">
        <is>
          <t>KRISTIANSTAD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29832-2024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45485</v>
      </c>
      <c r="E331" s="1" t="n">
        <v>46219</v>
      </c>
      <c r="F331" t="inlineStr">
        <is>
          <t>SKÅNE LÄN</t>
        </is>
      </c>
      <c r="G331" t="inlineStr">
        <is>
          <t>KRISTIANSTAD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45337</v>
      </c>
      <c r="E332" s="1" t="n">
        <v>46219</v>
      </c>
      <c r="F332" t="inlineStr">
        <is>
          <t>SKÅNE LÄN</t>
        </is>
      </c>
      <c r="G332" t="inlineStr">
        <is>
          <t>KRISTIANSTAD</t>
        </is>
      </c>
      <c r="H332" t="inlineStr">
        <is>
          <t>Övriga Aktiebolag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25671-2023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45089</v>
      </c>
      <c r="E333" s="1" t="n">
        <v>46219</v>
      </c>
      <c r="F333" t="inlineStr">
        <is>
          <t>SKÅNE LÄN</t>
        </is>
      </c>
      <c r="G333" t="inlineStr">
        <is>
          <t>KRISTIANSTAD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61147-2021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44497</v>
      </c>
      <c r="E334" s="1" t="n">
        <v>46219</v>
      </c>
      <c r="F334" t="inlineStr">
        <is>
          <t>SKÅNE LÄN</t>
        </is>
      </c>
      <c r="G334" t="inlineStr">
        <is>
          <t>KRISTIANSTAD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23560-2025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45792</v>
      </c>
      <c r="E335" s="1" t="n">
        <v>46219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32158-2024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45511</v>
      </c>
      <c r="E336" s="1" t="n">
        <v>46219</v>
      </c>
      <c r="F336" t="inlineStr">
        <is>
          <t>SKÅNE LÄN</t>
        </is>
      </c>
      <c r="G336" t="inlineStr">
        <is>
          <t>KRISTIANSTAD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44260-2025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46219</v>
      </c>
      <c r="F337" t="inlineStr">
        <is>
          <t>SKÅNE LÄN</t>
        </is>
      </c>
      <c r="G337" t="inlineStr">
        <is>
          <t>KRISTIANSTAD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46219</v>
      </c>
      <c r="F338" t="inlineStr">
        <is>
          <t>SKÅNE LÄN</t>
        </is>
      </c>
      <c r="G338" t="inlineStr">
        <is>
          <t>KRISTIANSTAD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44111-2025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46219</v>
      </c>
      <c r="F339" t="inlineStr">
        <is>
          <t>SKÅNE LÄN</t>
        </is>
      </c>
      <c r="G339" t="inlineStr">
        <is>
          <t>KRISTIANSTAD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30065-2023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46219</v>
      </c>
      <c r="F340" t="inlineStr">
        <is>
          <t>SKÅNE LÄN</t>
        </is>
      </c>
      <c r="G340" t="inlineStr">
        <is>
          <t>KRISTIANSTAD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45303</v>
      </c>
      <c r="E341" s="1" t="n">
        <v>46219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19.7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30367-2023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45111</v>
      </c>
      <c r="E342" s="1" t="n">
        <v>46219</v>
      </c>
      <c r="F342" t="inlineStr">
        <is>
          <t>SKÅNE LÄN</t>
        </is>
      </c>
      <c r="G342" t="inlineStr">
        <is>
          <t>KRISTIANSTAD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57979-2023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45247</v>
      </c>
      <c r="E343" s="1" t="n">
        <v>46219</v>
      </c>
      <c r="F343" t="inlineStr">
        <is>
          <t>SKÅNE LÄN</t>
        </is>
      </c>
      <c r="G343" t="inlineStr">
        <is>
          <t>KRISTIANSTAD</t>
        </is>
      </c>
      <c r="I343" t="n">
        <v>11.9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40149-2024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45554</v>
      </c>
      <c r="E344" s="1" t="n">
        <v>46219</v>
      </c>
      <c r="F344" t="inlineStr">
        <is>
          <t>SKÅNE LÄN</t>
        </is>
      </c>
      <c r="G344" t="inlineStr">
        <is>
          <t>KRISTIANSTAD</t>
        </is>
      </c>
      <c r="I344" t="n">
        <v>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15957-2023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45022</v>
      </c>
      <c r="E345" s="1" t="n">
        <v>46219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16131-2023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45027</v>
      </c>
      <c r="E346" s="1" t="n">
        <v>46219</v>
      </c>
      <c r="F346" t="inlineStr">
        <is>
          <t>SKÅNE LÄN</t>
        </is>
      </c>
      <c r="G346" t="inlineStr">
        <is>
          <t>KRISTIANSTAD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45334</v>
      </c>
      <c r="E347" s="1" t="n">
        <v>46219</v>
      </c>
      <c r="F347" t="inlineStr">
        <is>
          <t>SKÅNE LÄN</t>
        </is>
      </c>
      <c r="G347" t="inlineStr">
        <is>
          <t>KRISTIANSTAD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13953-2025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45737</v>
      </c>
      <c r="E348" s="1" t="n">
        <v>46219</v>
      </c>
      <c r="F348" t="inlineStr">
        <is>
          <t>SKÅNE LÄN</t>
        </is>
      </c>
      <c r="G348" t="inlineStr">
        <is>
          <t>KRISTIANSTAD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46343-2025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46219</v>
      </c>
      <c r="F349" t="inlineStr">
        <is>
          <t>SKÅNE LÄN</t>
        </is>
      </c>
      <c r="G349" t="inlineStr">
        <is>
          <t>KRISTIANSTAD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13972-2025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45738</v>
      </c>
      <c r="E350" s="1" t="n">
        <v>46219</v>
      </c>
      <c r="F350" t="inlineStr">
        <is>
          <t>SKÅNE LÄN</t>
        </is>
      </c>
      <c r="G350" t="inlineStr">
        <is>
          <t>KRISTIANSTAD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46336-2025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46219</v>
      </c>
      <c r="F351" t="inlineStr">
        <is>
          <t>SKÅNE LÄN</t>
        </is>
      </c>
      <c r="G351" t="inlineStr">
        <is>
          <t>KRISTIANSTAD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46340-2025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46219</v>
      </c>
      <c r="F352" t="inlineStr">
        <is>
          <t>SKÅNE LÄN</t>
        </is>
      </c>
      <c r="G352" t="inlineStr">
        <is>
          <t>KRISTIANSTAD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47303-2025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46219</v>
      </c>
      <c r="F353" t="inlineStr">
        <is>
          <t>SKÅNE LÄN</t>
        </is>
      </c>
      <c r="G353" t="inlineStr">
        <is>
          <t>KRISTIANSTAD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46525-2023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45197</v>
      </c>
      <c r="E354" s="1" t="n">
        <v>46219</v>
      </c>
      <c r="F354" t="inlineStr">
        <is>
          <t>SKÅNE LÄN</t>
        </is>
      </c>
      <c r="G354" t="inlineStr">
        <is>
          <t>KRISTIANSTAD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48173-2024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45589</v>
      </c>
      <c r="E355" s="1" t="n">
        <v>46219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1668-2024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45306</v>
      </c>
      <c r="E356" s="1" t="n">
        <v>46219</v>
      </c>
      <c r="F356" t="inlineStr">
        <is>
          <t>SKÅNE LÄN</t>
        </is>
      </c>
      <c r="G356" t="inlineStr">
        <is>
          <t>KRISTIANSTAD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42898-2023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45182</v>
      </c>
      <c r="E357" s="1" t="n">
        <v>46219</v>
      </c>
      <c r="F357" t="inlineStr">
        <is>
          <t>SKÅNE LÄN</t>
        </is>
      </c>
      <c r="G357" t="inlineStr">
        <is>
          <t>KRISTIANSTAD</t>
        </is>
      </c>
      <c r="H357" t="inlineStr">
        <is>
          <t>Sveaskog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53491-2021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44468</v>
      </c>
      <c r="E358" s="1" t="n">
        <v>46219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44378-2024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45573</v>
      </c>
      <c r="E359" s="1" t="n">
        <v>46219</v>
      </c>
      <c r="F359" t="inlineStr">
        <is>
          <t>SKÅNE LÄN</t>
        </is>
      </c>
      <c r="G359" t="inlineStr">
        <is>
          <t>KRISTIANSTAD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11505-2023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44993</v>
      </c>
      <c r="E360" s="1" t="n">
        <v>46219</v>
      </c>
      <c r="F360" t="inlineStr">
        <is>
          <t>SKÅNE LÄN</t>
        </is>
      </c>
      <c r="G360" t="inlineStr">
        <is>
          <t>KRISTIANSTAD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24583-2023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45083</v>
      </c>
      <c r="E361" s="1" t="n">
        <v>46219</v>
      </c>
      <c r="F361" t="inlineStr">
        <is>
          <t>SKÅNE LÄN</t>
        </is>
      </c>
      <c r="G361" t="inlineStr">
        <is>
          <t>KRISTIANSTAD</t>
        </is>
      </c>
      <c r="H361" t="inlineStr">
        <is>
          <t>Övriga Aktiebolag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27590-2024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45474</v>
      </c>
      <c r="E362" s="1" t="n">
        <v>46219</v>
      </c>
      <c r="F362" t="inlineStr">
        <is>
          <t>SKÅNE LÄN</t>
        </is>
      </c>
      <c r="G362" t="inlineStr">
        <is>
          <t>KRISTIANSTAD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62066-2022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44918</v>
      </c>
      <c r="E363" s="1" t="n">
        <v>46219</v>
      </c>
      <c r="F363" t="inlineStr">
        <is>
          <t>SKÅNE LÄN</t>
        </is>
      </c>
      <c r="G363" t="inlineStr">
        <is>
          <t>KRISTIANSTAD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14441-2023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46219</v>
      </c>
      <c r="F364" t="inlineStr">
        <is>
          <t>SKÅNE LÄN</t>
        </is>
      </c>
      <c r="G364" t="inlineStr">
        <is>
          <t>KRISTIANSTAD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47665-2025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45931</v>
      </c>
      <c r="E365" s="1" t="n">
        <v>46219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40330-2021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44419</v>
      </c>
      <c r="E366" s="1" t="n">
        <v>46219</v>
      </c>
      <c r="F366" t="inlineStr">
        <is>
          <t>SKÅNE LÄN</t>
        </is>
      </c>
      <c r="G366" t="inlineStr">
        <is>
          <t>KRISTIANSTAD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48378-2025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45933</v>
      </c>
      <c r="E367" s="1" t="n">
        <v>46219</v>
      </c>
      <c r="F367" t="inlineStr">
        <is>
          <t>SKÅNE LÄN</t>
        </is>
      </c>
      <c r="G367" t="inlineStr">
        <is>
          <t>KRISTIANSTAD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19880-2023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46219</v>
      </c>
      <c r="F368" t="inlineStr">
        <is>
          <t>SKÅNE LÄN</t>
        </is>
      </c>
      <c r="G368" t="inlineStr">
        <is>
          <t>KRISTIANSTAD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11997-2023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44995</v>
      </c>
      <c r="E369" s="1" t="n">
        <v>46219</v>
      </c>
      <c r="F369" t="inlineStr">
        <is>
          <t>SKÅNE LÄN</t>
        </is>
      </c>
      <c r="G369" t="inlineStr">
        <is>
          <t>KRISTIANSTAD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10988-2023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44991</v>
      </c>
      <c r="E370" s="1" t="n">
        <v>46219</v>
      </c>
      <c r="F370" t="inlineStr">
        <is>
          <t>SKÅNE LÄN</t>
        </is>
      </c>
      <c r="G370" t="inlineStr">
        <is>
          <t>KRISTIANSTAD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44938</v>
      </c>
      <c r="E371" s="1" t="n">
        <v>46219</v>
      </c>
      <c r="F371" t="inlineStr">
        <is>
          <t>SKÅNE LÄN</t>
        </is>
      </c>
      <c r="G371" t="inlineStr">
        <is>
          <t>KRISTIANSTAD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15322-2023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45019</v>
      </c>
      <c r="E372" s="1" t="n">
        <v>46219</v>
      </c>
      <c r="F372" t="inlineStr">
        <is>
          <t>SKÅNE LÄN</t>
        </is>
      </c>
      <c r="G372" t="inlineStr">
        <is>
          <t>KRISTIANSTAD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43966-2025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45915</v>
      </c>
      <c r="E373" s="1" t="n">
        <v>46219</v>
      </c>
      <c r="F373" t="inlineStr">
        <is>
          <t>SKÅNE LÄN</t>
        </is>
      </c>
      <c r="G373" t="inlineStr">
        <is>
          <t>KRISTIANSTAD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25765-2024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45465</v>
      </c>
      <c r="E374" s="1" t="n">
        <v>46219</v>
      </c>
      <c r="F374" t="inlineStr">
        <is>
          <t>SKÅNE LÄN</t>
        </is>
      </c>
      <c r="G374" t="inlineStr">
        <is>
          <t>KRISTIANSTAD</t>
        </is>
      </c>
      <c r="I374" t="n">
        <v>16.6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25767-2024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45465</v>
      </c>
      <c r="E375" s="1" t="n">
        <v>46219</v>
      </c>
      <c r="F375" t="inlineStr">
        <is>
          <t>SKÅNE LÄN</t>
        </is>
      </c>
      <c r="G375" t="inlineStr">
        <is>
          <t>KRISTIANSTAD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16565-2024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45408</v>
      </c>
      <c r="E376" s="1" t="n">
        <v>46219</v>
      </c>
      <c r="F376" t="inlineStr">
        <is>
          <t>SKÅNE LÄN</t>
        </is>
      </c>
      <c r="G376" t="inlineStr">
        <is>
          <t>KRISTIANSTAD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5987-2022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44599</v>
      </c>
      <c r="E377" s="1" t="n">
        <v>46219</v>
      </c>
      <c r="F377" t="inlineStr">
        <is>
          <t>SKÅNE LÄN</t>
        </is>
      </c>
      <c r="G377" t="inlineStr">
        <is>
          <t>KRISTIANSTAD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22074-2023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46219</v>
      </c>
      <c r="F378" t="inlineStr">
        <is>
          <t>SKÅNE LÄN</t>
        </is>
      </c>
      <c r="G378" t="inlineStr">
        <is>
          <t>KRISTIANSTAD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54392-2023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45226</v>
      </c>
      <c r="E379" s="1" t="n">
        <v>46219</v>
      </c>
      <c r="F379" t="inlineStr">
        <is>
          <t>SKÅNE LÄN</t>
        </is>
      </c>
      <c r="G379" t="inlineStr">
        <is>
          <t>KRISTIANSTAD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49567-2025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46219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49568-2025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46219</v>
      </c>
      <c r="F381" t="inlineStr">
        <is>
          <t>SKÅNE LÄN</t>
        </is>
      </c>
      <c r="G381" t="inlineStr">
        <is>
          <t>KRISTIANSTAD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32397-2023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46219</v>
      </c>
      <c r="F382" t="inlineStr">
        <is>
          <t>SKÅNE LÄN</t>
        </is>
      </c>
      <c r="G382" t="inlineStr">
        <is>
          <t>KRISTIANSTAD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49564-2025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46219</v>
      </c>
      <c r="F383" t="inlineStr">
        <is>
          <t>SKÅNE LÄN</t>
        </is>
      </c>
      <c r="G383" t="inlineStr">
        <is>
          <t>KRISTIANSTAD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49561-2025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45939</v>
      </c>
      <c r="E384" s="1" t="n">
        <v>46219</v>
      </c>
      <c r="F384" t="inlineStr">
        <is>
          <t>SKÅNE LÄN</t>
        </is>
      </c>
      <c r="G384" t="inlineStr">
        <is>
          <t>KRISTIANSTAD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49630-2025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45939</v>
      </c>
      <c r="E385" s="1" t="n">
        <v>46219</v>
      </c>
      <c r="F385" t="inlineStr">
        <is>
          <t>SKÅNE LÄN</t>
        </is>
      </c>
      <c r="G385" t="inlineStr">
        <is>
          <t>KRISTIANSTAD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49552-2025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46219</v>
      </c>
      <c r="F386" t="inlineStr">
        <is>
          <t>SKÅNE LÄN</t>
        </is>
      </c>
      <c r="G386" t="inlineStr">
        <is>
          <t>KRISTIANSTAD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45764-2022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44846</v>
      </c>
      <c r="E387" s="1" t="n">
        <v>46219</v>
      </c>
      <c r="F387" t="inlineStr">
        <is>
          <t>SKÅNE LÄN</t>
        </is>
      </c>
      <c r="G387" t="inlineStr">
        <is>
          <t>KRISTIANSTAD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28607-2023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45103</v>
      </c>
      <c r="E388" s="1" t="n">
        <v>46219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27932-2023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46219</v>
      </c>
      <c r="F389" t="inlineStr">
        <is>
          <t>SKÅNE LÄN</t>
        </is>
      </c>
      <c r="G389" t="inlineStr">
        <is>
          <t>KRISTIANSTAD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43314-2024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45568</v>
      </c>
      <c r="E390" s="1" t="n">
        <v>46219</v>
      </c>
      <c r="F390" t="inlineStr">
        <is>
          <t>SKÅNE LÄN</t>
        </is>
      </c>
      <c r="G390" t="inlineStr">
        <is>
          <t>KRISTIANSTAD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62397-2022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44923</v>
      </c>
      <c r="E391" s="1" t="n">
        <v>46219</v>
      </c>
      <c r="F391" t="inlineStr">
        <is>
          <t>SKÅNE LÄN</t>
        </is>
      </c>
      <c r="G391" t="inlineStr">
        <is>
          <t>KRISTIANSTAD</t>
        </is>
      </c>
      <c r="I391" t="n">
        <v>12.6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50655-2025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46219</v>
      </c>
      <c r="F392" t="inlineStr">
        <is>
          <t>SKÅNE LÄN</t>
        </is>
      </c>
      <c r="G392" t="inlineStr">
        <is>
          <t>KRISTIANSTAD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45493-2024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45577</v>
      </c>
      <c r="E393" s="1" t="n">
        <v>46219</v>
      </c>
      <c r="F393" t="inlineStr">
        <is>
          <t>SKÅNE LÄN</t>
        </is>
      </c>
      <c r="G393" t="inlineStr">
        <is>
          <t>KRISTIANSTAD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46772-2023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45198</v>
      </c>
      <c r="E394" s="1" t="n">
        <v>46219</v>
      </c>
      <c r="F394" t="inlineStr">
        <is>
          <t>SKÅNE LÄN</t>
        </is>
      </c>
      <c r="G394" t="inlineStr">
        <is>
          <t>KRISTIANSTAD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50658-2025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46219</v>
      </c>
      <c r="F395" t="inlineStr">
        <is>
          <t>SKÅNE LÄN</t>
        </is>
      </c>
      <c r="G395" t="inlineStr">
        <is>
          <t>KRISTIANSTAD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50659-2025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46219</v>
      </c>
      <c r="F396" t="inlineStr">
        <is>
          <t>SKÅNE LÄN</t>
        </is>
      </c>
      <c r="G396" t="inlineStr">
        <is>
          <t>KRISTIANSTAD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56930-2022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44894</v>
      </c>
      <c r="E397" s="1" t="n">
        <v>46219</v>
      </c>
      <c r="F397" t="inlineStr">
        <is>
          <t>SKÅNE LÄN</t>
        </is>
      </c>
      <c r="G397" t="inlineStr">
        <is>
          <t>KRISTIANSTAD</t>
        </is>
      </c>
      <c r="H397" t="inlineStr">
        <is>
          <t>Kyrkan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32013-2023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45119</v>
      </c>
      <c r="E398" s="1" t="n">
        <v>46219</v>
      </c>
      <c r="F398" t="inlineStr">
        <is>
          <t>SKÅNE LÄN</t>
        </is>
      </c>
      <c r="G398" t="inlineStr">
        <is>
          <t>KRISTIANSTAD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18524-2023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45042</v>
      </c>
      <c r="E399" s="1" t="n">
        <v>46219</v>
      </c>
      <c r="F399" t="inlineStr">
        <is>
          <t>SKÅNE LÄN</t>
        </is>
      </c>
      <c r="G399" t="inlineStr">
        <is>
          <t>KRISTIANSTAD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61402-2023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46219</v>
      </c>
      <c r="F400" t="inlineStr">
        <is>
          <t>SKÅNE LÄN</t>
        </is>
      </c>
      <c r="G400" t="inlineStr">
        <is>
          <t>KRISTIANSTAD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40423-2024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45555</v>
      </c>
      <c r="E401" s="1" t="n">
        <v>46219</v>
      </c>
      <c r="F401" t="inlineStr">
        <is>
          <t>SKÅNE LÄN</t>
        </is>
      </c>
      <c r="G401" t="inlineStr">
        <is>
          <t>KRISTIANSTAD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36907-2025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45874</v>
      </c>
      <c r="E402" s="1" t="n">
        <v>46219</v>
      </c>
      <c r="F402" t="inlineStr">
        <is>
          <t>SKÅNE LÄN</t>
        </is>
      </c>
      <c r="G402" t="inlineStr">
        <is>
          <t>KRISTIANSTAD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30601-2024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45493</v>
      </c>
      <c r="E403" s="1" t="n">
        <v>46219</v>
      </c>
      <c r="F403" t="inlineStr">
        <is>
          <t>SKÅNE LÄN</t>
        </is>
      </c>
      <c r="G403" t="inlineStr">
        <is>
          <t>KRISTIANSTAD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41023-2025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45898</v>
      </c>
      <c r="E404" s="1" t="n">
        <v>46219</v>
      </c>
      <c r="F404" t="inlineStr">
        <is>
          <t>SKÅNE LÄN</t>
        </is>
      </c>
      <c r="G404" t="inlineStr">
        <is>
          <t>KRISTIANSTAD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52171-2025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45953</v>
      </c>
      <c r="E405" s="1" t="n">
        <v>46219</v>
      </c>
      <c r="F405" t="inlineStr">
        <is>
          <t>SKÅNE LÄN</t>
        </is>
      </c>
      <c r="G405" t="inlineStr">
        <is>
          <t>KRISTIANSTAD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6719-2024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45342</v>
      </c>
      <c r="E406" s="1" t="n">
        <v>46219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13975-2025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45738</v>
      </c>
      <c r="E407" s="1" t="n">
        <v>46219</v>
      </c>
      <c r="F407" t="inlineStr">
        <is>
          <t>SKÅNE LÄN</t>
        </is>
      </c>
      <c r="G407" t="inlineStr">
        <is>
          <t>KRISTIANSTAD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13976-2025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45738</v>
      </c>
      <c r="E408" s="1" t="n">
        <v>46219</v>
      </c>
      <c r="F408" t="inlineStr">
        <is>
          <t>SKÅNE LÄN</t>
        </is>
      </c>
      <c r="G408" t="inlineStr">
        <is>
          <t>KRISTIANSTAD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52406-2025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45954</v>
      </c>
      <c r="E409" s="1" t="n">
        <v>46219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52409-2025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45954</v>
      </c>
      <c r="E410" s="1" t="n">
        <v>46219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2437-2024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45311</v>
      </c>
      <c r="E411" s="1" t="n">
        <v>46219</v>
      </c>
      <c r="F411" t="inlineStr">
        <is>
          <t>SKÅNE LÄN</t>
        </is>
      </c>
      <c r="G411" t="inlineStr">
        <is>
          <t>KRISTIANSTAD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53179-2025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46219</v>
      </c>
      <c r="F412" t="inlineStr">
        <is>
          <t>SKÅNE LÄN</t>
        </is>
      </c>
      <c r="G412" t="inlineStr">
        <is>
          <t>KRISTIANSTAD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1871-2024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45307</v>
      </c>
      <c r="E413" s="1" t="n">
        <v>46219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18035-2025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45761</v>
      </c>
      <c r="E414" s="1" t="n">
        <v>46219</v>
      </c>
      <c r="F414" t="inlineStr">
        <is>
          <t>SKÅNE LÄN</t>
        </is>
      </c>
      <c r="G414" t="inlineStr">
        <is>
          <t>KRISTIANSTAD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46469-2024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45582</v>
      </c>
      <c r="E415" s="1" t="n">
        <v>46219</v>
      </c>
      <c r="F415" t="inlineStr">
        <is>
          <t>SKÅNE LÄN</t>
        </is>
      </c>
      <c r="G415" t="inlineStr">
        <is>
          <t>KRISTIANSTAD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10464-2024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45366</v>
      </c>
      <c r="E416" s="1" t="n">
        <v>46219</v>
      </c>
      <c r="F416" t="inlineStr">
        <is>
          <t>SKÅNE LÄN</t>
        </is>
      </c>
      <c r="G416" t="inlineStr">
        <is>
          <t>KRISTIANSTAD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53525-2025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46219</v>
      </c>
      <c r="F417" t="inlineStr">
        <is>
          <t>SKÅNE LÄN</t>
        </is>
      </c>
      <c r="G417" t="inlineStr">
        <is>
          <t>KRISTIANSTAD</t>
        </is>
      </c>
      <c r="H417" t="inlineStr">
        <is>
          <t>Övriga Aktiebolag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22277-2024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45446</v>
      </c>
      <c r="E418" s="1" t="n">
        <v>46219</v>
      </c>
      <c r="F418" t="inlineStr">
        <is>
          <t>SKÅNE LÄN</t>
        </is>
      </c>
      <c r="G418" t="inlineStr">
        <is>
          <t>KRISTIANSTAD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1733-2024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45307</v>
      </c>
      <c r="E419" s="1" t="n">
        <v>46219</v>
      </c>
      <c r="F419" t="inlineStr">
        <is>
          <t>SKÅNE LÄN</t>
        </is>
      </c>
      <c r="G419" t="inlineStr">
        <is>
          <t>KRISTIANSTAD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9899-2025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45716</v>
      </c>
      <c r="E420" s="1" t="n">
        <v>46219</v>
      </c>
      <c r="F420" t="inlineStr">
        <is>
          <t>SKÅNE LÄN</t>
        </is>
      </c>
      <c r="G420" t="inlineStr">
        <is>
          <t>KRISTIANSTAD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42919-2024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46219</v>
      </c>
      <c r="F421" t="inlineStr">
        <is>
          <t>SKÅNE LÄN</t>
        </is>
      </c>
      <c r="G421" t="inlineStr">
        <is>
          <t>KRISTIANSTAD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58269-2022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44894</v>
      </c>
      <c r="E422" s="1" t="n">
        <v>46219</v>
      </c>
      <c r="F422" t="inlineStr">
        <is>
          <t>SKÅNE LÄN</t>
        </is>
      </c>
      <c r="G422" t="inlineStr">
        <is>
          <t>KRISTIANSTAD</t>
        </is>
      </c>
      <c r="I422" t="n">
        <v>14.9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29854-2026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46219</v>
      </c>
      <c r="F423" t="inlineStr">
        <is>
          <t>SKÅNE LÄN</t>
        </is>
      </c>
      <c r="G423" t="inlineStr">
        <is>
          <t>KRISTIANSTAD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27402-2026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46219</v>
      </c>
      <c r="F424" t="inlineStr">
        <is>
          <t>SKÅNE LÄN</t>
        </is>
      </c>
      <c r="G424" t="inlineStr">
        <is>
          <t>KRISTIANSTAD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25714-2025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45803</v>
      </c>
      <c r="E425" s="1" t="n">
        <v>46219</v>
      </c>
      <c r="F425" t="inlineStr">
        <is>
          <t>SKÅNE LÄN</t>
        </is>
      </c>
      <c r="G425" t="inlineStr">
        <is>
          <t>KRISTIANSTAD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11272-2023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44992</v>
      </c>
      <c r="E426" s="1" t="n">
        <v>46219</v>
      </c>
      <c r="F426" t="inlineStr">
        <is>
          <t>SKÅNE LÄN</t>
        </is>
      </c>
      <c r="G426" t="inlineStr">
        <is>
          <t>KRISTIANSTAD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11721-2025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45727</v>
      </c>
      <c r="E427" s="1" t="n">
        <v>46219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16527-2026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46219</v>
      </c>
      <c r="F428" t="inlineStr">
        <is>
          <t>SKÅNE LÄN</t>
        </is>
      </c>
      <c r="G428" t="inlineStr">
        <is>
          <t>KRISTIANSTAD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941-2023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44933</v>
      </c>
      <c r="E429" s="1" t="n">
        <v>46219</v>
      </c>
      <c r="F429" t="inlineStr">
        <is>
          <t>SKÅNE LÄN</t>
        </is>
      </c>
      <c r="G429" t="inlineStr">
        <is>
          <t>KRISTIANSTAD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7055-2024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45343</v>
      </c>
      <c r="E430" s="1" t="n">
        <v>46219</v>
      </c>
      <c r="F430" t="inlineStr">
        <is>
          <t>SKÅNE LÄN</t>
        </is>
      </c>
      <c r="G430" t="inlineStr">
        <is>
          <t>KRISTIANSTAD</t>
        </is>
      </c>
      <c r="H430" t="inlineStr">
        <is>
          <t>Sveaskog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55631-2025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45972</v>
      </c>
      <c r="E431" s="1" t="n">
        <v>46219</v>
      </c>
      <c r="F431" t="inlineStr">
        <is>
          <t>SKÅNE LÄN</t>
        </is>
      </c>
      <c r="G431" t="inlineStr">
        <is>
          <t>KRISTIANSTAD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46523-2023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45197</v>
      </c>
      <c r="E432" s="1" t="n">
        <v>46219</v>
      </c>
      <c r="F432" t="inlineStr">
        <is>
          <t>SKÅNE LÄN</t>
        </is>
      </c>
      <c r="G432" t="inlineStr">
        <is>
          <t>KRISTIANSTAD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57976-2023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45247</v>
      </c>
      <c r="E433" s="1" t="n">
        <v>46219</v>
      </c>
      <c r="F433" t="inlineStr">
        <is>
          <t>SKÅNE LÄN</t>
        </is>
      </c>
      <c r="G433" t="inlineStr">
        <is>
          <t>KRISTIANSTAD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32103-2023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45119</v>
      </c>
      <c r="E434" s="1" t="n">
        <v>46219</v>
      </c>
      <c r="F434" t="inlineStr">
        <is>
          <t>SKÅNE LÄN</t>
        </is>
      </c>
      <c r="G434" t="inlineStr">
        <is>
          <t>KRISTIANSTAD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27948-2023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45098</v>
      </c>
      <c r="E435" s="1" t="n">
        <v>46219</v>
      </c>
      <c r="F435" t="inlineStr">
        <is>
          <t>SKÅNE LÄN</t>
        </is>
      </c>
      <c r="G435" t="inlineStr">
        <is>
          <t>KRISTIANSTAD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56011-2025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46219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28654-2024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45478</v>
      </c>
      <c r="E437" s="1" t="n">
        <v>46219</v>
      </c>
      <c r="F437" t="inlineStr">
        <is>
          <t>SKÅNE LÄN</t>
        </is>
      </c>
      <c r="G437" t="inlineStr">
        <is>
          <t>KRISTIANSTAD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56042-2025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46219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50294-2024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45600</v>
      </c>
      <c r="E439" s="1" t="n">
        <v>46219</v>
      </c>
      <c r="F439" t="inlineStr">
        <is>
          <t>SKÅNE LÄN</t>
        </is>
      </c>
      <c r="G439" t="inlineStr">
        <is>
          <t>KRISTIANSTAD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13070-2023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45002</v>
      </c>
      <c r="E440" s="1" t="n">
        <v>46219</v>
      </c>
      <c r="F440" t="inlineStr">
        <is>
          <t>SKÅNE LÄN</t>
        </is>
      </c>
      <c r="G440" t="inlineStr">
        <is>
          <t>KRISTIANSTAD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36160-2023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45149</v>
      </c>
      <c r="E441" s="1" t="n">
        <v>46219</v>
      </c>
      <c r="F441" t="inlineStr">
        <is>
          <t>SKÅNE LÄN</t>
        </is>
      </c>
      <c r="G441" t="inlineStr">
        <is>
          <t>KRISTIANSTAD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13211-2023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45002</v>
      </c>
      <c r="E442" s="1" t="n">
        <v>46219</v>
      </c>
      <c r="F442" t="inlineStr">
        <is>
          <t>SKÅNE LÄN</t>
        </is>
      </c>
      <c r="G442" t="inlineStr">
        <is>
          <t>KRISTIANSTAD</t>
        </is>
      </c>
      <c r="H442" t="inlineStr">
        <is>
          <t>Kyrkan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30844-2026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46212</v>
      </c>
      <c r="E443" s="1" t="n">
        <v>46219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45326</v>
      </c>
      <c r="E444" s="1" t="n">
        <v>46219</v>
      </c>
      <c r="F444" t="inlineStr">
        <is>
          <t>SKÅNE LÄN</t>
        </is>
      </c>
      <c r="G444" t="inlineStr">
        <is>
          <t>KRISTIANSTAD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42092-2025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45903</v>
      </c>
      <c r="E445" s="1" t="n">
        <v>46219</v>
      </c>
      <c r="F445" t="inlineStr">
        <is>
          <t>SKÅNE LÄN</t>
        </is>
      </c>
      <c r="G445" t="inlineStr">
        <is>
          <t>KRISTIANSTAD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57016-2025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46219</v>
      </c>
      <c r="F446" t="inlineStr">
        <is>
          <t>SKÅNE LÄN</t>
        </is>
      </c>
      <c r="G446" t="inlineStr">
        <is>
          <t>KRISTIANSTAD</t>
        </is>
      </c>
      <c r="I446" t="n">
        <v>7.6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57351-2025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45979</v>
      </c>
      <c r="E447" s="1" t="n">
        <v>46219</v>
      </c>
      <c r="F447" t="inlineStr">
        <is>
          <t>SKÅNE LÄN</t>
        </is>
      </c>
      <c r="G447" t="inlineStr">
        <is>
          <t>KRISTIANSTAD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24347-2026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46219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30811-2026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46219</v>
      </c>
      <c r="F449" t="inlineStr">
        <is>
          <t>SKÅNE LÄN</t>
        </is>
      </c>
      <c r="G449" t="inlineStr">
        <is>
          <t>KRISTIANSTAD</t>
        </is>
      </c>
      <c r="H449" t="inlineStr">
        <is>
          <t>Sveaskog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37983-2024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45544</v>
      </c>
      <c r="E450" s="1" t="n">
        <v>46219</v>
      </c>
      <c r="F450" t="inlineStr">
        <is>
          <t>SKÅNE LÄN</t>
        </is>
      </c>
      <c r="G450" t="inlineStr">
        <is>
          <t>KRISTIANSTAD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61701-2024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45648</v>
      </c>
      <c r="E451" s="1" t="n">
        <v>46219</v>
      </c>
      <c r="F451" t="inlineStr">
        <is>
          <t>SKÅNE LÄN</t>
        </is>
      </c>
      <c r="G451" t="inlineStr">
        <is>
          <t>KRISTIANSTAD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40661-2022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44824</v>
      </c>
      <c r="E452" s="1" t="n">
        <v>46219</v>
      </c>
      <c r="F452" t="inlineStr">
        <is>
          <t>SKÅNE LÄN</t>
        </is>
      </c>
      <c r="G452" t="inlineStr">
        <is>
          <t>KRISTIANSTAD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30851-2026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46212</v>
      </c>
      <c r="E453" s="1" t="n">
        <v>46219</v>
      </c>
      <c r="F453" t="inlineStr">
        <is>
          <t>SKÅNE LÄN</t>
        </is>
      </c>
      <c r="G453" t="inlineStr">
        <is>
          <t>KRISTIANSTAD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32701-2023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45121</v>
      </c>
      <c r="E454" s="1" t="n">
        <v>46219</v>
      </c>
      <c r="F454" t="inlineStr">
        <is>
          <t>SKÅNE LÄN</t>
        </is>
      </c>
      <c r="G454" t="inlineStr">
        <is>
          <t>KRISTIANSTAD</t>
        </is>
      </c>
      <c r="H454" t="inlineStr">
        <is>
          <t>Sveaskog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30849-2026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46219</v>
      </c>
      <c r="F455" t="inlineStr">
        <is>
          <t>SKÅNE LÄN</t>
        </is>
      </c>
      <c r="G455" t="inlineStr">
        <is>
          <t>KRISTIANSTAD</t>
        </is>
      </c>
      <c r="H455" t="inlineStr">
        <is>
          <t>Sveaskog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64626-2023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45281</v>
      </c>
      <c r="E456" s="1" t="n">
        <v>46219</v>
      </c>
      <c r="F456" t="inlineStr">
        <is>
          <t>SKÅNE LÄN</t>
        </is>
      </c>
      <c r="G456" t="inlineStr">
        <is>
          <t>KRISTIANSTAD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72100-2021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44544</v>
      </c>
      <c r="E457" s="1" t="n">
        <v>46219</v>
      </c>
      <c r="F457" t="inlineStr">
        <is>
          <t>SKÅNE LÄN</t>
        </is>
      </c>
      <c r="G457" t="inlineStr">
        <is>
          <t>KRISTIANSTAD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13522-2024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45387</v>
      </c>
      <c r="E458" s="1" t="n">
        <v>46219</v>
      </c>
      <c r="F458" t="inlineStr">
        <is>
          <t>SKÅNE LÄN</t>
        </is>
      </c>
      <c r="G458" t="inlineStr">
        <is>
          <t>KRISTIANSTAD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1833-2024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45307</v>
      </c>
      <c r="E459" s="1" t="n">
        <v>46219</v>
      </c>
      <c r="F459" t="inlineStr">
        <is>
          <t>SKÅNE LÄN</t>
        </is>
      </c>
      <c r="G459" t="inlineStr">
        <is>
          <t>KRISTIANSTAD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14471-2024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45394</v>
      </c>
      <c r="E460" s="1" t="n">
        <v>46219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25803-2024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45467</v>
      </c>
      <c r="E461" s="1" t="n">
        <v>46219</v>
      </c>
      <c r="F461" t="inlineStr">
        <is>
          <t>SKÅNE LÄN</t>
        </is>
      </c>
      <c r="G461" t="inlineStr">
        <is>
          <t>KRISTIANSTAD</t>
        </is>
      </c>
      <c r="I461" t="n">
        <v>5.8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38121-2025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46219</v>
      </c>
      <c r="F462" t="inlineStr">
        <is>
          <t>SKÅNE LÄN</t>
        </is>
      </c>
      <c r="G462" t="inlineStr">
        <is>
          <t>KRISTIANSTAD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6451-2024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45338</v>
      </c>
      <c r="E463" s="1" t="n">
        <v>46219</v>
      </c>
      <c r="F463" t="inlineStr">
        <is>
          <t>SKÅNE LÄN</t>
        </is>
      </c>
      <c r="G463" t="inlineStr">
        <is>
          <t>KRISTIANSTAD</t>
        </is>
      </c>
      <c r="I463" t="n">
        <v>15.8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58477-2025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46219</v>
      </c>
      <c r="F464" t="inlineStr">
        <is>
          <t>SKÅNE LÄN</t>
        </is>
      </c>
      <c r="G464" t="inlineStr">
        <is>
          <t>KRISTIANSTAD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18744-2025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45763</v>
      </c>
      <c r="E465" s="1" t="n">
        <v>46219</v>
      </c>
      <c r="F465" t="inlineStr">
        <is>
          <t>SKÅNE LÄN</t>
        </is>
      </c>
      <c r="G465" t="inlineStr">
        <is>
          <t>KRISTIANSTAD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45494-2024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45577</v>
      </c>
      <c r="E466" s="1" t="n">
        <v>46219</v>
      </c>
      <c r="F466" t="inlineStr">
        <is>
          <t>SKÅNE LÄN</t>
        </is>
      </c>
      <c r="G466" t="inlineStr">
        <is>
          <t>KRISTIANSTAD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13820-2023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46219</v>
      </c>
      <c r="F467" t="inlineStr">
        <is>
          <t>SKÅNE LÄN</t>
        </is>
      </c>
      <c r="G467" t="inlineStr">
        <is>
          <t>KRISTIANSTAD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45658-2024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45579</v>
      </c>
      <c r="E468" s="1" t="n">
        <v>46219</v>
      </c>
      <c r="F468" t="inlineStr">
        <is>
          <t>SKÅNE LÄN</t>
        </is>
      </c>
      <c r="G468" t="inlineStr">
        <is>
          <t>KRISTIANSTAD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27584-2024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46219</v>
      </c>
      <c r="F469" t="inlineStr">
        <is>
          <t>SKÅNE LÄN</t>
        </is>
      </c>
      <c r="G469" t="inlineStr">
        <is>
          <t>KRISTIANSTAD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19997-2026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46219</v>
      </c>
      <c r="F470" t="inlineStr">
        <is>
          <t>SKÅNE LÄN</t>
        </is>
      </c>
      <c r="G470" t="inlineStr">
        <is>
          <t>KRISTIANSTAD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31038-2026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46214</v>
      </c>
      <c r="E471" s="1" t="n">
        <v>46219</v>
      </c>
      <c r="F471" t="inlineStr">
        <is>
          <t>SKÅNE LÄN</t>
        </is>
      </c>
      <c r="G471" t="inlineStr">
        <is>
          <t>KRISTIANSTAD</t>
        </is>
      </c>
      <c r="H471" t="inlineStr">
        <is>
          <t>Sveaskog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31374-2022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44774</v>
      </c>
      <c r="E472" s="1" t="n">
        <v>46219</v>
      </c>
      <c r="F472" t="inlineStr">
        <is>
          <t>SKÅNE LÄN</t>
        </is>
      </c>
      <c r="G472" t="inlineStr">
        <is>
          <t>KRISTIANSTAD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42248-2023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45180</v>
      </c>
      <c r="E473" s="1" t="n">
        <v>46219</v>
      </c>
      <c r="F473" t="inlineStr">
        <is>
          <t>SKÅNE LÄN</t>
        </is>
      </c>
      <c r="G473" t="inlineStr">
        <is>
          <t>KRISTIANSTAD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50516-2022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44866</v>
      </c>
      <c r="E474" s="1" t="n">
        <v>46219</v>
      </c>
      <c r="F474" t="inlineStr">
        <is>
          <t>SKÅNE LÄN</t>
        </is>
      </c>
      <c r="G474" t="inlineStr">
        <is>
          <t>KRISTIANSTAD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49143-2025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45938</v>
      </c>
      <c r="E475" s="1" t="n">
        <v>46219</v>
      </c>
      <c r="F475" t="inlineStr">
        <is>
          <t>SKÅNE LÄN</t>
        </is>
      </c>
      <c r="G475" t="inlineStr">
        <is>
          <t>KRISTIANSTAD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5623-2024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45334</v>
      </c>
      <c r="E476" s="1" t="n">
        <v>46219</v>
      </c>
      <c r="F476" t="inlineStr">
        <is>
          <t>SKÅNE LÄN</t>
        </is>
      </c>
      <c r="G476" t="inlineStr">
        <is>
          <t>KRISTIANSTAD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58879-2025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45987</v>
      </c>
      <c r="E477" s="1" t="n">
        <v>46219</v>
      </c>
      <c r="F477" t="inlineStr">
        <is>
          <t>SKÅNE LÄN</t>
        </is>
      </c>
      <c r="G477" t="inlineStr">
        <is>
          <t>KRISTIANSTAD</t>
        </is>
      </c>
      <c r="H477" t="inlineStr">
        <is>
          <t>Sveaskog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46793-2025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45926</v>
      </c>
      <c r="E478" s="1" t="n">
        <v>46219</v>
      </c>
      <c r="F478" t="inlineStr">
        <is>
          <t>SKÅNE LÄN</t>
        </is>
      </c>
      <c r="G478" t="inlineStr">
        <is>
          <t>KRISTIANSTAD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59535-2025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45989</v>
      </c>
      <c r="E479" s="1" t="n">
        <v>46219</v>
      </c>
      <c r="F479" t="inlineStr">
        <is>
          <t>SKÅNE LÄN</t>
        </is>
      </c>
      <c r="G479" t="inlineStr">
        <is>
          <t>KRISTIANSTAD</t>
        </is>
      </c>
      <c r="H479" t="inlineStr">
        <is>
          <t>Övriga Aktiebolag</t>
        </is>
      </c>
      <c r="I479" t="n">
        <v>9.199999999999999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60380-2024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45643</v>
      </c>
      <c r="E480" s="1" t="n">
        <v>46219</v>
      </c>
      <c r="F480" t="inlineStr">
        <is>
          <t>SKÅNE LÄN</t>
        </is>
      </c>
      <c r="G480" t="inlineStr">
        <is>
          <t>KRISTIANSTAD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36158-2023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45149</v>
      </c>
      <c r="E481" s="1" t="n">
        <v>46219</v>
      </c>
      <c r="F481" t="inlineStr">
        <is>
          <t>SKÅNE LÄN</t>
        </is>
      </c>
      <c r="G481" t="inlineStr">
        <is>
          <t>KRISTIANSTAD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61356-2023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45260</v>
      </c>
      <c r="E482" s="1" t="n">
        <v>46219</v>
      </c>
      <c r="F482" t="inlineStr">
        <is>
          <t>SKÅNE LÄN</t>
        </is>
      </c>
      <c r="G482" t="inlineStr">
        <is>
          <t>KRISTIANSTAD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39935-2023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45168</v>
      </c>
      <c r="E483" s="1" t="n">
        <v>46219</v>
      </c>
      <c r="F483" t="inlineStr">
        <is>
          <t>SKÅNE LÄN</t>
        </is>
      </c>
      <c r="G483" t="inlineStr">
        <is>
          <t>KRISTIANSTAD</t>
        </is>
      </c>
      <c r="H483" t="inlineStr">
        <is>
          <t>Sveaskog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59534-2025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45989</v>
      </c>
      <c r="E484" s="1" t="n">
        <v>46219</v>
      </c>
      <c r="F484" t="inlineStr">
        <is>
          <t>SKÅNE LÄN</t>
        </is>
      </c>
      <c r="G484" t="inlineStr">
        <is>
          <t>KRISTIANSTAD</t>
        </is>
      </c>
      <c r="H484" t="inlineStr">
        <is>
          <t>Övriga Aktiebolag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3904-2022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44587</v>
      </c>
      <c r="E485" s="1" t="n">
        <v>46219</v>
      </c>
      <c r="F485" t="inlineStr">
        <is>
          <t>SKÅNE LÄN</t>
        </is>
      </c>
      <c r="G485" t="inlineStr">
        <is>
          <t>KRISTIANSTAD</t>
        </is>
      </c>
      <c r="H485" t="inlineStr">
        <is>
          <t>Sveaskog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31292-2026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46218</v>
      </c>
      <c r="E486" s="1" t="n">
        <v>46219</v>
      </c>
      <c r="F486" t="inlineStr">
        <is>
          <t>SKÅNE LÄN</t>
        </is>
      </c>
      <c r="G486" t="inlineStr">
        <is>
          <t>KRISTIANSTAD</t>
        </is>
      </c>
      <c r="H486" t="inlineStr">
        <is>
          <t>Sveaskog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4248-2025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45685</v>
      </c>
      <c r="E487" s="1" t="n">
        <v>46219</v>
      </c>
      <c r="F487" t="inlineStr">
        <is>
          <t>SKÅNE LÄN</t>
        </is>
      </c>
      <c r="G487" t="inlineStr">
        <is>
          <t>KRISTIANSTAD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60008-2025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45993</v>
      </c>
      <c r="E488" s="1" t="n">
        <v>46219</v>
      </c>
      <c r="F488" t="inlineStr">
        <is>
          <t>SKÅNE LÄN</t>
        </is>
      </c>
      <c r="G488" t="inlineStr">
        <is>
          <t>KRISTIANSTAD</t>
        </is>
      </c>
      <c r="H488" t="inlineStr">
        <is>
          <t>Övriga Aktiebolag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60007-2025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46219</v>
      </c>
      <c r="F489" t="inlineStr">
        <is>
          <t>SKÅNE LÄN</t>
        </is>
      </c>
      <c r="G489" t="inlineStr">
        <is>
          <t>KRISTIANSTAD</t>
        </is>
      </c>
      <c r="H489" t="inlineStr">
        <is>
          <t>Övriga Aktiebolag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13954-2025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45737</v>
      </c>
      <c r="E490" s="1" t="n">
        <v>46219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60012-2025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45993</v>
      </c>
      <c r="E491" s="1" t="n">
        <v>46219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28442-2024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45477</v>
      </c>
      <c r="E492" s="1" t="n">
        <v>46219</v>
      </c>
      <c r="F492" t="inlineStr">
        <is>
          <t>SKÅNE LÄN</t>
        </is>
      </c>
      <c r="G492" t="inlineStr">
        <is>
          <t>KRISTIANSTAD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26652-2026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46219</v>
      </c>
      <c r="F493" t="inlineStr">
        <is>
          <t>SKÅNE LÄN</t>
        </is>
      </c>
      <c r="G493" t="inlineStr">
        <is>
          <t>KRISTIANSTAD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63931-2023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45278</v>
      </c>
      <c r="E494" s="1" t="n">
        <v>46219</v>
      </c>
      <c r="F494" t="inlineStr">
        <is>
          <t>SKÅNE LÄN</t>
        </is>
      </c>
      <c r="G494" t="inlineStr">
        <is>
          <t>KRISTIANSTAD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27398-2026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46219</v>
      </c>
      <c r="F495" t="inlineStr">
        <is>
          <t>SKÅNE LÄN</t>
        </is>
      </c>
      <c r="G495" t="inlineStr">
        <is>
          <t>KRISTIANSTAD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13952-2025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45737</v>
      </c>
      <c r="E496" s="1" t="n">
        <v>46219</v>
      </c>
      <c r="F496" t="inlineStr">
        <is>
          <t>SKÅNE LÄN</t>
        </is>
      </c>
      <c r="G496" t="inlineStr">
        <is>
          <t>KRISTIANSTAD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13974-2025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45738</v>
      </c>
      <c r="E497" s="1" t="n">
        <v>46219</v>
      </c>
      <c r="F497" t="inlineStr">
        <is>
          <t>SKÅNE LÄN</t>
        </is>
      </c>
      <c r="G497" t="inlineStr">
        <is>
          <t>KRISTIANSTAD</t>
        </is>
      </c>
      <c r="I497" t="n">
        <v>11.3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60474-2022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44904</v>
      </c>
      <c r="E498" s="1" t="n">
        <v>46219</v>
      </c>
      <c r="F498" t="inlineStr">
        <is>
          <t>SKÅNE LÄN</t>
        </is>
      </c>
      <c r="G498" t="inlineStr">
        <is>
          <t>KRISTIANSTAD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42061-2024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45561</v>
      </c>
      <c r="E499" s="1" t="n">
        <v>46219</v>
      </c>
      <c r="F499" t="inlineStr">
        <is>
          <t>SKÅNE LÄN</t>
        </is>
      </c>
      <c r="G499" t="inlineStr">
        <is>
          <t>KRISTIANSTAD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31219-2026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46217</v>
      </c>
      <c r="E500" s="1" t="n">
        <v>46219</v>
      </c>
      <c r="F500" t="inlineStr">
        <is>
          <t>SKÅNE LÄN</t>
        </is>
      </c>
      <c r="G500" t="inlineStr">
        <is>
          <t>KRISTIANSTAD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12615-2023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45000</v>
      </c>
      <c r="E501" s="1" t="n">
        <v>46219</v>
      </c>
      <c r="F501" t="inlineStr">
        <is>
          <t>SKÅNE LÄN</t>
        </is>
      </c>
      <c r="G501" t="inlineStr">
        <is>
          <t>KRISTIANSTAD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34610-2025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45846</v>
      </c>
      <c r="E502" s="1" t="n">
        <v>46219</v>
      </c>
      <c r="F502" t="inlineStr">
        <is>
          <t>SKÅNE LÄN</t>
        </is>
      </c>
      <c r="G502" t="inlineStr">
        <is>
          <t>KRISTIANSTAD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43312-2024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45568</v>
      </c>
      <c r="E503" s="1" t="n">
        <v>46219</v>
      </c>
      <c r="F503" t="inlineStr">
        <is>
          <t>SKÅNE LÄN</t>
        </is>
      </c>
      <c r="G503" t="inlineStr">
        <is>
          <t>KRISTIANSTAD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61557-2025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46001</v>
      </c>
      <c r="E504" s="1" t="n">
        <v>46219</v>
      </c>
      <c r="F504" t="inlineStr">
        <is>
          <t>SKÅNE LÄN</t>
        </is>
      </c>
      <c r="G504" t="inlineStr">
        <is>
          <t>KRISTIANSTAD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33320-2023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45127</v>
      </c>
      <c r="E505" s="1" t="n">
        <v>46219</v>
      </c>
      <c r="F505" t="inlineStr">
        <is>
          <t>SKÅNE LÄN</t>
        </is>
      </c>
      <c r="G505" t="inlineStr">
        <is>
          <t>KRISTIANSTAD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2974-2024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45315</v>
      </c>
      <c r="E506" s="1" t="n">
        <v>46219</v>
      </c>
      <c r="F506" t="inlineStr">
        <is>
          <t>SKÅNE LÄN</t>
        </is>
      </c>
      <c r="G506" t="inlineStr">
        <is>
          <t>KRISTIANSTAD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17024-2025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45755</v>
      </c>
      <c r="E507" s="1" t="n">
        <v>46219</v>
      </c>
      <c r="F507" t="inlineStr">
        <is>
          <t>SKÅNE LÄN</t>
        </is>
      </c>
      <c r="G507" t="inlineStr">
        <is>
          <t>KRISTIANSTAD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60997-2024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45644</v>
      </c>
      <c r="E508" s="1" t="n">
        <v>46219</v>
      </c>
      <c r="F508" t="inlineStr">
        <is>
          <t>SKÅNE LÄN</t>
        </is>
      </c>
      <c r="G508" t="inlineStr">
        <is>
          <t>KRISTIANSTAD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62295-2025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46219</v>
      </c>
      <c r="F509" t="inlineStr">
        <is>
          <t>SKÅNE LÄN</t>
        </is>
      </c>
      <c r="G509" t="inlineStr">
        <is>
          <t>KRISTIANSTAD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32814-2023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45124</v>
      </c>
      <c r="E510" s="1" t="n">
        <v>46219</v>
      </c>
      <c r="F510" t="inlineStr">
        <is>
          <t>SKÅNE LÄN</t>
        </is>
      </c>
      <c r="G510" t="inlineStr">
        <is>
          <t>KRISTIANSTAD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40145-2024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45554</v>
      </c>
      <c r="E511" s="1" t="n">
        <v>46219</v>
      </c>
      <c r="F511" t="inlineStr">
        <is>
          <t>SKÅNE LÄN</t>
        </is>
      </c>
      <c r="G511" t="inlineStr">
        <is>
          <t>KRISTIANSTAD</t>
        </is>
      </c>
      <c r="I511" t="n">
        <v>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7018-2024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45343</v>
      </c>
      <c r="E512" s="1" t="n">
        <v>46219</v>
      </c>
      <c r="F512" t="inlineStr">
        <is>
          <t>SKÅNE LÄN</t>
        </is>
      </c>
      <c r="G512" t="inlineStr">
        <is>
          <t>KRISTIANSTAD</t>
        </is>
      </c>
      <c r="H512" t="inlineStr">
        <is>
          <t>Sveaskog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17371-2024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45414</v>
      </c>
      <c r="E513" s="1" t="n">
        <v>46219</v>
      </c>
      <c r="F513" t="inlineStr">
        <is>
          <t>SKÅNE LÄN</t>
        </is>
      </c>
      <c r="G513" t="inlineStr">
        <is>
          <t>KRISTIANSTAD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5853-2022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44596</v>
      </c>
      <c r="E514" s="1" t="n">
        <v>46219</v>
      </c>
      <c r="F514" t="inlineStr">
        <is>
          <t>SKÅNE LÄN</t>
        </is>
      </c>
      <c r="G514" t="inlineStr">
        <is>
          <t>KRISTIANSTAD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30220-2024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45490</v>
      </c>
      <c r="E515" s="1" t="n">
        <v>46219</v>
      </c>
      <c r="F515" t="inlineStr">
        <is>
          <t>SKÅNE LÄN</t>
        </is>
      </c>
      <c r="G515" t="inlineStr">
        <is>
          <t>KRISTIANSTAD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40300-2024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45554</v>
      </c>
      <c r="E516" s="1" t="n">
        <v>46219</v>
      </c>
      <c r="F516" t="inlineStr">
        <is>
          <t>SKÅNE LÄN</t>
        </is>
      </c>
      <c r="G516" t="inlineStr">
        <is>
          <t>KRISTIANSTAD</t>
        </is>
      </c>
      <c r="I516" t="n">
        <v>12.6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12315-2025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45729</v>
      </c>
      <c r="E517" s="1" t="n">
        <v>46219</v>
      </c>
      <c r="F517" t="inlineStr">
        <is>
          <t>SKÅNE LÄN</t>
        </is>
      </c>
      <c r="G517" t="inlineStr">
        <is>
          <t>KRISTIANSTAD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62685-2025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46008</v>
      </c>
      <c r="E518" s="1" t="n">
        <v>46219</v>
      </c>
      <c r="F518" t="inlineStr">
        <is>
          <t>SKÅNE LÄN</t>
        </is>
      </c>
      <c r="G518" t="inlineStr">
        <is>
          <t>KRISTIANSTAD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62539-2025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46007</v>
      </c>
      <c r="E519" s="1" t="n">
        <v>46219</v>
      </c>
      <c r="F519" t="inlineStr">
        <is>
          <t>SKÅNE LÄN</t>
        </is>
      </c>
      <c r="G519" t="inlineStr">
        <is>
          <t>KRISTIANSTAD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13263-2024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45386</v>
      </c>
      <c r="E520" s="1" t="n">
        <v>46219</v>
      </c>
      <c r="F520" t="inlineStr">
        <is>
          <t>SKÅNE LÄN</t>
        </is>
      </c>
      <c r="G520" t="inlineStr">
        <is>
          <t>KRISTIANSTAD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33988-2023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45134</v>
      </c>
      <c r="E521" s="1" t="n">
        <v>46219</v>
      </c>
      <c r="F521" t="inlineStr">
        <is>
          <t>SKÅNE LÄN</t>
        </is>
      </c>
      <c r="G521" t="inlineStr">
        <is>
          <t>KRISTIANSTAD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32156-2023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46219</v>
      </c>
      <c r="F522" t="inlineStr">
        <is>
          <t>SKÅNE LÄN</t>
        </is>
      </c>
      <c r="G522" t="inlineStr">
        <is>
          <t>KRISTIANSTAD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47231-2024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45586</v>
      </c>
      <c r="E523" s="1" t="n">
        <v>46219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47237-2024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45586</v>
      </c>
      <c r="E524" s="1" t="n">
        <v>46219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11.2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38021-2023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45159</v>
      </c>
      <c r="E525" s="1" t="n">
        <v>46219</v>
      </c>
      <c r="F525" t="inlineStr">
        <is>
          <t>SKÅNE LÄN</t>
        </is>
      </c>
      <c r="G525" t="inlineStr">
        <is>
          <t>KRISTIANSTAD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45609-2023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45194</v>
      </c>
      <c r="E526" s="1" t="n">
        <v>46219</v>
      </c>
      <c r="F526" t="inlineStr">
        <is>
          <t>SKÅNE LÄN</t>
        </is>
      </c>
      <c r="G526" t="inlineStr">
        <is>
          <t>KRISTIANSTAD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6347-2024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45338</v>
      </c>
      <c r="E527" s="1" t="n">
        <v>46219</v>
      </c>
      <c r="F527" t="inlineStr">
        <is>
          <t>SKÅNE LÄN</t>
        </is>
      </c>
      <c r="G527" t="inlineStr">
        <is>
          <t>KRISTIANSTAD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10781-2022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44627</v>
      </c>
      <c r="E528" s="1" t="n">
        <v>46219</v>
      </c>
      <c r="F528" t="inlineStr">
        <is>
          <t>SKÅNE LÄN</t>
        </is>
      </c>
      <c r="G528" t="inlineStr">
        <is>
          <t>KRISTIANSTAD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44363-2024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45573</v>
      </c>
      <c r="E529" s="1" t="n">
        <v>46219</v>
      </c>
      <c r="F529" t="inlineStr">
        <is>
          <t>SKÅNE LÄN</t>
        </is>
      </c>
      <c r="G529" t="inlineStr">
        <is>
          <t>KRISTIANSTAD</t>
        </is>
      </c>
      <c r="H529" t="inlineStr">
        <is>
          <t>Sveaskog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37999-2024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45544</v>
      </c>
      <c r="E530" s="1" t="n">
        <v>46219</v>
      </c>
      <c r="F530" t="inlineStr">
        <is>
          <t>SKÅNE LÄN</t>
        </is>
      </c>
      <c r="G530" t="inlineStr">
        <is>
          <t>KRISTIANSTAD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19257-2023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45049</v>
      </c>
      <c r="E531" s="1" t="n">
        <v>46219</v>
      </c>
      <c r="F531" t="inlineStr">
        <is>
          <t>SKÅNE LÄN</t>
        </is>
      </c>
      <c r="G531" t="inlineStr">
        <is>
          <t>KRISTIANSTAD</t>
        </is>
      </c>
      <c r="I531" t="n">
        <v>7.6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12134-2024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45377</v>
      </c>
      <c r="E532" s="1" t="n">
        <v>46219</v>
      </c>
      <c r="F532" t="inlineStr">
        <is>
          <t>SKÅNE LÄN</t>
        </is>
      </c>
      <c r="G532" t="inlineStr">
        <is>
          <t>KRISTIANSTAD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25711-2025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45803</v>
      </c>
      <c r="E533" s="1" t="n">
        <v>46219</v>
      </c>
      <c r="F533" t="inlineStr">
        <is>
          <t>SKÅNE LÄN</t>
        </is>
      </c>
      <c r="G533" t="inlineStr">
        <is>
          <t>KRISTIANSTAD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11642-2025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45727</v>
      </c>
      <c r="E534" s="1" t="n">
        <v>46219</v>
      </c>
      <c r="F534" t="inlineStr">
        <is>
          <t>SKÅNE LÄN</t>
        </is>
      </c>
      <c r="G534" t="inlineStr">
        <is>
          <t>KRISTIANSTAD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32015-2023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45119</v>
      </c>
      <c r="E535" s="1" t="n">
        <v>46219</v>
      </c>
      <c r="F535" t="inlineStr">
        <is>
          <t>SKÅNE LÄN</t>
        </is>
      </c>
      <c r="G535" t="inlineStr">
        <is>
          <t>KRISTIANSTAD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40419-2024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45555</v>
      </c>
      <c r="E536" s="1" t="n">
        <v>46219</v>
      </c>
      <c r="F536" t="inlineStr">
        <is>
          <t>SKÅNE LÄN</t>
        </is>
      </c>
      <c r="G536" t="inlineStr">
        <is>
          <t>KRISTIANSTAD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10062-2024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45364</v>
      </c>
      <c r="E537" s="1" t="n">
        <v>46219</v>
      </c>
      <c r="F537" t="inlineStr">
        <is>
          <t>SKÅNE LÄN</t>
        </is>
      </c>
      <c r="G537" t="inlineStr">
        <is>
          <t>KRISTIANSTAD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44442-2023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45189</v>
      </c>
      <c r="E538" s="1" t="n">
        <v>46219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61348-2024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45646</v>
      </c>
      <c r="E539" s="1" t="n">
        <v>46219</v>
      </c>
      <c r="F539" t="inlineStr">
        <is>
          <t>SKÅNE LÄN</t>
        </is>
      </c>
      <c r="G539" t="inlineStr">
        <is>
          <t>KRISTIANSTAD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46031</v>
      </c>
      <c r="E540" s="1" t="n">
        <v>46219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1358-2026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46031</v>
      </c>
      <c r="E541" s="1" t="n">
        <v>46219</v>
      </c>
      <c r="F541" t="inlineStr">
        <is>
          <t>SKÅNE LÄN</t>
        </is>
      </c>
      <c r="G541" t="inlineStr">
        <is>
          <t>KRISTIANSTAD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20714-2025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45776</v>
      </c>
      <c r="E542" s="1" t="n">
        <v>46219</v>
      </c>
      <c r="F542" t="inlineStr">
        <is>
          <t>SKÅNE LÄN</t>
        </is>
      </c>
      <c r="G542" t="inlineStr">
        <is>
          <t>KRISTIANSTAD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39117-2023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45165</v>
      </c>
      <c r="E543" s="1" t="n">
        <v>46219</v>
      </c>
      <c r="F543" t="inlineStr">
        <is>
          <t>SKÅNE LÄN</t>
        </is>
      </c>
      <c r="G543" t="inlineStr">
        <is>
          <t>KRISTIANSTAD</t>
        </is>
      </c>
      <c r="H543" t="inlineStr">
        <is>
          <t>Sveaskog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1889-2026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46219</v>
      </c>
      <c r="F544" t="inlineStr">
        <is>
          <t>SKÅNE LÄN</t>
        </is>
      </c>
      <c r="G544" t="inlineStr">
        <is>
          <t>KRISTIANSTAD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30233-2023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46219</v>
      </c>
      <c r="F545" t="inlineStr">
        <is>
          <t>SKÅNE LÄN</t>
        </is>
      </c>
      <c r="G545" t="inlineStr">
        <is>
          <t>KRISTIANSTAD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46036</v>
      </c>
      <c r="E546" s="1" t="n">
        <v>46219</v>
      </c>
      <c r="F546" t="inlineStr">
        <is>
          <t>SKÅNE LÄN</t>
        </is>
      </c>
      <c r="G546" t="inlineStr">
        <is>
          <t>KRISTIANSTAD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2215-2026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46031</v>
      </c>
      <c r="E547" s="1" t="n">
        <v>46219</v>
      </c>
      <c r="F547" t="inlineStr">
        <is>
          <t>SKÅNE LÄN</t>
        </is>
      </c>
      <c r="G547" t="inlineStr">
        <is>
          <t>KRISTIANSTAD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55469-2024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45622</v>
      </c>
      <c r="E548" s="1" t="n">
        <v>46219</v>
      </c>
      <c r="F548" t="inlineStr">
        <is>
          <t>SKÅNE LÄN</t>
        </is>
      </c>
      <c r="G548" t="inlineStr">
        <is>
          <t>KRISTIANSTAD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31400-2025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45833</v>
      </c>
      <c r="E549" s="1" t="n">
        <v>46219</v>
      </c>
      <c r="F549" t="inlineStr">
        <is>
          <t>SKÅNE LÄN</t>
        </is>
      </c>
      <c r="G549" t="inlineStr">
        <is>
          <t>KRISTIANSTAD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3555-2026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46219</v>
      </c>
      <c r="F550" t="inlineStr">
        <is>
          <t>SKÅNE LÄN</t>
        </is>
      </c>
      <c r="G550" t="inlineStr">
        <is>
          <t>KRISTIANSTAD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3556-2026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46219</v>
      </c>
      <c r="F551" t="inlineStr">
        <is>
          <t>SKÅNE LÄN</t>
        </is>
      </c>
      <c r="G551" t="inlineStr">
        <is>
          <t>KRISTIANSTAD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46041</v>
      </c>
      <c r="E552" s="1" t="n">
        <v>46219</v>
      </c>
      <c r="F552" t="inlineStr">
        <is>
          <t>SKÅNE LÄN</t>
        </is>
      </c>
      <c r="G552" t="inlineStr">
        <is>
          <t>KRISTIANSTAD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46219</v>
      </c>
      <c r="F553" t="inlineStr">
        <is>
          <t>SKÅNE LÄN</t>
        </is>
      </c>
      <c r="G553" t="inlineStr">
        <is>
          <t>KRISTIANSTAD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21992-2024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45443</v>
      </c>
      <c r="E554" s="1" t="n">
        <v>46219</v>
      </c>
      <c r="F554" t="inlineStr">
        <is>
          <t>SKÅNE LÄN</t>
        </is>
      </c>
      <c r="G554" t="inlineStr">
        <is>
          <t>KRISTIANSTAD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61137-2021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44497</v>
      </c>
      <c r="E555" s="1" t="n">
        <v>46219</v>
      </c>
      <c r="F555" t="inlineStr">
        <is>
          <t>SKÅNE LÄN</t>
        </is>
      </c>
      <c r="G555" t="inlineStr">
        <is>
          <t>KRISTIANSTAD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52176-2023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45217</v>
      </c>
      <c r="E556" s="1" t="n">
        <v>46219</v>
      </c>
      <c r="F556" t="inlineStr">
        <is>
          <t>SKÅNE LÄN</t>
        </is>
      </c>
      <c r="G556" t="inlineStr">
        <is>
          <t>KRISTIANSTAD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3903-2026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46219</v>
      </c>
      <c r="F557" t="inlineStr">
        <is>
          <t>SKÅNE LÄN</t>
        </is>
      </c>
      <c r="G557" t="inlineStr">
        <is>
          <t>KRISTIANSTAD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3905-2026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46043</v>
      </c>
      <c r="E558" s="1" t="n">
        <v>46219</v>
      </c>
      <c r="F558" t="inlineStr">
        <is>
          <t>SKÅNE LÄN</t>
        </is>
      </c>
      <c r="G558" t="inlineStr">
        <is>
          <t>KRISTIANSTAD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9002-2024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45357</v>
      </c>
      <c r="E559" s="1" t="n">
        <v>46219</v>
      </c>
      <c r="F559" t="inlineStr">
        <is>
          <t>SKÅNE LÄN</t>
        </is>
      </c>
      <c r="G559" t="inlineStr">
        <is>
          <t>KRISTIANSTAD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3900-2026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46219</v>
      </c>
      <c r="F560" t="inlineStr">
        <is>
          <t>SKÅNE LÄN</t>
        </is>
      </c>
      <c r="G560" t="inlineStr">
        <is>
          <t>KRISTIANSTAD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1875-2026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46035</v>
      </c>
      <c r="E561" s="1" t="n">
        <v>46219</v>
      </c>
      <c r="F561" t="inlineStr">
        <is>
          <t>SKÅNE LÄN</t>
        </is>
      </c>
      <c r="G561" t="inlineStr">
        <is>
          <t>KRISTIANSTAD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751-2025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45665</v>
      </c>
      <c r="E562" s="1" t="n">
        <v>46219</v>
      </c>
      <c r="F562" t="inlineStr">
        <is>
          <t>SKÅNE LÄN</t>
        </is>
      </c>
      <c r="G562" t="inlineStr">
        <is>
          <t>KRISTIANSTAD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3892-2026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46043</v>
      </c>
      <c r="E563" s="1" t="n">
        <v>46219</v>
      </c>
      <c r="F563" t="inlineStr">
        <is>
          <t>SKÅNE LÄN</t>
        </is>
      </c>
      <c r="G563" t="inlineStr">
        <is>
          <t>KRISTIANSTAD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3895-2026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46219</v>
      </c>
      <c r="F564" t="inlineStr">
        <is>
          <t>SKÅNE LÄN</t>
        </is>
      </c>
      <c r="G564" t="inlineStr">
        <is>
          <t>KRISTIANSTAD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55961-2023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45233</v>
      </c>
      <c r="E565" s="1" t="n">
        <v>46219</v>
      </c>
      <c r="F565" t="inlineStr">
        <is>
          <t>SKÅNE LÄN</t>
        </is>
      </c>
      <c r="G565" t="inlineStr">
        <is>
          <t>KRISTIANSTAD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17270-2024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45414</v>
      </c>
      <c r="E566" s="1" t="n">
        <v>46219</v>
      </c>
      <c r="F566" t="inlineStr">
        <is>
          <t>SKÅNE LÄN</t>
        </is>
      </c>
      <c r="G566" t="inlineStr">
        <is>
          <t>KRISTIANSTAD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4834-2026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46219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11037-2024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45370</v>
      </c>
      <c r="E568" s="1" t="n">
        <v>46219</v>
      </c>
      <c r="F568" t="inlineStr">
        <is>
          <t>SKÅNE LÄN</t>
        </is>
      </c>
      <c r="G568" t="inlineStr">
        <is>
          <t>KRISTIANSTAD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34723-2023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45141</v>
      </c>
      <c r="E569" s="1" t="n">
        <v>46219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34730-2023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45141</v>
      </c>
      <c r="E570" s="1" t="n">
        <v>46219</v>
      </c>
      <c r="F570" t="inlineStr">
        <is>
          <t>SKÅNE LÄN</t>
        </is>
      </c>
      <c r="G570" t="inlineStr">
        <is>
          <t>KRISTIANSTAD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24579-2023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45083</v>
      </c>
      <c r="E571" s="1" t="n">
        <v>46219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44538-2024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45574</v>
      </c>
      <c r="E572" s="1" t="n">
        <v>46219</v>
      </c>
      <c r="F572" t="inlineStr">
        <is>
          <t>SKÅNE LÄN</t>
        </is>
      </c>
      <c r="G572" t="inlineStr">
        <is>
          <t>KRISTIANSTAD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25839-2023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45090</v>
      </c>
      <c r="E573" s="1" t="n">
        <v>46219</v>
      </c>
      <c r="F573" t="inlineStr">
        <is>
          <t>SKÅNE LÄN</t>
        </is>
      </c>
      <c r="G573" t="inlineStr">
        <is>
          <t>KRISTIANSTAD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45665</v>
      </c>
      <c r="E574" s="1" t="n">
        <v>46219</v>
      </c>
      <c r="F574" t="inlineStr">
        <is>
          <t>SKÅNE LÄN</t>
        </is>
      </c>
      <c r="G574" t="inlineStr">
        <is>
          <t>KRISTIANSTAD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6152-2026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46055</v>
      </c>
      <c r="E575" s="1" t="n">
        <v>46219</v>
      </c>
      <c r="F575" t="inlineStr">
        <is>
          <t>SKÅNE LÄN</t>
        </is>
      </c>
      <c r="G575" t="inlineStr">
        <is>
          <t>KRISTIANSTAD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19642-2022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44694</v>
      </c>
      <c r="E576" s="1" t="n">
        <v>46219</v>
      </c>
      <c r="F576" t="inlineStr">
        <is>
          <t>SKÅNE LÄN</t>
        </is>
      </c>
      <c r="G576" t="inlineStr">
        <is>
          <t>KRISTIANSTAD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48853-2023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45204</v>
      </c>
      <c r="E577" s="1" t="n">
        <v>46219</v>
      </c>
      <c r="F577" t="inlineStr">
        <is>
          <t>SKÅNE LÄN</t>
        </is>
      </c>
      <c r="G577" t="inlineStr">
        <is>
          <t>KRISTIANSTAD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6876-2026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46057</v>
      </c>
      <c r="E578" s="1" t="n">
        <v>46219</v>
      </c>
      <c r="F578" t="inlineStr">
        <is>
          <t>SKÅNE LÄN</t>
        </is>
      </c>
      <c r="G578" t="inlineStr">
        <is>
          <t>KRISTIANSTAD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33592-2023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45132</v>
      </c>
      <c r="E579" s="1" t="n">
        <v>46219</v>
      </c>
      <c r="F579" t="inlineStr">
        <is>
          <t>SKÅNE LÄN</t>
        </is>
      </c>
      <c r="G579" t="inlineStr">
        <is>
          <t>KRISTIANSTAD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17571-2024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45415</v>
      </c>
      <c r="E580" s="1" t="n">
        <v>46219</v>
      </c>
      <c r="F580" t="inlineStr">
        <is>
          <t>SKÅNE LÄN</t>
        </is>
      </c>
      <c r="G580" t="inlineStr">
        <is>
          <t>KRISTIANSTAD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6806-2026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46057</v>
      </c>
      <c r="E581" s="1" t="n">
        <v>46219</v>
      </c>
      <c r="F581" t="inlineStr">
        <is>
          <t>SKÅNE LÄN</t>
        </is>
      </c>
      <c r="G581" t="inlineStr">
        <is>
          <t>KRISTIANSTAD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6858-2025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45700</v>
      </c>
      <c r="E582" s="1" t="n">
        <v>46219</v>
      </c>
      <c r="F582" t="inlineStr">
        <is>
          <t>SKÅNE LÄN</t>
        </is>
      </c>
      <c r="G582" t="inlineStr">
        <is>
          <t>KRISTIANSTAD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6597-2025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45700</v>
      </c>
      <c r="E583" s="1" t="n">
        <v>46219</v>
      </c>
      <c r="F583" t="inlineStr">
        <is>
          <t>SKÅNE LÄN</t>
        </is>
      </c>
      <c r="G583" t="inlineStr">
        <is>
          <t>KRISTIANSTAD</t>
        </is>
      </c>
      <c r="I583" t="n">
        <v>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14524-2022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44655</v>
      </c>
      <c r="E584" s="1" t="n">
        <v>46219</v>
      </c>
      <c r="F584" t="inlineStr">
        <is>
          <t>SKÅNE LÄN</t>
        </is>
      </c>
      <c r="G584" t="inlineStr">
        <is>
          <t>KRISTIANSTAD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51248-2024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46219</v>
      </c>
      <c r="F585" t="inlineStr">
        <is>
          <t>SKÅNE LÄN</t>
        </is>
      </c>
      <c r="G585" t="inlineStr">
        <is>
          <t>KRISTIANSTAD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13523-2024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45387</v>
      </c>
      <c r="E586" s="1" t="n">
        <v>46219</v>
      </c>
      <c r="F586" t="inlineStr">
        <is>
          <t>SKÅNE LÄN</t>
        </is>
      </c>
      <c r="G586" t="inlineStr">
        <is>
          <t>KRISTIANSTAD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9024-2026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46219</v>
      </c>
      <c r="F587" t="inlineStr">
        <is>
          <t>SKÅNE LÄN</t>
        </is>
      </c>
      <c r="G587" t="inlineStr">
        <is>
          <t>KRISTIANSTAD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44339-2023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46219</v>
      </c>
      <c r="F588" t="inlineStr">
        <is>
          <t>SKÅNE LÄN</t>
        </is>
      </c>
      <c r="G588" t="inlineStr">
        <is>
          <t>KRISTIANSTAD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25249-2022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44729</v>
      </c>
      <c r="E589" s="1" t="n">
        <v>46219</v>
      </c>
      <c r="F589" t="inlineStr">
        <is>
          <t>SKÅNE LÄN</t>
        </is>
      </c>
      <c r="G589" t="inlineStr">
        <is>
          <t>KRISTIANSTAD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32106-2023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45119</v>
      </c>
      <c r="E590" s="1" t="n">
        <v>46219</v>
      </c>
      <c r="F590" t="inlineStr">
        <is>
          <t>SKÅNE LÄN</t>
        </is>
      </c>
      <c r="G590" t="inlineStr">
        <is>
          <t>KRISTIANSTAD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43321-2023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46219</v>
      </c>
      <c r="F591" t="inlineStr">
        <is>
          <t>SKÅNE LÄN</t>
        </is>
      </c>
      <c r="G591" t="inlineStr">
        <is>
          <t>KRISTIANSTAD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56972-2023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45244</v>
      </c>
      <c r="E592" s="1" t="n">
        <v>46219</v>
      </c>
      <c r="F592" t="inlineStr">
        <is>
          <t>SKÅNE LÄN</t>
        </is>
      </c>
      <c r="G592" t="inlineStr">
        <is>
          <t>KRISTIANSTAD</t>
        </is>
      </c>
      <c r="H592" t="inlineStr">
        <is>
          <t>Övriga Aktiebolag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63942-2023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45278</v>
      </c>
      <c r="E593" s="1" t="n">
        <v>46219</v>
      </c>
      <c r="F593" t="inlineStr">
        <is>
          <t>SKÅNE LÄN</t>
        </is>
      </c>
      <c r="G593" t="inlineStr">
        <is>
          <t>KRISTIANSTAD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49233-2022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44858</v>
      </c>
      <c r="E594" s="1" t="n">
        <v>46219</v>
      </c>
      <c r="F594" t="inlineStr">
        <is>
          <t>SKÅNE LÄN</t>
        </is>
      </c>
      <c r="G594" t="inlineStr">
        <is>
          <t>KRISTIANSTAD</t>
        </is>
      </c>
      <c r="I594" t="n">
        <v>7.1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32990-2024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45517</v>
      </c>
      <c r="E595" s="1" t="n">
        <v>46219</v>
      </c>
      <c r="F595" t="inlineStr">
        <is>
          <t>SKÅNE LÄN</t>
        </is>
      </c>
      <c r="G595" t="inlineStr">
        <is>
          <t>KRISTIANSTAD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10263-2026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46219</v>
      </c>
      <c r="F596" t="inlineStr">
        <is>
          <t>SKÅNE LÄN</t>
        </is>
      </c>
      <c r="G596" t="inlineStr">
        <is>
          <t>KRISTIANSTAD</t>
        </is>
      </c>
      <c r="H596" t="inlineStr">
        <is>
          <t>Övriga Aktiebolag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38778-2022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44816</v>
      </c>
      <c r="E597" s="1" t="n">
        <v>46219</v>
      </c>
      <c r="F597" t="inlineStr">
        <is>
          <t>SKÅNE LÄN</t>
        </is>
      </c>
      <c r="G597" t="inlineStr">
        <is>
          <t>KRISTIANSTAD</t>
        </is>
      </c>
      <c r="I597" t="n">
        <v>17.1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41069-2023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45173</v>
      </c>
      <c r="E598" s="1" t="n">
        <v>46219</v>
      </c>
      <c r="F598" t="inlineStr">
        <is>
          <t>SKÅNE LÄN</t>
        </is>
      </c>
      <c r="G598" t="inlineStr">
        <is>
          <t>KRISTIANSTAD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826-2024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45300</v>
      </c>
      <c r="E599" s="1" t="n">
        <v>46219</v>
      </c>
      <c r="F599" t="inlineStr">
        <is>
          <t>SKÅNE LÄN</t>
        </is>
      </c>
      <c r="G599" t="inlineStr">
        <is>
          <t>KRISTIANSTAD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11531-2026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46083</v>
      </c>
      <c r="E600" s="1" t="n">
        <v>46219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2881-2024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46219</v>
      </c>
      <c r="F601" t="inlineStr">
        <is>
          <t>SKÅNE LÄN</t>
        </is>
      </c>
      <c r="G601" t="inlineStr">
        <is>
          <t>KRISTIANSTAD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2891-2024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45315</v>
      </c>
      <c r="E602" s="1" t="n">
        <v>46219</v>
      </c>
      <c r="F602" t="inlineStr">
        <is>
          <t>SKÅNE LÄN</t>
        </is>
      </c>
      <c r="G602" t="inlineStr">
        <is>
          <t>KRISTIANSTAD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39997-2025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45894</v>
      </c>
      <c r="E603" s="1" t="n">
        <v>46219</v>
      </c>
      <c r="F603" t="inlineStr">
        <is>
          <t>SKÅNE LÄN</t>
        </is>
      </c>
      <c r="G603" t="inlineStr">
        <is>
          <t>KRISTIANSTAD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40005-2025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45894</v>
      </c>
      <c r="E604" s="1" t="n">
        <v>46219</v>
      </c>
      <c r="F604" t="inlineStr">
        <is>
          <t>SKÅNE LÄN</t>
        </is>
      </c>
      <c r="G604" t="inlineStr">
        <is>
          <t>KRISTIANSTAD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4610-2024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45328</v>
      </c>
      <c r="E605" s="1" t="n">
        <v>46219</v>
      </c>
      <c r="F605" t="inlineStr">
        <is>
          <t>SKÅNE LÄN</t>
        </is>
      </c>
      <c r="G605" t="inlineStr">
        <is>
          <t>KRISTIANSTAD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30893-2024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45498</v>
      </c>
      <c r="E606" s="1" t="n">
        <v>46219</v>
      </c>
      <c r="F606" t="inlineStr">
        <is>
          <t>SKÅNE LÄN</t>
        </is>
      </c>
      <c r="G606" t="inlineStr">
        <is>
          <t>KRISTIANSTAD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38173-2025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45882</v>
      </c>
      <c r="E607" s="1" t="n">
        <v>46219</v>
      </c>
      <c r="F607" t="inlineStr">
        <is>
          <t>SKÅNE LÄN</t>
        </is>
      </c>
      <c r="G607" t="inlineStr">
        <is>
          <t>KRISTIANSTAD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30736-2025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46219</v>
      </c>
      <c r="F608" t="inlineStr">
        <is>
          <t>SKÅNE LÄN</t>
        </is>
      </c>
      <c r="G608" t="inlineStr">
        <is>
          <t>KRISTIANSTAD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40000-2025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45894</v>
      </c>
      <c r="E609" s="1" t="n">
        <v>46219</v>
      </c>
      <c r="F609" t="inlineStr">
        <is>
          <t>SKÅNE LÄN</t>
        </is>
      </c>
      <c r="G609" t="inlineStr">
        <is>
          <t>KRISTIANSTAD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39567-2022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44817</v>
      </c>
      <c r="E610" s="1" t="n">
        <v>46219</v>
      </c>
      <c r="F610" t="inlineStr">
        <is>
          <t>SKÅNE LÄN</t>
        </is>
      </c>
      <c r="G610" t="inlineStr">
        <is>
          <t>KRISTIANSTAD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6307-2024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45338</v>
      </c>
      <c r="E611" s="1" t="n">
        <v>46219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6955-2024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45343</v>
      </c>
      <c r="E612" s="1" t="n">
        <v>46219</v>
      </c>
      <c r="F612" t="inlineStr">
        <is>
          <t>SKÅNE LÄN</t>
        </is>
      </c>
      <c r="G612" t="inlineStr">
        <is>
          <t>KRISTIANSTAD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7016-2024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45343</v>
      </c>
      <c r="E613" s="1" t="n">
        <v>46219</v>
      </c>
      <c r="F613" t="inlineStr">
        <is>
          <t>SKÅNE LÄN</t>
        </is>
      </c>
      <c r="G613" t="inlineStr">
        <is>
          <t>KRISTIANSTAD</t>
        </is>
      </c>
      <c r="H613" t="inlineStr">
        <is>
          <t>Sveaskog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12682-2026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46219</v>
      </c>
      <c r="F614" t="inlineStr">
        <is>
          <t>SKÅNE LÄN</t>
        </is>
      </c>
      <c r="G614" t="inlineStr">
        <is>
          <t>KRISTIANSTAD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12834-2026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46219</v>
      </c>
      <c r="F615" t="inlineStr">
        <is>
          <t>SKÅNE LÄN</t>
        </is>
      </c>
      <c r="G615" t="inlineStr">
        <is>
          <t>KRISTIANSTAD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12892-2026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46092</v>
      </c>
      <c r="E616" s="1" t="n">
        <v>46219</v>
      </c>
      <c r="F616" t="inlineStr">
        <is>
          <t>SKÅNE LÄN</t>
        </is>
      </c>
      <c r="G616" t="inlineStr">
        <is>
          <t>KRISTIANSTAD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12839-2026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46219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24303-2025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45797</v>
      </c>
      <c r="E618" s="1" t="n">
        <v>46219</v>
      </c>
      <c r="F618" t="inlineStr">
        <is>
          <t>SKÅNE LÄN</t>
        </is>
      </c>
      <c r="G618" t="inlineStr">
        <is>
          <t>KRISTIANSTAD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13430-2026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46219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7.8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48693-2022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44855</v>
      </c>
      <c r="E620" s="1" t="n">
        <v>46219</v>
      </c>
      <c r="F620" t="inlineStr">
        <is>
          <t>SKÅNE LÄN</t>
        </is>
      </c>
      <c r="G620" t="inlineStr">
        <is>
          <t>KRISTIANSTAD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35937-2024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45533</v>
      </c>
      <c r="E621" s="1" t="n">
        <v>46219</v>
      </c>
      <c r="F621" t="inlineStr">
        <is>
          <t>SKÅNE LÄN</t>
        </is>
      </c>
      <c r="G621" t="inlineStr">
        <is>
          <t>KRISTIANSTAD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27613-2024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45474</v>
      </c>
      <c r="E622" s="1" t="n">
        <v>46219</v>
      </c>
      <c r="F622" t="inlineStr">
        <is>
          <t>SKÅNE LÄN</t>
        </is>
      </c>
      <c r="G622" t="inlineStr">
        <is>
          <t>KRISTIANSTAD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13587-2026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46095</v>
      </c>
      <c r="E623" s="1" t="n">
        <v>46219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10.9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13444-2026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46219</v>
      </c>
      <c r="F624" t="inlineStr">
        <is>
          <t>SKÅNE LÄN</t>
        </is>
      </c>
      <c r="G624" t="inlineStr">
        <is>
          <t>KRISTIANSTAD</t>
        </is>
      </c>
      <c r="H624" t="inlineStr">
        <is>
          <t>Övriga Aktiebolag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8876-2024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45356</v>
      </c>
      <c r="E625" s="1" t="n">
        <v>46219</v>
      </c>
      <c r="F625" t="inlineStr">
        <is>
          <t>SKÅNE LÄN</t>
        </is>
      </c>
      <c r="G625" t="inlineStr">
        <is>
          <t>KRISTIANSTAD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1660-2025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45670</v>
      </c>
      <c r="E626" s="1" t="n">
        <v>46219</v>
      </c>
      <c r="F626" t="inlineStr">
        <is>
          <t>SKÅNE LÄN</t>
        </is>
      </c>
      <c r="G626" t="inlineStr">
        <is>
          <t>KRISTIANSTAD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5723-2023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44961</v>
      </c>
      <c r="E627" s="1" t="n">
        <v>46219</v>
      </c>
      <c r="F627" t="inlineStr">
        <is>
          <t>SKÅNE LÄN</t>
        </is>
      </c>
      <c r="G627" t="inlineStr">
        <is>
          <t>KRISTIANSTAD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59625-2022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44907</v>
      </c>
      <c r="E628" s="1" t="n">
        <v>46219</v>
      </c>
      <c r="F628" t="inlineStr">
        <is>
          <t>SKÅNE LÄN</t>
        </is>
      </c>
      <c r="G628" t="inlineStr">
        <is>
          <t>KRISTIANSTAD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5590-2022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44595</v>
      </c>
      <c r="E629" s="1" t="n">
        <v>46219</v>
      </c>
      <c r="F629" t="inlineStr">
        <is>
          <t>SKÅNE LÄN</t>
        </is>
      </c>
      <c r="G629" t="inlineStr">
        <is>
          <t>KRISTIANSTAD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61198-2021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44497</v>
      </c>
      <c r="E630" s="1" t="n">
        <v>46219</v>
      </c>
      <c r="F630" t="inlineStr">
        <is>
          <t>SKÅNE LÄN</t>
        </is>
      </c>
      <c r="G630" t="inlineStr">
        <is>
          <t>KRISTIANSTAD</t>
        </is>
      </c>
      <c r="I630" t="n">
        <v>13.8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14561-2026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46100</v>
      </c>
      <c r="E631" s="1" t="n">
        <v>46219</v>
      </c>
      <c r="F631" t="inlineStr">
        <is>
          <t>SKÅNE LÄN</t>
        </is>
      </c>
      <c r="G631" t="inlineStr">
        <is>
          <t>KRISTIANSTAD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3278-2026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46041</v>
      </c>
      <c r="E632" s="1" t="n">
        <v>46219</v>
      </c>
      <c r="F632" t="inlineStr">
        <is>
          <t>SKÅNE LÄN</t>
        </is>
      </c>
      <c r="G632" t="inlineStr">
        <is>
          <t>KRISTIANSTAD</t>
        </is>
      </c>
      <c r="I632" t="n">
        <v>11.1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62350-2023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45267</v>
      </c>
      <c r="E633" s="1" t="n">
        <v>46219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64844-2023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45282</v>
      </c>
      <c r="E634" s="1" t="n">
        <v>46219</v>
      </c>
      <c r="F634" t="inlineStr">
        <is>
          <t>SKÅNE LÄN</t>
        </is>
      </c>
      <c r="G634" t="inlineStr">
        <is>
          <t>KRISTIANSTAD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885-2024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45301</v>
      </c>
      <c r="E635" s="1" t="n">
        <v>46219</v>
      </c>
      <c r="F635" t="inlineStr">
        <is>
          <t>SKÅNE LÄN</t>
        </is>
      </c>
      <c r="G635" t="inlineStr">
        <is>
          <t>KRISTIANSTAD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24798-2025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45799</v>
      </c>
      <c r="E636" s="1" t="n">
        <v>46219</v>
      </c>
      <c r="F636" t="inlineStr">
        <is>
          <t>SKÅNE LÄN</t>
        </is>
      </c>
      <c r="G636" t="inlineStr">
        <is>
          <t>KRISTIANSTAD</t>
        </is>
      </c>
      <c r="H636" t="inlineStr">
        <is>
          <t>Övriga Aktiebolag</t>
        </is>
      </c>
      <c r="I636" t="n">
        <v>10.1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61703-2024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45648</v>
      </c>
      <c r="E637" s="1" t="n">
        <v>46219</v>
      </c>
      <c r="F637" t="inlineStr">
        <is>
          <t>SKÅNE LÄN</t>
        </is>
      </c>
      <c r="G637" t="inlineStr">
        <is>
          <t>KRISTIANSTAD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61550-2023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45265</v>
      </c>
      <c r="E638" s="1" t="n">
        <v>46219</v>
      </c>
      <c r="F638" t="inlineStr">
        <is>
          <t>SKÅNE LÄN</t>
        </is>
      </c>
      <c r="G638" t="inlineStr">
        <is>
          <t>KRISTIANSTAD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54458-2023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45226</v>
      </c>
      <c r="E639" s="1" t="n">
        <v>46219</v>
      </c>
      <c r="F639" t="inlineStr">
        <is>
          <t>SKÅNE LÄN</t>
        </is>
      </c>
      <c r="G639" t="inlineStr">
        <is>
          <t>KRISTIANSTAD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39944-2024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45553</v>
      </c>
      <c r="E640" s="1" t="n">
        <v>46219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25860-2025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45804</v>
      </c>
      <c r="E641" s="1" t="n">
        <v>46219</v>
      </c>
      <c r="F641" t="inlineStr">
        <is>
          <t>SKÅNE LÄN</t>
        </is>
      </c>
      <c r="G641" t="inlineStr">
        <is>
          <t>KRISTIANSTAD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25433-2025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45800</v>
      </c>
      <c r="E642" s="1" t="n">
        <v>46219</v>
      </c>
      <c r="F642" t="inlineStr">
        <is>
          <t>SKÅNE LÄN</t>
        </is>
      </c>
      <c r="G642" t="inlineStr">
        <is>
          <t>KRISTIANSTAD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15951-2024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45405</v>
      </c>
      <c r="E643" s="1" t="n">
        <v>46219</v>
      </c>
      <c r="F643" t="inlineStr">
        <is>
          <t>SKÅNE LÄN</t>
        </is>
      </c>
      <c r="G643" t="inlineStr">
        <is>
          <t>KRISTIANSTAD</t>
        </is>
      </c>
      <c r="I643" t="n">
        <v>12.2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25809-2025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45804</v>
      </c>
      <c r="E644" s="1" t="n">
        <v>46219</v>
      </c>
      <c r="F644" t="inlineStr">
        <is>
          <t>SKÅNE LÄN</t>
        </is>
      </c>
      <c r="G644" t="inlineStr">
        <is>
          <t>KRISTIANSTAD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46515-2022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44847</v>
      </c>
      <c r="E645" s="1" t="n">
        <v>46219</v>
      </c>
      <c r="F645" t="inlineStr">
        <is>
          <t>SKÅNE LÄN</t>
        </is>
      </c>
      <c r="G645" t="inlineStr">
        <is>
          <t>KRISTIANSTAD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59597-2023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45254</v>
      </c>
      <c r="E646" s="1" t="n">
        <v>46219</v>
      </c>
      <c r="F646" t="inlineStr">
        <is>
          <t>SKÅNE LÄN</t>
        </is>
      </c>
      <c r="G646" t="inlineStr">
        <is>
          <t>KRISTIANSTAD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16384-2026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46111</v>
      </c>
      <c r="E647" s="1" t="n">
        <v>46219</v>
      </c>
      <c r="F647" t="inlineStr">
        <is>
          <t>SKÅNE LÄN</t>
        </is>
      </c>
      <c r="G647" t="inlineStr">
        <is>
          <t>KRISTIANSTAD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45348-2023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45191</v>
      </c>
      <c r="E648" s="1" t="n">
        <v>46219</v>
      </c>
      <c r="F648" t="inlineStr">
        <is>
          <t>SKÅNE LÄN</t>
        </is>
      </c>
      <c r="G648" t="inlineStr">
        <is>
          <t>KRISTIANSTAD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61878-2024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45652</v>
      </c>
      <c r="E649" s="1" t="n">
        <v>46219</v>
      </c>
      <c r="F649" t="inlineStr">
        <is>
          <t>SKÅNE LÄN</t>
        </is>
      </c>
      <c r="G649" t="inlineStr">
        <is>
          <t>KRISTIANSTAD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16762-2026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46113</v>
      </c>
      <c r="E650" s="1" t="n">
        <v>46219</v>
      </c>
      <c r="F650" t="inlineStr">
        <is>
          <t>SKÅNE LÄN</t>
        </is>
      </c>
      <c r="G650" t="inlineStr">
        <is>
          <t>KRISTIANSTAD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14611-2024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45396</v>
      </c>
      <c r="E651" s="1" t="n">
        <v>46219</v>
      </c>
      <c r="F651" t="inlineStr">
        <is>
          <t>SKÅNE LÄN</t>
        </is>
      </c>
      <c r="G651" t="inlineStr">
        <is>
          <t>KRISTIANSTAD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65097-2021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44513</v>
      </c>
      <c r="E652" s="1" t="n">
        <v>46219</v>
      </c>
      <c r="F652" t="inlineStr">
        <is>
          <t>SKÅNE LÄN</t>
        </is>
      </c>
      <c r="G652" t="inlineStr">
        <is>
          <t>KRISTIANSTAD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17511-2026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46219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17515-2026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46120</v>
      </c>
      <c r="E654" s="1" t="n">
        <v>46219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26804-2025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45810</v>
      </c>
      <c r="E655" s="1" t="n">
        <v>46219</v>
      </c>
      <c r="F655" t="inlineStr">
        <is>
          <t>SKÅNE LÄN</t>
        </is>
      </c>
      <c r="G655" t="inlineStr">
        <is>
          <t>KRISTIANSTAD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17514-2026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46120</v>
      </c>
      <c r="E656" s="1" t="n">
        <v>46219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63561-2023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45274</v>
      </c>
      <c r="E657" s="1" t="n">
        <v>46219</v>
      </c>
      <c r="F657" t="inlineStr">
        <is>
          <t>SKÅNE LÄN</t>
        </is>
      </c>
      <c r="G657" t="inlineStr">
        <is>
          <t>KRISTIANSTAD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17534-2026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46120</v>
      </c>
      <c r="E658" s="1" t="n">
        <v>46219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9.199999999999999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26678-2025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45810</v>
      </c>
      <c r="E659" s="1" t="n">
        <v>46219</v>
      </c>
      <c r="F659" t="inlineStr">
        <is>
          <t>SKÅNE LÄN</t>
        </is>
      </c>
      <c r="G659" t="inlineStr">
        <is>
          <t>KRISTIANSTAD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27287-2025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45812</v>
      </c>
      <c r="E660" s="1" t="n">
        <v>46219</v>
      </c>
      <c r="F660" t="inlineStr">
        <is>
          <t>SKÅNE LÄN</t>
        </is>
      </c>
      <c r="G660" t="inlineStr">
        <is>
          <t>KRISTIANSTAD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42916-2024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45566</v>
      </c>
      <c r="E661" s="1" t="n">
        <v>46219</v>
      </c>
      <c r="F661" t="inlineStr">
        <is>
          <t>SKÅNE LÄN</t>
        </is>
      </c>
      <c r="G661" t="inlineStr">
        <is>
          <t>KRISTIANSTAD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7565-2023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44972</v>
      </c>
      <c r="E662" s="1" t="n">
        <v>46219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18945-2026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46129</v>
      </c>
      <c r="E663" s="1" t="n">
        <v>46219</v>
      </c>
      <c r="F663" t="inlineStr">
        <is>
          <t>SKÅNE LÄN</t>
        </is>
      </c>
      <c r="G663" t="inlineStr">
        <is>
          <t>KRISTIANSTAD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18059-2024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45420</v>
      </c>
      <c r="E664" s="1" t="n">
        <v>46219</v>
      </c>
      <c r="F664" t="inlineStr">
        <is>
          <t>SKÅNE LÄN</t>
        </is>
      </c>
      <c r="G664" t="inlineStr">
        <is>
          <t>KRISTIANSTAD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6616-2022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44601</v>
      </c>
      <c r="E665" s="1" t="n">
        <v>46219</v>
      </c>
      <c r="F665" t="inlineStr">
        <is>
          <t>SKÅNE LÄN</t>
        </is>
      </c>
      <c r="G665" t="inlineStr">
        <is>
          <t>KRISTIANSTAD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12235-2023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44998</v>
      </c>
      <c r="E666" s="1" t="n">
        <v>46219</v>
      </c>
      <c r="F666" t="inlineStr">
        <is>
          <t>SKÅNE LÄN</t>
        </is>
      </c>
      <c r="G666" t="inlineStr">
        <is>
          <t>KRISTIANSTAD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70705-2021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44537</v>
      </c>
      <c r="E667" s="1" t="n">
        <v>46219</v>
      </c>
      <c r="F667" t="inlineStr">
        <is>
          <t>SKÅNE LÄN</t>
        </is>
      </c>
      <c r="G667" t="inlineStr">
        <is>
          <t>KRISTIANSTAD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22815-2023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45072</v>
      </c>
      <c r="E668" s="1" t="n">
        <v>46219</v>
      </c>
      <c r="F668" t="inlineStr">
        <is>
          <t>SKÅNE LÄN</t>
        </is>
      </c>
      <c r="G668" t="inlineStr">
        <is>
          <t>KRISTIANSTAD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20891-2025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45777</v>
      </c>
      <c r="E669" s="1" t="n">
        <v>46219</v>
      </c>
      <c r="F669" t="inlineStr">
        <is>
          <t>SKÅNE LÄN</t>
        </is>
      </c>
      <c r="G669" t="inlineStr">
        <is>
          <t>KRISTIANSTAD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47652-2023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45198</v>
      </c>
      <c r="E670" s="1" t="n">
        <v>46219</v>
      </c>
      <c r="F670" t="inlineStr">
        <is>
          <t>SKÅNE LÄN</t>
        </is>
      </c>
      <c r="G670" t="inlineStr">
        <is>
          <t>KRISTIANSTAD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33984-2025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45843</v>
      </c>
      <c r="E671" s="1" t="n">
        <v>46219</v>
      </c>
      <c r="F671" t="inlineStr">
        <is>
          <t>SKÅNE LÄN</t>
        </is>
      </c>
      <c r="G671" t="inlineStr">
        <is>
          <t>KRISTIANSTAD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55954-2023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45233</v>
      </c>
      <c r="E672" s="1" t="n">
        <v>46219</v>
      </c>
      <c r="F672" t="inlineStr">
        <is>
          <t>SKÅNE LÄN</t>
        </is>
      </c>
      <c r="G672" t="inlineStr">
        <is>
          <t>KRISTIANSTAD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55959-2023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45233</v>
      </c>
      <c r="E673" s="1" t="n">
        <v>46219</v>
      </c>
      <c r="F673" t="inlineStr">
        <is>
          <t>SKÅNE LÄN</t>
        </is>
      </c>
      <c r="G673" t="inlineStr">
        <is>
          <t>KRISTIANSTAD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5400-2024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45331</v>
      </c>
      <c r="E674" s="1" t="n">
        <v>46219</v>
      </c>
      <c r="F674" t="inlineStr">
        <is>
          <t>SKÅNE LÄN</t>
        </is>
      </c>
      <c r="G674" t="inlineStr">
        <is>
          <t>KRISTIANSTAD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7043-2024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45343</v>
      </c>
      <c r="E675" s="1" t="n">
        <v>46219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29199-2024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45482</v>
      </c>
      <c r="E676" s="1" t="n">
        <v>46219</v>
      </c>
      <c r="F676" t="inlineStr">
        <is>
          <t>SKÅNE LÄN</t>
        </is>
      </c>
      <c r="G676" t="inlineStr">
        <is>
          <t>KRISTIANSTAD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27979-2024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45476</v>
      </c>
      <c r="E677" s="1" t="n">
        <v>46219</v>
      </c>
      <c r="F677" t="inlineStr">
        <is>
          <t>SKÅNE LÄN</t>
        </is>
      </c>
      <c r="G677" t="inlineStr">
        <is>
          <t>KRISTIANSTAD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49239-2022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44858</v>
      </c>
      <c r="E678" s="1" t="n">
        <v>46219</v>
      </c>
      <c r="F678" t="inlineStr">
        <is>
          <t>SKÅNE LÄN</t>
        </is>
      </c>
      <c r="G678" t="inlineStr">
        <is>
          <t>KRISTIANSTAD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1228-2022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44572</v>
      </c>
      <c r="E679" s="1" t="n">
        <v>46219</v>
      </c>
      <c r="F679" t="inlineStr">
        <is>
          <t>SKÅNE LÄN</t>
        </is>
      </c>
      <c r="G679" t="inlineStr">
        <is>
          <t>KRISTIANSTAD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25450-2022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44732</v>
      </c>
      <c r="E680" s="1" t="n">
        <v>46219</v>
      </c>
      <c r="F680" t="inlineStr">
        <is>
          <t>SKÅNE LÄN</t>
        </is>
      </c>
      <c r="G680" t="inlineStr">
        <is>
          <t>KRISTIANSTAD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15887-2025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45749</v>
      </c>
      <c r="E681" s="1" t="n">
        <v>46219</v>
      </c>
      <c r="F681" t="inlineStr">
        <is>
          <t>SKÅNE LÄN</t>
        </is>
      </c>
      <c r="G681" t="inlineStr">
        <is>
          <t>KRISTIANSTAD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27957-2022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44743</v>
      </c>
      <c r="E682" s="1" t="n">
        <v>46219</v>
      </c>
      <c r="F682" t="inlineStr">
        <is>
          <t>SKÅNE LÄN</t>
        </is>
      </c>
      <c r="G682" t="inlineStr">
        <is>
          <t>KRISTIANSTAD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30845-2022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44767</v>
      </c>
      <c r="E683" s="1" t="n">
        <v>46219</v>
      </c>
      <c r="F683" t="inlineStr">
        <is>
          <t>SKÅNE LÄN</t>
        </is>
      </c>
      <c r="G683" t="inlineStr">
        <is>
          <t>KRISTIANSTAD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7666-2025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45706</v>
      </c>
      <c r="E684" s="1" t="n">
        <v>46219</v>
      </c>
      <c r="F684" t="inlineStr">
        <is>
          <t>SKÅNE LÄN</t>
        </is>
      </c>
      <c r="G684" t="inlineStr">
        <is>
          <t>KRISTIANSTAD</t>
        </is>
      </c>
      <c r="I684" t="n">
        <v>11.8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53299-2023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45229</v>
      </c>
      <c r="E685" s="1" t="n">
        <v>46219</v>
      </c>
      <c r="F685" t="inlineStr">
        <is>
          <t>SKÅNE LÄN</t>
        </is>
      </c>
      <c r="G685" t="inlineStr">
        <is>
          <t>KRISTIANSTAD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13875-2025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45737</v>
      </c>
      <c r="E686" s="1" t="n">
        <v>46219</v>
      </c>
      <c r="F686" t="inlineStr">
        <is>
          <t>SKÅNE LÄN</t>
        </is>
      </c>
      <c r="G686" t="inlineStr">
        <is>
          <t>KRISTIANSTAD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31105-2025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45832</v>
      </c>
      <c r="E687" s="1" t="n">
        <v>46219</v>
      </c>
      <c r="F687" t="inlineStr">
        <is>
          <t>SKÅNE LÄN</t>
        </is>
      </c>
      <c r="G687" t="inlineStr">
        <is>
          <t>KRISTIANSTAD</t>
        </is>
      </c>
      <c r="H687" t="inlineStr">
        <is>
          <t>Övriga Aktiebolag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53466-2022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44879</v>
      </c>
      <c r="E688" s="1" t="n">
        <v>46219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13940-2025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45737</v>
      </c>
      <c r="E689" s="1" t="n">
        <v>46219</v>
      </c>
      <c r="F689" t="inlineStr">
        <is>
          <t>SKÅNE LÄN</t>
        </is>
      </c>
      <c r="G689" t="inlineStr">
        <is>
          <t>KRISTIANSTAD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13928-2025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45737</v>
      </c>
      <c r="E690" s="1" t="n">
        <v>46219</v>
      </c>
      <c r="F690" t="inlineStr">
        <is>
          <t>SKÅNE LÄN</t>
        </is>
      </c>
      <c r="G690" t="inlineStr">
        <is>
          <t>KRISTIANSTAD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25565-2026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46177</v>
      </c>
      <c r="E691" s="1" t="n">
        <v>46219</v>
      </c>
      <c r="F691" t="inlineStr">
        <is>
          <t>SKÅNE LÄN</t>
        </is>
      </c>
      <c r="G691" t="inlineStr">
        <is>
          <t>KRISTIANSTAD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30764-2025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46219</v>
      </c>
      <c r="F692" t="inlineStr">
        <is>
          <t>SKÅNE LÄN</t>
        </is>
      </c>
      <c r="G692" t="inlineStr">
        <is>
          <t>KRISTIANSTAD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9794-2023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44984</v>
      </c>
      <c r="E693" s="1" t="n">
        <v>46219</v>
      </c>
      <c r="F693" t="inlineStr">
        <is>
          <t>SKÅNE LÄN</t>
        </is>
      </c>
      <c r="G693" t="inlineStr">
        <is>
          <t>KRISTIANSTAD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59302-2023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45253</v>
      </c>
      <c r="E694" s="1" t="n">
        <v>46219</v>
      </c>
      <c r="F694" t="inlineStr">
        <is>
          <t>SKÅNE LÄN</t>
        </is>
      </c>
      <c r="G694" t="inlineStr">
        <is>
          <t>KRISTIANSTAD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62156-2022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44915</v>
      </c>
      <c r="E695" s="1" t="n">
        <v>46219</v>
      </c>
      <c r="F695" t="inlineStr">
        <is>
          <t>SKÅNE LÄN</t>
        </is>
      </c>
      <c r="G695" t="inlineStr">
        <is>
          <t>KRISTIANSTAD</t>
        </is>
      </c>
      <c r="H695" t="inlineStr">
        <is>
          <t>Kyrkan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25764-2024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45465</v>
      </c>
      <c r="E696" s="1" t="n">
        <v>46219</v>
      </c>
      <c r="F696" t="inlineStr">
        <is>
          <t>SKÅNE LÄN</t>
        </is>
      </c>
      <c r="G696" t="inlineStr">
        <is>
          <t>KRISTIANSTAD</t>
        </is>
      </c>
      <c r="I696" t="n">
        <v>9.800000000000001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31575-2025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45833</v>
      </c>
      <c r="E697" s="1" t="n">
        <v>46219</v>
      </c>
      <c r="F697" t="inlineStr">
        <is>
          <t>SKÅNE LÄN</t>
        </is>
      </c>
      <c r="G697" t="inlineStr">
        <is>
          <t>KRISTIANSTAD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30749-2024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45496</v>
      </c>
      <c r="E698" s="1" t="n">
        <v>46219</v>
      </c>
      <c r="F698" t="inlineStr">
        <is>
          <t>SKÅNE LÄN</t>
        </is>
      </c>
      <c r="G698" t="inlineStr">
        <is>
          <t>KRISTIANSTAD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48217-2022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44853</v>
      </c>
      <c r="E699" s="1" t="n">
        <v>46219</v>
      </c>
      <c r="F699" t="inlineStr">
        <is>
          <t>SKÅNE LÄN</t>
        </is>
      </c>
      <c r="G699" t="inlineStr">
        <is>
          <t>KRISTIANSTAD</t>
        </is>
      </c>
      <c r="H699" t="inlineStr">
        <is>
          <t>Kyrkan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52064-2024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45608</v>
      </c>
      <c r="E700" s="1" t="n">
        <v>46219</v>
      </c>
      <c r="F700" t="inlineStr">
        <is>
          <t>SKÅNE LÄN</t>
        </is>
      </c>
      <c r="G700" t="inlineStr">
        <is>
          <t>KRISTIANSTAD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18735-2024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45426</v>
      </c>
      <c r="E701" s="1" t="n">
        <v>46219</v>
      </c>
      <c r="F701" t="inlineStr">
        <is>
          <t>SKÅNE LÄN</t>
        </is>
      </c>
      <c r="G701" t="inlineStr">
        <is>
          <t>KRISTIANSTAD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21238-2024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45440</v>
      </c>
      <c r="E702" s="1" t="n">
        <v>46219</v>
      </c>
      <c r="F702" t="inlineStr">
        <is>
          <t>SKÅNE LÄN</t>
        </is>
      </c>
      <c r="G702" t="inlineStr">
        <is>
          <t>KRISTIANSTAD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26827-2024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45470</v>
      </c>
      <c r="E703" s="1" t="n">
        <v>46219</v>
      </c>
      <c r="F703" t="inlineStr">
        <is>
          <t>SKÅNE LÄN</t>
        </is>
      </c>
      <c r="G703" t="inlineStr">
        <is>
          <t>KRISTIANSTAD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17753-2025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45758</v>
      </c>
      <c r="E704" s="1" t="n">
        <v>46219</v>
      </c>
      <c r="F704" t="inlineStr">
        <is>
          <t>SKÅNE LÄN</t>
        </is>
      </c>
      <c r="G704" t="inlineStr">
        <is>
          <t>KRISTIANSTAD</t>
        </is>
      </c>
      <c r="I704" t="n">
        <v>7.2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20302-2026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46136</v>
      </c>
      <c r="E705" s="1" t="n">
        <v>46219</v>
      </c>
      <c r="F705" t="inlineStr">
        <is>
          <t>SKÅNE LÄN</t>
        </is>
      </c>
      <c r="G705" t="inlineStr">
        <is>
          <t>KRISTIANSTAD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53982-2022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44876</v>
      </c>
      <c r="E706" s="1" t="n">
        <v>46219</v>
      </c>
      <c r="F706" t="inlineStr">
        <is>
          <t>SKÅNE LÄN</t>
        </is>
      </c>
      <c r="G706" t="inlineStr">
        <is>
          <t>KRISTIANSTAD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1426-2025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45668</v>
      </c>
      <c r="E707" s="1" t="n">
        <v>46219</v>
      </c>
      <c r="F707" t="inlineStr">
        <is>
          <t>SKÅNE LÄN</t>
        </is>
      </c>
      <c r="G707" t="inlineStr">
        <is>
          <t>KRISTIANSTAD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18146-2022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44684</v>
      </c>
      <c r="E708" s="1" t="n">
        <v>46219</v>
      </c>
      <c r="F708" t="inlineStr">
        <is>
          <t>SKÅNE LÄN</t>
        </is>
      </c>
      <c r="G708" t="inlineStr">
        <is>
          <t>KRISTIANSTAD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11067-2022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44628</v>
      </c>
      <c r="E709" s="1" t="n">
        <v>46219</v>
      </c>
      <c r="F709" t="inlineStr">
        <is>
          <t>SKÅNE LÄN</t>
        </is>
      </c>
      <c r="G709" t="inlineStr">
        <is>
          <t>KRISTIANSTAD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24930-2024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45461</v>
      </c>
      <c r="E710" s="1" t="n">
        <v>46219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17025-2025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45755</v>
      </c>
      <c r="E711" s="1" t="n">
        <v>46219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17043-2024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45412</v>
      </c>
      <c r="E712" s="1" t="n">
        <v>46219</v>
      </c>
      <c r="F712" t="inlineStr">
        <is>
          <t>SKÅNE LÄN</t>
        </is>
      </c>
      <c r="G712" t="inlineStr">
        <is>
          <t>KRISTIANSTAD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533-2025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45664</v>
      </c>
      <c r="E713" s="1" t="n">
        <v>46219</v>
      </c>
      <c r="F713" t="inlineStr">
        <is>
          <t>SKÅNE LÄN</t>
        </is>
      </c>
      <c r="G713" t="inlineStr">
        <is>
          <t>KRISTIANSTAD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429-2023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44923</v>
      </c>
      <c r="E714" s="1" t="n">
        <v>46219</v>
      </c>
      <c r="F714" t="inlineStr">
        <is>
          <t>SKÅNE LÄN</t>
        </is>
      </c>
      <c r="G714" t="inlineStr">
        <is>
          <t>KRISTIANSTAD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6349-2024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45338</v>
      </c>
      <c r="E715" s="1" t="n">
        <v>46219</v>
      </c>
      <c r="F715" t="inlineStr">
        <is>
          <t>SKÅNE LÄN</t>
        </is>
      </c>
      <c r="G715" t="inlineStr">
        <is>
          <t>KRISTIANSTAD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2316-2024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45310</v>
      </c>
      <c r="E716" s="1" t="n">
        <v>46219</v>
      </c>
      <c r="F716" t="inlineStr">
        <is>
          <t>SKÅNE LÄN</t>
        </is>
      </c>
      <c r="G716" t="inlineStr">
        <is>
          <t>KRISTIANSTAD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10971-2023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44991</v>
      </c>
      <c r="E717" s="1" t="n">
        <v>46219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26168-2026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46181</v>
      </c>
      <c r="E718" s="1" t="n">
        <v>46219</v>
      </c>
      <c r="F718" t="inlineStr">
        <is>
          <t>SKÅNE LÄN</t>
        </is>
      </c>
      <c r="G718" t="inlineStr">
        <is>
          <t>KRISTIANSTAD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13431-2022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44645</v>
      </c>
      <c r="E719" s="1" t="n">
        <v>46219</v>
      </c>
      <c r="F719" t="inlineStr">
        <is>
          <t>SKÅNE LÄN</t>
        </is>
      </c>
      <c r="G719" t="inlineStr">
        <is>
          <t>KRISTIANSTAD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3769-2024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45321</v>
      </c>
      <c r="E720" s="1" t="n">
        <v>46219</v>
      </c>
      <c r="F720" t="inlineStr">
        <is>
          <t>SKÅNE LÄN</t>
        </is>
      </c>
      <c r="G720" t="inlineStr">
        <is>
          <t>KRISTIANSTAD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16525-2024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45408</v>
      </c>
      <c r="E721" s="1" t="n">
        <v>46219</v>
      </c>
      <c r="F721" t="inlineStr">
        <is>
          <t>SKÅNE LÄN</t>
        </is>
      </c>
      <c r="G721" t="inlineStr">
        <is>
          <t>KRISTIANSTAD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48217-2022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44853</v>
      </c>
      <c r="E722" s="1" t="n">
        <v>46219</v>
      </c>
      <c r="F722" t="inlineStr">
        <is>
          <t>SKÅNE LÄN</t>
        </is>
      </c>
      <c r="G722" t="inlineStr">
        <is>
          <t>KRISTIANSTAD</t>
        </is>
      </c>
      <c r="H722" t="inlineStr">
        <is>
          <t>Kyrkan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9596-2025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45715</v>
      </c>
      <c r="E723" s="1" t="n">
        <v>46219</v>
      </c>
      <c r="F723" t="inlineStr">
        <is>
          <t>SKÅNE LÄN</t>
        </is>
      </c>
      <c r="G723" t="inlineStr">
        <is>
          <t>KRISTIANSTAD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13562-2025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45736</v>
      </c>
      <c r="E724" s="1" t="n">
        <v>46219</v>
      </c>
      <c r="F724" t="inlineStr">
        <is>
          <t>SKÅNE LÄN</t>
        </is>
      </c>
      <c r="G724" t="inlineStr">
        <is>
          <t>KRISTIANSTAD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14682-2023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45014</v>
      </c>
      <c r="E725" s="1" t="n">
        <v>46219</v>
      </c>
      <c r="F725" t="inlineStr">
        <is>
          <t>SKÅNE LÄN</t>
        </is>
      </c>
      <c r="G725" t="inlineStr">
        <is>
          <t>KRISTIANSTAD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34131-2025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45845</v>
      </c>
      <c r="E726" s="1" t="n">
        <v>46219</v>
      </c>
      <c r="F726" t="inlineStr">
        <is>
          <t>SKÅNE LÄN</t>
        </is>
      </c>
      <c r="G726" t="inlineStr">
        <is>
          <t>KRISTIANSTAD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7802-2025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45706</v>
      </c>
      <c r="E727" s="1" t="n">
        <v>46219</v>
      </c>
      <c r="F727" t="inlineStr">
        <is>
          <t>SKÅNE LÄN</t>
        </is>
      </c>
      <c r="G727" t="inlineStr">
        <is>
          <t>KRISTIANSTAD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13664-2025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45736</v>
      </c>
      <c r="E728" s="1" t="n">
        <v>46219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52495-2024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45609</v>
      </c>
      <c r="E729" s="1" t="n">
        <v>46219</v>
      </c>
      <c r="F729" t="inlineStr">
        <is>
          <t>SKÅNE LÄN</t>
        </is>
      </c>
      <c r="G729" t="inlineStr">
        <is>
          <t>KRISTIANSTAD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15890-2025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45749</v>
      </c>
      <c r="E730" s="1" t="n">
        <v>46219</v>
      </c>
      <c r="F730" t="inlineStr">
        <is>
          <t>SKÅNE LÄN</t>
        </is>
      </c>
      <c r="G730" t="inlineStr">
        <is>
          <t>KRISTIANSTAD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28161-2025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45818</v>
      </c>
      <c r="E731" s="1" t="n">
        <v>46219</v>
      </c>
      <c r="F731" t="inlineStr">
        <is>
          <t>SKÅNE LÄN</t>
        </is>
      </c>
      <c r="G731" t="inlineStr">
        <is>
          <t>KRISTIANSTAD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8804-2025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45712</v>
      </c>
      <c r="E732" s="1" t="n">
        <v>46219</v>
      </c>
      <c r="F732" t="inlineStr">
        <is>
          <t>SKÅNE LÄN</t>
        </is>
      </c>
      <c r="G732" t="inlineStr">
        <is>
          <t>KRISTIANSTAD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35721-2025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45860</v>
      </c>
      <c r="E733" s="1" t="n">
        <v>46219</v>
      </c>
      <c r="F733" t="inlineStr">
        <is>
          <t>SKÅNE LÄN</t>
        </is>
      </c>
      <c r="G733" t="inlineStr">
        <is>
          <t>KRISTIANSTAD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30457-2025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45827</v>
      </c>
      <c r="E734" s="1" t="n">
        <v>46219</v>
      </c>
      <c r="F734" t="inlineStr">
        <is>
          <t>SKÅNE LÄN</t>
        </is>
      </c>
      <c r="G734" t="inlineStr">
        <is>
          <t>KRISTIANSTAD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20651-2026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46141</v>
      </c>
      <c r="E735" s="1" t="n">
        <v>46219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22292-2022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44712</v>
      </c>
      <c r="E736" s="1" t="n">
        <v>46219</v>
      </c>
      <c r="F736" t="inlineStr">
        <is>
          <t>SKÅNE LÄN</t>
        </is>
      </c>
      <c r="G736" t="inlineStr">
        <is>
          <t>KRISTIANSTAD</t>
        </is>
      </c>
      <c r="H736" t="inlineStr">
        <is>
          <t>Övriga Aktiebolag</t>
        </is>
      </c>
      <c r="I736" t="n">
        <v>19.5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36916-2025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45874</v>
      </c>
      <c r="E737" s="1" t="n">
        <v>46219</v>
      </c>
      <c r="F737" t="inlineStr">
        <is>
          <t>SKÅNE LÄN</t>
        </is>
      </c>
      <c r="G737" t="inlineStr">
        <is>
          <t>KRISTIANSTAD</t>
        </is>
      </c>
      <c r="I737" t="n">
        <v>5.7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37140-2025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45874</v>
      </c>
      <c r="E738" s="1" t="n">
        <v>46219</v>
      </c>
      <c r="F738" t="inlineStr">
        <is>
          <t>SKÅNE LÄN</t>
        </is>
      </c>
      <c r="G738" t="inlineStr">
        <is>
          <t>KRISTIANSTAD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36917-2025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45874</v>
      </c>
      <c r="E739" s="1" t="n">
        <v>46219</v>
      </c>
      <c r="F739" t="inlineStr">
        <is>
          <t>SKÅNE LÄN</t>
        </is>
      </c>
      <c r="G739" t="inlineStr">
        <is>
          <t>KRISTIANSTAD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37141-2025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45874</v>
      </c>
      <c r="E740" s="1" t="n">
        <v>46219</v>
      </c>
      <c r="F740" t="inlineStr">
        <is>
          <t>SKÅNE LÄN</t>
        </is>
      </c>
      <c r="G740" t="inlineStr">
        <is>
          <t>KRISTIANSTAD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22504-2022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44713</v>
      </c>
      <c r="E741" s="1" t="n">
        <v>46219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17693-2024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45418</v>
      </c>
      <c r="E742" s="1" t="n">
        <v>46219</v>
      </c>
      <c r="F742" t="inlineStr">
        <is>
          <t>SKÅNE LÄN</t>
        </is>
      </c>
      <c r="G742" t="inlineStr">
        <is>
          <t>KRISTIANSTAD</t>
        </is>
      </c>
      <c r="H742" t="inlineStr">
        <is>
          <t>Övriga Aktiebolag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38400-2024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45546</v>
      </c>
      <c r="E743" s="1" t="n">
        <v>46219</v>
      </c>
      <c r="F743" t="inlineStr">
        <is>
          <t>SKÅNE LÄN</t>
        </is>
      </c>
      <c r="G743" t="inlineStr">
        <is>
          <t>KRISTIANSTAD</t>
        </is>
      </c>
      <c r="H743" t="inlineStr">
        <is>
          <t>Övriga Aktiebolag</t>
        </is>
      </c>
      <c r="I743" t="n">
        <v>19.8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46182-2024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45581</v>
      </c>
      <c r="E744" s="1" t="n">
        <v>46219</v>
      </c>
      <c r="F744" t="inlineStr">
        <is>
          <t>SKÅNE LÄN</t>
        </is>
      </c>
      <c r="G744" t="inlineStr">
        <is>
          <t>KRISTIANSTAD</t>
        </is>
      </c>
      <c r="H744" t="inlineStr">
        <is>
          <t>Övriga Aktiebolag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51898-2024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45607</v>
      </c>
      <c r="E745" s="1" t="n">
        <v>46219</v>
      </c>
      <c r="F745" t="inlineStr">
        <is>
          <t>SKÅNE LÄN</t>
        </is>
      </c>
      <c r="G745" t="inlineStr">
        <is>
          <t>KRISTIANSTAD</t>
        </is>
      </c>
      <c r="H745" t="inlineStr">
        <is>
          <t>Övriga Aktiebolag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40896-2024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45558</v>
      </c>
      <c r="E746" s="1" t="n">
        <v>46219</v>
      </c>
      <c r="F746" t="inlineStr">
        <is>
          <t>SKÅNE LÄN</t>
        </is>
      </c>
      <c r="G746" t="inlineStr">
        <is>
          <t>KRISTIANSTAD</t>
        </is>
      </c>
      <c r="H746" t="inlineStr">
        <is>
          <t>Övriga Aktiebolag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40903-2024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45558</v>
      </c>
      <c r="E747" s="1" t="n">
        <v>46219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7546-2022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44607</v>
      </c>
      <c r="E748" s="1" t="n">
        <v>46219</v>
      </c>
      <c r="F748" t="inlineStr">
        <is>
          <t>SKÅNE LÄN</t>
        </is>
      </c>
      <c r="G748" t="inlineStr">
        <is>
          <t>KRISTIANSTAD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51903-2024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46219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27561-2026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46190</v>
      </c>
      <c r="E750" s="1" t="n">
        <v>46219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27447-2026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46188</v>
      </c>
      <c r="E751" s="1" t="n">
        <v>46219</v>
      </c>
      <c r="F751" t="inlineStr">
        <is>
          <t>SKÅNE LÄN</t>
        </is>
      </c>
      <c r="G751" t="inlineStr">
        <is>
          <t>KRISTIANSTAD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21274-2026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46147</v>
      </c>
      <c r="E752" s="1" t="n">
        <v>46219</v>
      </c>
      <c r="F752" t="inlineStr">
        <is>
          <t>SKÅNE LÄN</t>
        </is>
      </c>
      <c r="G752" t="inlineStr">
        <is>
          <t>KRISTIANSTAD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22083-2026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46219</v>
      </c>
      <c r="F753" t="inlineStr">
        <is>
          <t>SKÅNE LÄN</t>
        </is>
      </c>
      <c r="G753" t="inlineStr">
        <is>
          <t>KRISTIANSTAD</t>
        </is>
      </c>
      <c r="I753" t="n">
        <v>10.1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21851-2026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46150</v>
      </c>
      <c r="E754" s="1" t="n">
        <v>46219</v>
      </c>
      <c r="F754" t="inlineStr">
        <is>
          <t>SKÅNE LÄN</t>
        </is>
      </c>
      <c r="G754" t="inlineStr">
        <is>
          <t>KRISTIANSTAD</t>
        </is>
      </c>
      <c r="H754" t="inlineStr">
        <is>
          <t>Kommuner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22116-2026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46153</v>
      </c>
      <c r="E755" s="1" t="n">
        <v>46219</v>
      </c>
      <c r="F755" t="inlineStr">
        <is>
          <t>SKÅNE LÄN</t>
        </is>
      </c>
      <c r="G755" t="inlineStr">
        <is>
          <t>KRISTIANSTAD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10961-2025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45723</v>
      </c>
      <c r="E756" s="1" t="n">
        <v>46219</v>
      </c>
      <c r="F756" t="inlineStr">
        <is>
          <t>SKÅNE LÄN</t>
        </is>
      </c>
      <c r="G756" t="inlineStr">
        <is>
          <t>KRISTIANSTAD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28722-2026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46219</v>
      </c>
      <c r="F757" t="inlineStr">
        <is>
          <t>SKÅNE LÄN</t>
        </is>
      </c>
      <c r="G757" t="inlineStr">
        <is>
          <t>KRISTIANSTAD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820-2026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46030</v>
      </c>
      <c r="E758" s="1" t="n">
        <v>46219</v>
      </c>
      <c r="F758" t="inlineStr">
        <is>
          <t>SKÅNE LÄN</t>
        </is>
      </c>
      <c r="G758" t="inlineStr">
        <is>
          <t>KRISTIANSTAD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2472-2022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44579</v>
      </c>
      <c r="E759" s="1" t="n">
        <v>46219</v>
      </c>
      <c r="F759" t="inlineStr">
        <is>
          <t>SKÅNE LÄN</t>
        </is>
      </c>
      <c r="G759" t="inlineStr">
        <is>
          <t>KRISTIANSTAD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29169-2026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46202</v>
      </c>
      <c r="E760" s="1" t="n">
        <v>46219</v>
      </c>
      <c r="F760" t="inlineStr">
        <is>
          <t>SKÅNE LÄN</t>
        </is>
      </c>
      <c r="G760" t="inlineStr">
        <is>
          <t>KRISTIANSTAD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23497-2024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45453</v>
      </c>
      <c r="E761" s="1" t="n">
        <v>46219</v>
      </c>
      <c r="F761" t="inlineStr">
        <is>
          <t>SKÅNE LÄN</t>
        </is>
      </c>
      <c r="G761" t="inlineStr">
        <is>
          <t>KRISTIANSTAD</t>
        </is>
      </c>
      <c r="H761" t="inlineStr">
        <is>
          <t>Sveaskog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38849-2025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45887</v>
      </c>
      <c r="E762" s="1" t="n">
        <v>46219</v>
      </c>
      <c r="F762" t="inlineStr">
        <is>
          <t>SKÅNE LÄN</t>
        </is>
      </c>
      <c r="G762" t="inlineStr">
        <is>
          <t>KRISTIANSTAD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46219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2146-2022</t>
        </is>
      </c>
      <c r="B764" t="inlineStr">
        <is>
          <t>samrådsanmälan</t>
        </is>
      </c>
      <c r="C764" t="inlineStr">
        <is>
          <t>Skogsbilväg</t>
        </is>
      </c>
      <c r="D764" s="1" t="n">
        <v>44676</v>
      </c>
      <c r="E764" s="1" t="n">
        <v>46219</v>
      </c>
      <c r="F764" t="inlineStr">
        <is>
          <t>SKÅNE LÄN</t>
        </is>
      </c>
      <c r="G764" t="inlineStr">
        <is>
          <t>KRISTIANSTAD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8718-2021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44501</v>
      </c>
      <c r="E765" s="1" t="n">
        <v>46219</v>
      </c>
      <c r="F765" t="inlineStr">
        <is>
          <t>SKÅNE LÄN</t>
        </is>
      </c>
      <c r="G765" t="inlineStr">
        <is>
          <t>KRISTIANSTAD</t>
        </is>
      </c>
      <c r="I765" t="n">
        <v>20.4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4865-2024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45617</v>
      </c>
      <c r="E766" s="1" t="n">
        <v>46219</v>
      </c>
      <c r="F766" t="inlineStr">
        <is>
          <t>SKÅNE LÄN</t>
        </is>
      </c>
      <c r="G766" t="inlineStr">
        <is>
          <t>KRISTIANSTAD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558-2023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44970</v>
      </c>
      <c r="E767" s="1" t="n">
        <v>46219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2174-2023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45089</v>
      </c>
      <c r="E768" s="1" t="n">
        <v>46219</v>
      </c>
      <c r="F768" t="inlineStr">
        <is>
          <t>SKÅNE LÄN</t>
        </is>
      </c>
      <c r="G768" t="inlineStr">
        <is>
          <t>KRISTIANSTAD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6790-2021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44459</v>
      </c>
      <c r="E769" s="1" t="n">
        <v>46219</v>
      </c>
      <c r="F769" t="inlineStr">
        <is>
          <t>SKÅNE LÄN</t>
        </is>
      </c>
      <c r="G769" t="inlineStr">
        <is>
          <t>KRISTIANSTAD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4893-2021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44417</v>
      </c>
      <c r="E770" s="1" t="n">
        <v>46219</v>
      </c>
      <c r="F770" t="inlineStr">
        <is>
          <t>SKÅNE LÄN</t>
        </is>
      </c>
      <c r="G770" t="inlineStr">
        <is>
          <t>KRISTIANSTAD</t>
        </is>
      </c>
      <c r="I770" t="n">
        <v>39.3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4910-2022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44809</v>
      </c>
      <c r="E771" s="1" t="n">
        <v>46219</v>
      </c>
      <c r="F771" t="inlineStr">
        <is>
          <t>SKÅNE LÄN</t>
        </is>
      </c>
      <c r="G771" t="inlineStr">
        <is>
          <t>KRISTIANSTAD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1865-2024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45440</v>
      </c>
      <c r="E772" s="1" t="n">
        <v>46219</v>
      </c>
      <c r="F772" t="inlineStr">
        <is>
          <t>SKÅNE LÄN</t>
        </is>
      </c>
      <c r="G772" t="inlineStr">
        <is>
          <t>KRISTIANSTAD</t>
        </is>
      </c>
      <c r="I772" t="n">
        <v>29.3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171-2025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46219</v>
      </c>
      <c r="F773" t="inlineStr">
        <is>
          <t>SKÅNE LÄN</t>
        </is>
      </c>
      <c r="G773" t="inlineStr">
        <is>
          <t>KRISTIANSTAD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175-2025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46219</v>
      </c>
      <c r="F774" t="inlineStr">
        <is>
          <t>SKÅNE LÄN</t>
        </is>
      </c>
      <c r="G774" t="inlineStr">
        <is>
          <t>KRISTIANSTAD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2906-2024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45503</v>
      </c>
      <c r="E775" s="1" t="n">
        <v>46219</v>
      </c>
      <c r="F775" t="inlineStr">
        <is>
          <t>SKÅNE LÄN</t>
        </is>
      </c>
      <c r="G775" t="inlineStr">
        <is>
          <t>KRISTIANSTAD</t>
        </is>
      </c>
      <c r="I775" t="n">
        <v>16.5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29-2025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45659</v>
      </c>
      <c r="E776" s="1" t="n">
        <v>46219</v>
      </c>
      <c r="F776" t="inlineStr">
        <is>
          <t>SKÅNE LÄN</t>
        </is>
      </c>
      <c r="G776" t="inlineStr">
        <is>
          <t>KRISTIANSTAD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4403-2022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44784</v>
      </c>
      <c r="E777" s="1" t="n">
        <v>46219</v>
      </c>
      <c r="F777" t="inlineStr">
        <is>
          <t>SKÅNE LÄN</t>
        </is>
      </c>
      <c r="G777" t="inlineStr">
        <is>
          <t>KRISTIANSTAD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5665-2022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44841</v>
      </c>
      <c r="E778" s="1" t="n">
        <v>46219</v>
      </c>
      <c r="F778" t="inlineStr">
        <is>
          <t>SKÅNE LÄN</t>
        </is>
      </c>
      <c r="G778" t="inlineStr">
        <is>
          <t>KRISTIANSTAD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1076-2023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45012</v>
      </c>
      <c r="E779" s="1" t="n">
        <v>46219</v>
      </c>
      <c r="F779" t="inlineStr">
        <is>
          <t>SKÅNE LÄN</t>
        </is>
      </c>
      <c r="G779" t="inlineStr">
        <is>
          <t>KRISTIANSTAD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S 307-2023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44956</v>
      </c>
      <c r="E780" s="1" t="n">
        <v>46219</v>
      </c>
      <c r="F780" t="inlineStr">
        <is>
          <t>SKÅNE LÄN</t>
        </is>
      </c>
      <c r="G780" t="inlineStr">
        <is>
          <t>KRISTIANSTAD</t>
        </is>
      </c>
      <c r="I780" t="n">
        <v>11.9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S 1731-2023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45069</v>
      </c>
      <c r="E781" s="1" t="n">
        <v>46219</v>
      </c>
      <c r="F781" t="inlineStr">
        <is>
          <t>SKÅNE LÄN</t>
        </is>
      </c>
      <c r="G781" t="inlineStr">
        <is>
          <t>KRISTIANSTAD</t>
        </is>
      </c>
      <c r="I781" t="n">
        <v>10.2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S 2492-2023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45120</v>
      </c>
      <c r="E782" s="1" t="n">
        <v>46219</v>
      </c>
      <c r="F782" t="inlineStr">
        <is>
          <t>SKÅNE LÄN</t>
        </is>
      </c>
      <c r="G782" t="inlineStr">
        <is>
          <t>KRISTIANSTAD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S 775-2025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45728</v>
      </c>
      <c r="E783" s="1" t="n">
        <v>46219</v>
      </c>
      <c r="F783" t="inlineStr">
        <is>
          <t>SKÅNE LÄN</t>
        </is>
      </c>
      <c r="G783" t="inlineStr">
        <is>
          <t>KRISTIANSTAD</t>
        </is>
      </c>
      <c r="I783" t="n">
        <v>9.199999999999999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S 476-2025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46219</v>
      </c>
      <c r="F784" t="inlineStr">
        <is>
          <t>SKÅNE LÄN</t>
        </is>
      </c>
      <c r="G784" t="inlineStr">
        <is>
          <t>KRISTIANSTAD</t>
        </is>
      </c>
      <c r="I784" t="n">
        <v>58.6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S 475-2025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46219</v>
      </c>
      <c r="F785" t="inlineStr">
        <is>
          <t>SKÅNE LÄN</t>
        </is>
      </c>
      <c r="G785" t="inlineStr">
        <is>
          <t>KRISTIANSTAD</t>
        </is>
      </c>
      <c r="I785" t="n">
        <v>67.7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S 760-2025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45726</v>
      </c>
      <c r="E786" s="1" t="n">
        <v>46219</v>
      </c>
      <c r="F786" t="inlineStr">
        <is>
          <t>SKÅNE LÄN</t>
        </is>
      </c>
      <c r="G786" t="inlineStr">
        <is>
          <t>KRISTIANSTAD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S 871-2025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45734</v>
      </c>
      <c r="E787" s="1" t="n">
        <v>46219</v>
      </c>
      <c r="F787" t="inlineStr">
        <is>
          <t>SKÅNE LÄN</t>
        </is>
      </c>
      <c r="G787" t="inlineStr">
        <is>
          <t>KRISTIANSTAD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S 1747-2025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46219</v>
      </c>
      <c r="F788" t="inlineStr">
        <is>
          <t>SKÅNE LÄN</t>
        </is>
      </c>
      <c r="G788" t="inlineStr">
        <is>
          <t>KRISTIANSTAD</t>
        </is>
      </c>
      <c r="I788" t="n">
        <v>11.3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S 1749-2025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46219</v>
      </c>
      <c r="F789" t="inlineStr">
        <is>
          <t>SKÅNE LÄN</t>
        </is>
      </c>
      <c r="G789" t="inlineStr">
        <is>
          <t>KRISTIANSTAD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S 1750-2025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46219</v>
      </c>
      <c r="F790" t="inlineStr">
        <is>
          <t>SKÅNE LÄN</t>
        </is>
      </c>
      <c r="G790" t="inlineStr">
        <is>
          <t>KRISTIANSTAD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S 2468-2025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45901</v>
      </c>
      <c r="E791" s="1" t="n">
        <v>46219</v>
      </c>
      <c r="F791" t="inlineStr">
        <is>
          <t>SKÅNE LÄN</t>
        </is>
      </c>
      <c r="G791" t="inlineStr">
        <is>
          <t>KRISTIANSTAD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S 2875-2025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45945</v>
      </c>
      <c r="E792" s="1" t="n">
        <v>46219</v>
      </c>
      <c r="F792" t="inlineStr">
        <is>
          <t>SKÅNE LÄN</t>
        </is>
      </c>
      <c r="G792" t="inlineStr">
        <is>
          <t>KRISTIANSTAD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S 2889-2025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45946</v>
      </c>
      <c r="E793" s="1" t="n">
        <v>46219</v>
      </c>
      <c r="F793" t="inlineStr">
        <is>
          <t>SKÅNE LÄN</t>
        </is>
      </c>
      <c r="G793" t="inlineStr">
        <is>
          <t>KRISTIANSTAD</t>
        </is>
      </c>
      <c r="I793" t="n">
        <v>43.6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S 1064-2026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46127</v>
      </c>
      <c r="E794" s="1" t="n">
        <v>46219</v>
      </c>
      <c r="F794" t="inlineStr">
        <is>
          <t>SKÅNE LÄN</t>
        </is>
      </c>
      <c r="G794" t="inlineStr">
        <is>
          <t>KRISTIANSTAD</t>
        </is>
      </c>
      <c r="I794" t="n">
        <v>69.8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S 1210-2026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46141</v>
      </c>
      <c r="E795" s="1" t="n">
        <v>46219</v>
      </c>
      <c r="F795" t="inlineStr">
        <is>
          <t>SKÅNE LÄN</t>
        </is>
      </c>
      <c r="G795" t="inlineStr">
        <is>
          <t>KRISTIANSTAD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>
      <c r="A796" t="inlineStr">
        <is>
          <t>S 1380-2026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46148</v>
      </c>
      <c r="E796" s="1" t="n">
        <v>46219</v>
      </c>
      <c r="F796" t="inlineStr">
        <is>
          <t>SKÅNE LÄN</t>
        </is>
      </c>
      <c r="G796" t="inlineStr">
        <is>
          <t>KRISTIANSTAD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2026-07-16T01:26:11Z</dcterms:created>
  <dcterms:modified xmlns:dcterms="http://purl.org/dc/terms/" xmlns:xsi="http://www.w3.org/2001/XMLSchema-instance" xsi:type="dcterms:W3CDTF">2026-07-16T01:26:11Z</dcterms:modified>
</cp:coreProperties>
</file>