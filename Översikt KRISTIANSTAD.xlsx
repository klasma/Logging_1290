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46294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46294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46294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46294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46294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46294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46294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46294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46294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46294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46294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46294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46294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46294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46294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46294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46294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46294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46294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46294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46294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46294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46294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46294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46294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46294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46294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46294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46294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46294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46294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46294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46294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46294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46294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46294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46294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46294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46294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46294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46294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46294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46294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46294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46294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46294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46294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46294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46294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45665</v>
      </c>
      <c r="E57" s="1" t="n">
        <v>46294</v>
      </c>
      <c r="F57" t="inlineStr">
        <is>
          <t>SKÅNE LÄN</t>
        </is>
      </c>
      <c r="G57" t="inlineStr">
        <is>
          <t>KRISTIANSTAD</t>
        </is>
      </c>
      <c r="I57" t="n">
        <v>1.9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Rosa lundlav
Stiftklotterlav</t>
        </is>
      </c>
      <c r="W57">
        <f>HYPERLINK("https://klasma.github.io/Logging_1290/artfynd/A 755-2025 artfynd.xlsx", "A 755-2025")</f>
        <v/>
      </c>
      <c r="X57">
        <f>HYPERLINK("https://klasma.github.io/Logging_1290/kartor/A 755-2025 karta.png", "A 755-2025")</f>
        <v/>
      </c>
      <c r="Y57">
        <f>HYPERLINK("https://klasma.github.io/Logging_1290/kartor_geotiff/A 755-2025 georefererad karta.tif", "A 755-2025")</f>
        <v/>
      </c>
      <c r="AA57">
        <f>HYPERLINK("https://klasma.github.io/Logging_1290/klagomål/A 755-2025 FSC-klagomål.docx", "A 755-2025")</f>
        <v/>
      </c>
      <c r="AB57">
        <f>HYPERLINK("https://klasma.github.io/Logging_1290/klagomålsmail/A 755-2025 FSC-klagomål mail.docx", "A 755-2025")</f>
        <v/>
      </c>
      <c r="AC57">
        <f>HYPERLINK("https://klasma.github.io/Logging_1290/tillsyn/A 755-2025 tillsynsbegäran.docx", "A 755-2025")</f>
        <v/>
      </c>
      <c r="AD57">
        <f>HYPERLINK("https://klasma.github.io/Logging_1290/tillsynsmail/A 755-2025 tillsynsbegäran mail.docx", "A 755-2025")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46294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46294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46294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46294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46294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46294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46294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46294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46294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46294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46294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46294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46294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46294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46294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46294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46294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46294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46294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46294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46294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46294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46294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27956-2022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46294</v>
      </c>
      <c r="F81" t="inlineStr">
        <is>
          <t>SKÅNE LÄN</t>
        </is>
      </c>
      <c r="G81" t="inlineStr">
        <is>
          <t>KRISTIANSTAD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Kärrviol</t>
        </is>
      </c>
      <c r="W81">
        <f>HYPERLINK("https://klasma.github.io/Logging_1290/artfynd/A 27956-2022 artfynd.xlsx", "A 27956-2022")</f>
        <v/>
      </c>
      <c r="X81">
        <f>HYPERLINK("https://klasma.github.io/Logging_1290/kartor/A 27956-2022 karta.png", "A 27956-2022")</f>
        <v/>
      </c>
      <c r="Y81">
        <f>HYPERLINK("https://klasma.github.io/Logging_1290/kartor_geotiff/A 27956-2022 georefererad karta.tif", "A 27956-2022")</f>
        <v/>
      </c>
      <c r="AA81">
        <f>HYPERLINK("https://klasma.github.io/Logging_1290/klagomål/A 27956-2022 FSC-klagomål.docx", "A 27956-2022")</f>
        <v/>
      </c>
      <c r="AB81">
        <f>HYPERLINK("https://klasma.github.io/Logging_1290/klagomålsmail/A 27956-2022 FSC-klagomål mail.docx", "A 27956-2022")</f>
        <v/>
      </c>
      <c r="AC81">
        <f>HYPERLINK("https://klasma.github.io/Logging_1290/tillsyn/A 27956-2022 tillsynsbegäran.docx", "A 27956-2022")</f>
        <v/>
      </c>
      <c r="AD81">
        <f>HYPERLINK("https://klasma.github.io/Logging_1290/tillsynsmail/A 27956-2022 tillsynsbegäran mail.docx", "A 27956-2022")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46294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46294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46294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46294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46294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27234-2025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46294</v>
      </c>
      <c r="F87" t="inlineStr">
        <is>
          <t>SKÅNE LÄN</t>
        </is>
      </c>
      <c r="G87" t="inlineStr">
        <is>
          <t>KRISTIANSTAD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Småvänderot</t>
        </is>
      </c>
      <c r="W87">
        <f>HYPERLINK("https://klasma.github.io/Logging_1290/artfynd/A 27234-2025 artfynd.xlsx", "A 27234-2025")</f>
        <v/>
      </c>
      <c r="X87">
        <f>HYPERLINK("https://klasma.github.io/Logging_1290/kartor/A 27234-2025 karta.png", "A 27234-2025")</f>
        <v/>
      </c>
      <c r="Y87">
        <f>HYPERLINK("https://klasma.github.io/Logging_1290/kartor_geotiff/A 27234-2025 georefererad karta.tif", "A 27234-2025")</f>
        <v/>
      </c>
      <c r="AA87">
        <f>HYPERLINK("https://klasma.github.io/Logging_1290/klagomål/A 27234-2025 FSC-klagomål.docx", "A 27234-2025")</f>
        <v/>
      </c>
      <c r="AB87">
        <f>HYPERLINK("https://klasma.github.io/Logging_1290/klagomålsmail/A 27234-2025 FSC-klagomål mail.docx", "A 27234-2025")</f>
        <v/>
      </c>
      <c r="AC87">
        <f>HYPERLINK("https://klasma.github.io/Logging_1290/tillsyn/A 27234-2025 tillsynsbegäran.docx", "A 27234-2025")</f>
        <v/>
      </c>
      <c r="AD87">
        <f>HYPERLINK("https://klasma.github.io/Logging_1290/tillsynsmail/A 27234-2025 tillsynsbegäran mail.docx", "A 27234-2025")</f>
        <v/>
      </c>
    </row>
    <row r="88" ht="15" customHeight="1">
      <c r="A88" t="inlineStr">
        <is>
          <t>A 46931-2025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46294</v>
      </c>
      <c r="F88" t="inlineStr">
        <is>
          <t>SKÅNE LÄN</t>
        </is>
      </c>
      <c r="G88" t="inlineStr">
        <is>
          <t>KRISTIANSTAD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HYPERLINK("https://klasma.github.io/Logging_1290/artfynd/A 46931-2025 artfynd.xlsx", "A 46931-2025")</f>
        <v/>
      </c>
      <c r="X88">
        <f>HYPERLINK("https://klasma.github.io/Logging_1290/kartor/A 46931-2025 karta.png", "A 46931-2025")</f>
        <v/>
      </c>
      <c r="Y88">
        <f>HYPERLINK("https://klasma.github.io/Logging_1290/kartor_geotiff/A 46931-2025 georefererad karta.tif", "A 46931-2025")</f>
        <v/>
      </c>
      <c r="AA88">
        <f>HYPERLINK("https://klasma.github.io/Logging_1290/klagomål/A 46931-2025 FSC-klagomål.docx", "A 46931-2025")</f>
        <v/>
      </c>
      <c r="AB88">
        <f>HYPERLINK("https://klasma.github.io/Logging_1290/klagomålsmail/A 46931-2025 FSC-klagomål mail.docx", "A 46931-2025")</f>
        <v/>
      </c>
      <c r="AC88">
        <f>HYPERLINK("https://klasma.github.io/Logging_1290/tillsyn/A 46931-2025 tillsynsbegäran.docx", "A 46931-2025")</f>
        <v/>
      </c>
      <c r="AD88">
        <f>HYPERLINK("https://klasma.github.io/Logging_1290/tillsynsmail/A 46931-2025 tillsynsbegäran mail.docx", "A 46931-2025")</f>
        <v/>
      </c>
    </row>
    <row r="89" ht="15" customHeight="1">
      <c r="A89" t="inlineStr">
        <is>
          <t>A 47317-2025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46294</v>
      </c>
      <c r="F89" t="inlineStr">
        <is>
          <t>SKÅNE LÄN</t>
        </is>
      </c>
      <c r="G89" t="inlineStr">
        <is>
          <t>KRISTIANSTAD</t>
        </is>
      </c>
      <c r="I89" t="n">
        <v>10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Lungrot</t>
        </is>
      </c>
      <c r="W89">
        <f>HYPERLINK("https://klasma.github.io/Logging_1290/artfynd/A 47317-2025 artfynd.xlsx", "A 47317-2025")</f>
        <v/>
      </c>
      <c r="X89">
        <f>HYPERLINK("https://klasma.github.io/Logging_1290/kartor/A 47317-2025 karta.png", "A 47317-2025")</f>
        <v/>
      </c>
      <c r="Y89">
        <f>HYPERLINK("https://klasma.github.io/Logging_1290/kartor_geotiff/A 47317-2025 georefererad karta.tif", "A 47317-2025")</f>
        <v/>
      </c>
      <c r="AA89">
        <f>HYPERLINK("https://klasma.github.io/Logging_1290/klagomål/A 47317-2025 FSC-klagomål.docx", "A 47317-2025")</f>
        <v/>
      </c>
      <c r="AB89">
        <f>HYPERLINK("https://klasma.github.io/Logging_1290/klagomålsmail/A 47317-2025 FSC-klagomål mail.docx", "A 47317-2025")</f>
        <v/>
      </c>
      <c r="AC89">
        <f>HYPERLINK("https://klasma.github.io/Logging_1290/tillsyn/A 47317-2025 tillsynsbegäran.docx", "A 47317-2025")</f>
        <v/>
      </c>
      <c r="AD89">
        <f>HYPERLINK("https://klasma.github.io/Logging_1290/tillsynsmail/A 47317-2025 tillsynsbegäran mail.docx", "A 47317-2025")</f>
        <v/>
      </c>
    </row>
    <row r="90" ht="15" customHeight="1">
      <c r="A90" t="inlineStr">
        <is>
          <t>A 32219-2025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45835</v>
      </c>
      <c r="E90" s="1" t="n">
        <v>46294</v>
      </c>
      <c r="F90" t="inlineStr">
        <is>
          <t>SKÅNE LÄN</t>
        </is>
      </c>
      <c r="G90" t="inlineStr">
        <is>
          <t>KRISTIANSTAD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Ägretthäger</t>
        </is>
      </c>
      <c r="W90">
        <f>HYPERLINK("https://klasma.github.io/Logging_1290/artfynd/A 32219-2025 artfynd.xlsx", "A 32219-2025")</f>
        <v/>
      </c>
      <c r="X90">
        <f>HYPERLINK("https://klasma.github.io/Logging_1290/kartor/A 32219-2025 karta.png", "A 32219-2025")</f>
        <v/>
      </c>
      <c r="Y90">
        <f>HYPERLINK("https://klasma.github.io/Logging_1290/kartor_geotiff/A 32219-2025 georefererad karta.tif", "A 32219-2025")</f>
        <v/>
      </c>
      <c r="AA90">
        <f>HYPERLINK("https://klasma.github.io/Logging_1290/klagomål/A 32219-2025 FSC-klagomål.docx", "A 32219-2025")</f>
        <v/>
      </c>
      <c r="AB90">
        <f>HYPERLINK("https://klasma.github.io/Logging_1290/klagomålsmail/A 32219-2025 FSC-klagomål mail.docx", "A 32219-2025")</f>
        <v/>
      </c>
      <c r="AC90">
        <f>HYPERLINK("https://klasma.github.io/Logging_1290/tillsyn/A 32219-2025 tillsynsbegäran.docx", "A 32219-2025")</f>
        <v/>
      </c>
      <c r="AD90">
        <f>HYPERLINK("https://klasma.github.io/Logging_1290/tillsynsmail/A 32219-2025 tillsynsbegäran mail.docx", "A 32219-2025")</f>
        <v/>
      </c>
      <c r="AE90">
        <f>HYPERLINK("https://klasma.github.io/Logging_1290/fåglar/A 32219-2025 prioriterade fågelarter.docx", "A 32219-2025")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46294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49428-2025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46294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vattensalamander</t>
        </is>
      </c>
      <c r="W92">
        <f>HYPERLINK("https://klasma.github.io/Logging_1290/artfynd/A 49428-2025 artfynd.xlsx", "A 49428-2025")</f>
        <v/>
      </c>
      <c r="X92">
        <f>HYPERLINK("https://klasma.github.io/Logging_1290/kartor/A 49428-2025 karta.png", "A 49428-2025")</f>
        <v/>
      </c>
      <c r="Y92">
        <f>HYPERLINK("https://klasma.github.io/Logging_1290/kartor_geotiff/A 49428-2025 georefererad karta.tif", "A 49428-2025")</f>
        <v/>
      </c>
      <c r="AA92">
        <f>HYPERLINK("https://klasma.github.io/Logging_1290/klagomål/A 49428-2025 FSC-klagomål.docx", "A 49428-2025")</f>
        <v/>
      </c>
      <c r="AB92">
        <f>HYPERLINK("https://klasma.github.io/Logging_1290/klagomålsmail/A 49428-2025 FSC-klagomål mail.docx", "A 49428-2025")</f>
        <v/>
      </c>
      <c r="AC92">
        <f>HYPERLINK("https://klasma.github.io/Logging_1290/tillsyn/A 49428-2025 tillsynsbegäran.docx", "A 49428-2025")</f>
        <v/>
      </c>
      <c r="AD92">
        <f>HYPERLINK("https://klasma.github.io/Logging_1290/tillsynsmail/A 49428-2025 tillsynsbegäran mail.docx", "A 49428-2025")</f>
        <v/>
      </c>
    </row>
    <row r="93" ht="15" customHeight="1">
      <c r="A93" t="inlineStr">
        <is>
          <t>A 16783-2025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46294</v>
      </c>
      <c r="F93" t="inlineStr">
        <is>
          <t>SKÅNE LÄN</t>
        </is>
      </c>
      <c r="G93" t="inlineStr">
        <is>
          <t>KRISTIANSTAD</t>
        </is>
      </c>
      <c r="I93" t="n">
        <v>20.2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Öring</t>
        </is>
      </c>
      <c r="W93">
        <f>HYPERLINK("https://klasma.github.io/Logging_1290/artfynd/A 16783-2025 artfynd.xlsx", "A 16783-2025")</f>
        <v/>
      </c>
      <c r="X93">
        <f>HYPERLINK("https://klasma.github.io/Logging_1290/kartor/A 16783-2025 karta.png", "A 16783-2025")</f>
        <v/>
      </c>
      <c r="Y93">
        <f>HYPERLINK("https://klasma.github.io/Logging_1290/kartor_geotiff/A 16783-2025 georefererad karta.tif", "A 16783-2025")</f>
        <v/>
      </c>
      <c r="AA93">
        <f>HYPERLINK("https://klasma.github.io/Logging_1290/klagomål/A 16783-2025 FSC-klagomål.docx", "A 16783-2025")</f>
        <v/>
      </c>
      <c r="AB93">
        <f>HYPERLINK("https://klasma.github.io/Logging_1290/klagomålsmail/A 16783-2025 FSC-klagomål mail.docx", "A 16783-2025")</f>
        <v/>
      </c>
      <c r="AC93">
        <f>HYPERLINK("https://klasma.github.io/Logging_1290/tillsyn/A 16783-2025 tillsynsbegäran.docx", "A 16783-2025")</f>
        <v/>
      </c>
      <c r="AD93">
        <f>HYPERLINK("https://klasma.github.io/Logging_1290/tillsynsmail/A 16783-2025 tillsynsbegäran mail.docx", "A 16783-2025")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46294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53189-2025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46294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HYPERLINK("https://klasma.github.io/Logging_1290/artfynd/A 53189-2025 artfynd.xlsx", "A 53189-2025")</f>
        <v/>
      </c>
      <c r="X95">
        <f>HYPERLINK("https://klasma.github.io/Logging_1290/kartor/A 53189-2025 karta.png", "A 53189-2025")</f>
        <v/>
      </c>
      <c r="Y95">
        <f>HYPERLINK("https://klasma.github.io/Logging_1290/kartor_geotiff/A 53189-2025 georefererad karta.tif", "A 53189-2025")</f>
        <v/>
      </c>
      <c r="AA95">
        <f>HYPERLINK("https://klasma.github.io/Logging_1290/klagomål/A 53189-2025 FSC-klagomål.docx", "A 53189-2025")</f>
        <v/>
      </c>
      <c r="AB95">
        <f>HYPERLINK("https://klasma.github.io/Logging_1290/klagomålsmail/A 53189-2025 FSC-klagomål mail.docx", "A 53189-2025")</f>
        <v/>
      </c>
      <c r="AC95">
        <f>HYPERLINK("https://klasma.github.io/Logging_1290/tillsyn/A 53189-2025 tillsynsbegäran.docx", "A 53189-2025")</f>
        <v/>
      </c>
      <c r="AD95">
        <f>HYPERLINK("https://klasma.github.io/Logging_1290/tillsynsmail/A 53189-2025 tillsynsbegäran mail.docx", "A 53189-2025")</f>
        <v/>
      </c>
    </row>
    <row r="96" ht="15" customHeight="1">
      <c r="A96" t="inlineStr">
        <is>
          <t>A 53182-2025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46294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Entita</t>
        </is>
      </c>
      <c r="W96">
        <f>HYPERLINK("https://klasma.github.io/Logging_1290/artfynd/A 53182-2025 artfynd.xlsx", "A 53182-2025")</f>
        <v/>
      </c>
      <c r="X96">
        <f>HYPERLINK("https://klasma.github.io/Logging_1290/kartor/A 53182-2025 karta.png", "A 53182-2025")</f>
        <v/>
      </c>
      <c r="Y96">
        <f>HYPERLINK("https://klasma.github.io/Logging_1290/kartor_geotiff/A 53182-2025 georefererad karta.tif", "A 53182-2025")</f>
        <v/>
      </c>
      <c r="AA96">
        <f>HYPERLINK("https://klasma.github.io/Logging_1290/klagomål/A 53182-2025 FSC-klagomål.docx", "A 53182-2025")</f>
        <v/>
      </c>
      <c r="AB96">
        <f>HYPERLINK("https://klasma.github.io/Logging_1290/klagomålsmail/A 53182-2025 FSC-klagomål mail.docx", "A 53182-2025")</f>
        <v/>
      </c>
      <c r="AC96">
        <f>HYPERLINK("https://klasma.github.io/Logging_1290/tillsyn/A 53182-2025 tillsynsbegäran.docx", "A 53182-2025")</f>
        <v/>
      </c>
      <c r="AD96">
        <f>HYPERLINK("https://klasma.github.io/Logging_1290/tillsynsmail/A 53182-2025 tillsynsbegäran mail.docx", "A 53182-2025")</f>
        <v/>
      </c>
      <c r="AE96">
        <f>HYPERLINK("https://klasma.github.io/Logging_1290/fåglar/A 53182-2025 prioriterade fågelarter.docx", "A 53182-2025")</f>
        <v/>
      </c>
    </row>
    <row r="97" ht="15" customHeight="1">
      <c r="A97" t="inlineStr">
        <is>
          <t>A 32101-2024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46294</v>
      </c>
      <c r="F97" t="inlineStr">
        <is>
          <t>SKÅNE LÄN</t>
        </is>
      </c>
      <c r="G97" t="inlineStr">
        <is>
          <t>KRISTIANSTAD</t>
        </is>
      </c>
      <c r="I97" t="n">
        <v>6.6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Skogsknipprot</t>
        </is>
      </c>
      <c r="W97">
        <f>HYPERLINK("https://klasma.github.io/Logging_1290/artfynd/A 32101-2024 artfynd.xlsx", "A 32101-2024")</f>
        <v/>
      </c>
      <c r="X97">
        <f>HYPERLINK("https://klasma.github.io/Logging_1290/kartor/A 32101-2024 karta.png", "A 32101-2024")</f>
        <v/>
      </c>
      <c r="Y97">
        <f>HYPERLINK("https://klasma.github.io/Logging_1290/kartor_geotiff/A 32101-2024 georefererad karta.tif", "A 32101-2024")</f>
        <v/>
      </c>
      <c r="AA97">
        <f>HYPERLINK("https://klasma.github.io/Logging_1290/klagomål/A 32101-2024 FSC-klagomål.docx", "A 32101-2024")</f>
        <v/>
      </c>
      <c r="AB97">
        <f>HYPERLINK("https://klasma.github.io/Logging_1290/klagomålsmail/A 32101-2024 FSC-klagomål mail.docx", "A 32101-2024")</f>
        <v/>
      </c>
      <c r="AC97">
        <f>HYPERLINK("https://klasma.github.io/Logging_1290/tillsyn/A 32101-2024 tillsynsbegäran.docx", "A 32101-2024")</f>
        <v/>
      </c>
      <c r="AD97">
        <f>HYPERLINK("https://klasma.github.io/Logging_1290/tillsynsmail/A 32101-2024 tillsynsbegäran mail.docx", "A 32101-2024")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46294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60006-2025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45993</v>
      </c>
      <c r="E99" s="1" t="n">
        <v>46294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4.8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Ekoxe</t>
        </is>
      </c>
      <c r="W99">
        <f>HYPERLINK("https://klasma.github.io/Logging_1290/artfynd/A 60006-2025 artfynd.xlsx", "A 60006-2025")</f>
        <v/>
      </c>
      <c r="X99">
        <f>HYPERLINK("https://klasma.github.io/Logging_1290/kartor/A 60006-2025 karta.png", "A 60006-2025")</f>
        <v/>
      </c>
      <c r="Y99">
        <f>HYPERLINK("https://klasma.github.io/Logging_1290/kartor_geotiff/A 60006-2025 georefererad karta.tif", "A 60006-2025")</f>
        <v/>
      </c>
      <c r="AA99">
        <f>HYPERLINK("https://klasma.github.io/Logging_1290/klagomål/A 60006-2025 FSC-klagomål.docx", "A 60006-2025")</f>
        <v/>
      </c>
      <c r="AB99">
        <f>HYPERLINK("https://klasma.github.io/Logging_1290/klagomålsmail/A 60006-2025 FSC-klagomål mail.docx", "A 60006-2025")</f>
        <v/>
      </c>
      <c r="AC99">
        <f>HYPERLINK("https://klasma.github.io/Logging_1290/tillsyn/A 60006-2025 tillsynsbegäran.docx", "A 60006-2025")</f>
        <v/>
      </c>
      <c r="AD99">
        <f>HYPERLINK("https://klasma.github.io/Logging_1290/tillsynsmail/A 60006-2025 tillsynsbegäran mail.docx", "A 60006-2025")</f>
        <v/>
      </c>
    </row>
    <row r="100" ht="15" customHeight="1">
      <c r="A100" t="inlineStr">
        <is>
          <t>A 28342-2024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45477</v>
      </c>
      <c r="E100" s="1" t="n">
        <v>46294</v>
      </c>
      <c r="F100" t="inlineStr">
        <is>
          <t>SKÅNE LÄN</t>
        </is>
      </c>
      <c r="G100" t="inlineStr">
        <is>
          <t>KRISTIANSTAD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Knölspindel</t>
        </is>
      </c>
      <c r="W100">
        <f>HYPERLINK("https://klasma.github.io/Logging_1290/artfynd/A 28342-2024 artfynd.xlsx", "A 28342-2024")</f>
        <v/>
      </c>
      <c r="X100">
        <f>HYPERLINK("https://klasma.github.io/Logging_1290/kartor/A 28342-2024 karta.png", "A 28342-2024")</f>
        <v/>
      </c>
      <c r="Y100">
        <f>HYPERLINK("https://klasma.github.io/Logging_1290/kartor_geotiff/A 28342-2024 georefererad karta.tif", "A 28342-2024")</f>
        <v/>
      </c>
      <c r="AA100">
        <f>HYPERLINK("https://klasma.github.io/Logging_1290/klagomål/A 28342-2024 FSC-klagomål.docx", "A 28342-2024")</f>
        <v/>
      </c>
      <c r="AB100">
        <f>HYPERLINK("https://klasma.github.io/Logging_1290/klagomålsmail/A 28342-2024 FSC-klagomål mail.docx", "A 28342-2024")</f>
        <v/>
      </c>
      <c r="AC100">
        <f>HYPERLINK("https://klasma.github.io/Logging_1290/tillsyn/A 28342-2024 tillsynsbegäran.docx", "A 28342-2024")</f>
        <v/>
      </c>
      <c r="AD100">
        <f>HYPERLINK("https://klasma.github.io/Logging_1290/tillsynsmail/A 28342-2024 tillsynsbegäran mail.docx", "A 28342-2024")</f>
        <v/>
      </c>
    </row>
    <row r="101" ht="15" customHeight="1">
      <c r="A101" t="inlineStr">
        <is>
          <t>A 50702-2025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46294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Guldlockmossa</t>
        </is>
      </c>
      <c r="W101">
        <f>HYPERLINK("https://klasma.github.io/Logging_1290/artfynd/A 50702-2025 artfynd.xlsx", "A 50702-2025")</f>
        <v/>
      </c>
      <c r="X101">
        <f>HYPERLINK("https://klasma.github.io/Logging_1290/kartor/A 50702-2025 karta.png", "A 50702-2025")</f>
        <v/>
      </c>
      <c r="Y101">
        <f>HYPERLINK("https://klasma.github.io/Logging_1290/kartor_geotiff/A 50702-2025 georefererad karta.tif", "A 50702-2025")</f>
        <v/>
      </c>
      <c r="AA101">
        <f>HYPERLINK("https://klasma.github.io/Logging_1290/klagomål/A 50702-2025 FSC-klagomål.docx", "A 50702-2025")</f>
        <v/>
      </c>
      <c r="AB101">
        <f>HYPERLINK("https://klasma.github.io/Logging_1290/klagomålsmail/A 50702-2025 FSC-klagomål mail.docx", "A 50702-2025")</f>
        <v/>
      </c>
      <c r="AC101">
        <f>HYPERLINK("https://klasma.github.io/Logging_1290/tillsyn/A 50702-2025 tillsynsbegäran.docx", "A 50702-2025")</f>
        <v/>
      </c>
      <c r="AD101">
        <f>HYPERLINK("https://klasma.github.io/Logging_1290/tillsynsmail/A 50702-2025 tillsynsbegäran mail.docx", "A 50702-2025")</f>
        <v/>
      </c>
    </row>
    <row r="102" ht="15" customHeight="1">
      <c r="A102" t="inlineStr">
        <is>
          <t>A 34096-2025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46294</v>
      </c>
      <c r="F102" t="inlineStr">
        <is>
          <t>SKÅNE LÄN</t>
        </is>
      </c>
      <c r="G102" t="inlineStr">
        <is>
          <t>KRISTIANSTAD</t>
        </is>
      </c>
      <c r="I102" t="n">
        <v>6.5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Dunmossa</t>
        </is>
      </c>
      <c r="W102">
        <f>HYPERLINK("https://klasma.github.io/Logging_1290/artfynd/A 34096-2025 artfynd.xlsx", "A 34096-2025")</f>
        <v/>
      </c>
      <c r="X102">
        <f>HYPERLINK("https://klasma.github.io/Logging_1290/kartor/A 34096-2025 karta.png", "A 34096-2025")</f>
        <v/>
      </c>
      <c r="Y102">
        <f>HYPERLINK("https://klasma.github.io/Logging_1290/kartor_geotiff/A 34096-2025 georefererad karta.tif", "A 34096-2025")</f>
        <v/>
      </c>
      <c r="AA102">
        <f>HYPERLINK("https://klasma.github.io/Logging_1290/klagomål/A 34096-2025 FSC-klagomål.docx", "A 34096-2025")</f>
        <v/>
      </c>
      <c r="AB102">
        <f>HYPERLINK("https://klasma.github.io/Logging_1290/klagomålsmail/A 34096-2025 FSC-klagomål mail.docx", "A 34096-2025")</f>
        <v/>
      </c>
      <c r="AC102">
        <f>HYPERLINK("https://klasma.github.io/Logging_1290/tillsyn/A 34096-2025 tillsynsbegäran.docx", "A 34096-2025")</f>
        <v/>
      </c>
      <c r="AD102">
        <f>HYPERLINK("https://klasma.github.io/Logging_1290/tillsynsmail/A 34096-2025 tillsynsbegäran mail.docx", "A 34096-2025")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46294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44582-2022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46294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Orangepudrad klotterlav</t>
        </is>
      </c>
      <c r="W104">
        <f>HYPERLINK("https://klasma.github.io/Logging_1290/artfynd/A 44582-2022 artfynd.xlsx", "A 44582-2022")</f>
        <v/>
      </c>
      <c r="X104">
        <f>HYPERLINK("https://klasma.github.io/Logging_1290/kartor/A 44582-2022 karta.png", "A 44582-2022")</f>
        <v/>
      </c>
      <c r="Y104">
        <f>HYPERLINK("https://klasma.github.io/Logging_1290/kartor_geotiff/A 44582-2022 georefererad karta.tif", "A 44582-2022")</f>
        <v/>
      </c>
      <c r="AA104">
        <f>HYPERLINK("https://klasma.github.io/Logging_1290/klagomål/A 44582-2022 FSC-klagomål.docx", "A 44582-2022")</f>
        <v/>
      </c>
      <c r="AB104">
        <f>HYPERLINK("https://klasma.github.io/Logging_1290/klagomålsmail/A 44582-2022 FSC-klagomål mail.docx", "A 44582-2022")</f>
        <v/>
      </c>
      <c r="AC104">
        <f>HYPERLINK("https://klasma.github.io/Logging_1290/tillsyn/A 44582-2022 tillsynsbegäran.docx", "A 44582-2022")</f>
        <v/>
      </c>
      <c r="AD104">
        <f>HYPERLINK("https://klasma.github.io/Logging_1290/tillsynsmail/A 44582-2022 tillsynsbegäran mail.docx", "A 44582-2022")</f>
        <v/>
      </c>
    </row>
    <row r="105" ht="15" customHeight="1">
      <c r="A105" t="inlineStr">
        <is>
          <t>A 52014-2024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46294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Luddfingerört</t>
        </is>
      </c>
      <c r="W105">
        <f>HYPERLINK("https://klasma.github.io/Logging_1290/artfynd/A 52014-2024 artfynd.xlsx", "A 52014-2024")</f>
        <v/>
      </c>
      <c r="X105">
        <f>HYPERLINK("https://klasma.github.io/Logging_1290/kartor/A 52014-2024 karta.png", "A 52014-2024")</f>
        <v/>
      </c>
      <c r="Y105">
        <f>HYPERLINK("https://klasma.github.io/Logging_1290/kartor_geotiff/A 52014-2024 georefererad karta.tif", "A 52014-2024")</f>
        <v/>
      </c>
      <c r="AA105">
        <f>HYPERLINK("https://klasma.github.io/Logging_1290/klagomål/A 52014-2024 FSC-klagomål.docx", "A 52014-2024")</f>
        <v/>
      </c>
      <c r="AB105">
        <f>HYPERLINK("https://klasma.github.io/Logging_1290/klagomålsmail/A 52014-2024 FSC-klagomål mail.docx", "A 52014-2024")</f>
        <v/>
      </c>
      <c r="AC105">
        <f>HYPERLINK("https://klasma.github.io/Logging_1290/tillsyn/A 52014-2024 tillsynsbegäran.docx", "A 52014-2024")</f>
        <v/>
      </c>
      <c r="AD105">
        <f>HYPERLINK("https://klasma.github.io/Logging_1290/tillsynsmail/A 52014-2024 tillsynsbegäran mail.docx", "A 52014-2024")</f>
        <v/>
      </c>
    </row>
    <row r="106" ht="15" customHeight="1">
      <c r="A106" t="inlineStr">
        <is>
          <t>A 16079-2026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46294</v>
      </c>
      <c r="F106" t="inlineStr">
        <is>
          <t>SKÅNE LÄN</t>
        </is>
      </c>
      <c r="G106" t="inlineStr">
        <is>
          <t>KRISTIANSTAD</t>
        </is>
      </c>
      <c r="I106" t="n">
        <v>13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2</v>
      </c>
      <c r="V106" s="2" t="inlineStr">
        <is>
          <t>Småvänderot</t>
        </is>
      </c>
      <c r="W106">
        <f>HYPERLINK("https://klasma.github.io/Logging_1290/artfynd/A 16079-2026 artfynd.xlsx", "A 16079-2026")</f>
        <v/>
      </c>
      <c r="X106">
        <f>HYPERLINK("https://klasma.github.io/Logging_1290/kartor/A 16079-2026 karta.png", "A 16079-2026")</f>
        <v/>
      </c>
      <c r="Y106">
        <f>HYPERLINK("https://klasma.github.io/Logging_1290/kartor_geotiff/A 16079-2026 georefererad karta.tif", "A 16079-2026")</f>
        <v/>
      </c>
      <c r="AA106">
        <f>HYPERLINK("https://klasma.github.io/Logging_1290/klagomål/A 16079-2026 FSC-klagomål.docx", "A 16079-2026")</f>
        <v/>
      </c>
      <c r="AB106">
        <f>HYPERLINK("https://klasma.github.io/Logging_1290/klagomålsmail/A 16079-2026 FSC-klagomål mail.docx", "A 16079-2026")</f>
        <v/>
      </c>
      <c r="AC106">
        <f>HYPERLINK("https://klasma.github.io/Logging_1290/tillsyn/A 16079-2026 tillsynsbegäran.docx", "A 16079-2026")</f>
        <v/>
      </c>
      <c r="AD106">
        <f>HYPERLINK("https://klasma.github.io/Logging_1290/tillsynsmail/A 16079-2026 tillsynsbegäran mail.docx", "A 16079-2026")</f>
        <v/>
      </c>
    </row>
    <row r="107" ht="15" customHeight="1">
      <c r="A107" t="inlineStr">
        <is>
          <t>A 15706-2025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46294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HYPERLINK("https://klasma.github.io/Logging_1290/artfynd/A 15706-2025 artfynd.xlsx", "A 15706-2025")</f>
        <v/>
      </c>
      <c r="X107">
        <f>HYPERLINK("https://klasma.github.io/Logging_1290/kartor/A 15706-2025 karta.png", "A 15706-2025")</f>
        <v/>
      </c>
      <c r="Y107">
        <f>HYPERLINK("https://klasma.github.io/Logging_1290/kartor_geotiff/A 15706-2025 georefererad karta.tif", "A 15706-2025")</f>
        <v/>
      </c>
      <c r="AA107">
        <f>HYPERLINK("https://klasma.github.io/Logging_1290/klagomål/A 15706-2025 FSC-klagomål.docx", "A 15706-2025")</f>
        <v/>
      </c>
      <c r="AB107">
        <f>HYPERLINK("https://klasma.github.io/Logging_1290/klagomålsmail/A 15706-2025 FSC-klagomål mail.docx", "A 15706-2025")</f>
        <v/>
      </c>
      <c r="AC107">
        <f>HYPERLINK("https://klasma.github.io/Logging_1290/tillsyn/A 15706-2025 tillsynsbegäran.docx", "A 15706-2025")</f>
        <v/>
      </c>
      <c r="AD107">
        <f>HYPERLINK("https://klasma.github.io/Logging_1290/tillsynsmail/A 15706-2025 tillsynsbegäran mail.docx", "A 15706-2025")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46294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46294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46294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46294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19704-2026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46294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Desmeknopp</t>
        </is>
      </c>
      <c r="W112">
        <f>HYPERLINK("https://klasma.github.io/Logging_1290/artfynd/A 19704-2026 artfynd.xlsx", "A 19704-2026")</f>
        <v/>
      </c>
      <c r="X112">
        <f>HYPERLINK("https://klasma.github.io/Logging_1290/kartor/A 19704-2026 karta.png", "A 19704-2026")</f>
        <v/>
      </c>
      <c r="Y112">
        <f>HYPERLINK("https://klasma.github.io/Logging_1290/kartor_geotiff/A 19704-2026 georefererad karta.tif", "A 19704-2026")</f>
        <v/>
      </c>
      <c r="AA112">
        <f>HYPERLINK("https://klasma.github.io/Logging_1290/klagomål/A 19704-2026 FSC-klagomål.docx", "A 19704-2026")</f>
        <v/>
      </c>
      <c r="AB112">
        <f>HYPERLINK("https://klasma.github.io/Logging_1290/klagomålsmail/A 19704-2026 FSC-klagomål mail.docx", "A 19704-2026")</f>
        <v/>
      </c>
      <c r="AC112">
        <f>HYPERLINK("https://klasma.github.io/Logging_1290/tillsyn/A 19704-2026 tillsynsbegäran.docx", "A 19704-2026")</f>
        <v/>
      </c>
      <c r="AD112">
        <f>HYPERLINK("https://klasma.github.io/Logging_1290/tillsynsmail/A 19704-2026 tillsynsbegäran mail.docx", "A 19704-2026")</f>
        <v/>
      </c>
    </row>
    <row r="113" ht="15" customHeight="1">
      <c r="A113" t="inlineStr">
        <is>
          <t>A 14232-2023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46294</v>
      </c>
      <c r="F113" t="inlineStr">
        <is>
          <t>SKÅNE LÄN</t>
        </is>
      </c>
      <c r="G113" t="inlineStr">
        <is>
          <t>KRISTIANSTAD</t>
        </is>
      </c>
      <c r="I113" t="n">
        <v>7.1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Gullviva</t>
        </is>
      </c>
      <c r="W113">
        <f>HYPERLINK("https://klasma.github.io/Logging_1290/artfynd/A 14232-2023 artfynd.xlsx", "A 14232-2023")</f>
        <v/>
      </c>
      <c r="X113">
        <f>HYPERLINK("https://klasma.github.io/Logging_1290/kartor/A 14232-2023 karta.png", "A 14232-2023")</f>
        <v/>
      </c>
      <c r="Y113">
        <f>HYPERLINK("https://klasma.github.io/Logging_1290/kartor_geotiff/A 14232-2023 georefererad karta.tif", "A 14232-2023")</f>
        <v/>
      </c>
      <c r="AA113">
        <f>HYPERLINK("https://klasma.github.io/Logging_1290/klagomål/A 14232-2023 FSC-klagomål.docx", "A 14232-2023")</f>
        <v/>
      </c>
      <c r="AB113">
        <f>HYPERLINK("https://klasma.github.io/Logging_1290/klagomålsmail/A 14232-2023 FSC-klagomål mail.docx", "A 14232-2023")</f>
        <v/>
      </c>
      <c r="AC113">
        <f>HYPERLINK("https://klasma.github.io/Logging_1290/tillsyn/A 14232-2023 tillsynsbegäran.docx", "A 14232-2023")</f>
        <v/>
      </c>
      <c r="AD113">
        <f>HYPERLINK("https://klasma.github.io/Logging_1290/tillsynsmail/A 14232-2023 tillsynsbegäran mail.docx", "A 14232-2023")</f>
        <v/>
      </c>
    </row>
    <row r="114" ht="15" customHeight="1">
      <c r="A114" t="inlineStr">
        <is>
          <t>A 8290-2024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45352</v>
      </c>
      <c r="E114" s="1" t="n">
        <v>46294</v>
      </c>
      <c r="F114" t="inlineStr">
        <is>
          <t>SKÅNE LÄN</t>
        </is>
      </c>
      <c r="G114" t="inlineStr">
        <is>
          <t>KRISTIANSTAD</t>
        </is>
      </c>
      <c r="I114" t="n">
        <v>0.7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Lömsk flugsvamp</t>
        </is>
      </c>
      <c r="W114">
        <f>HYPERLINK("https://klasma.github.io/Logging_1290/artfynd/A 8290-2024 artfynd.xlsx", "A 8290-2024")</f>
        <v/>
      </c>
      <c r="X114">
        <f>HYPERLINK("https://klasma.github.io/Logging_1290/kartor/A 8290-2024 karta.png", "A 8290-2024")</f>
        <v/>
      </c>
      <c r="Y114">
        <f>HYPERLINK("https://klasma.github.io/Logging_1290/kartor_geotiff/A 8290-2024 georefererad karta.tif", "A 8290-2024")</f>
        <v/>
      </c>
      <c r="AA114">
        <f>HYPERLINK("https://klasma.github.io/Logging_1290/klagomål/A 8290-2024 FSC-klagomål.docx", "A 8290-2024")</f>
        <v/>
      </c>
      <c r="AB114">
        <f>HYPERLINK("https://klasma.github.io/Logging_1290/klagomålsmail/A 8290-2024 FSC-klagomål mail.docx", "A 8290-2024")</f>
        <v/>
      </c>
      <c r="AC114">
        <f>HYPERLINK("https://klasma.github.io/Logging_1290/tillsyn/A 8290-2024 tillsynsbegäran.docx", "A 8290-2024")</f>
        <v/>
      </c>
      <c r="AD114">
        <f>HYPERLINK("https://klasma.github.io/Logging_1290/tillsynsmail/A 8290-2024 tillsynsbegäran mail.docx", "A 8290-2024")</f>
        <v/>
      </c>
    </row>
    <row r="115" ht="15" customHeight="1">
      <c r="A115" t="inlineStr">
        <is>
          <t>A 33362-2023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45128</v>
      </c>
      <c r="E115" s="1" t="n">
        <v>46294</v>
      </c>
      <c r="F115" t="inlineStr">
        <is>
          <t>SKÅNE LÄN</t>
        </is>
      </c>
      <c r="G115" t="inlineStr">
        <is>
          <t>KRISTIANSTAD</t>
        </is>
      </c>
      <c r="I115" t="n">
        <v>4.9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HYPERLINK("https://klasma.github.io/Logging_1290/artfynd/A 33362-2023 artfynd.xlsx", "A 33362-2023")</f>
        <v/>
      </c>
      <c r="X115">
        <f>HYPERLINK("https://klasma.github.io/Logging_1290/kartor/A 33362-2023 karta.png", "A 33362-2023")</f>
        <v/>
      </c>
      <c r="Y115">
        <f>HYPERLINK("https://klasma.github.io/Logging_1290/kartor_geotiff/A 33362-2023 georefererad karta.tif", "A 33362-2023")</f>
        <v/>
      </c>
      <c r="AA115">
        <f>HYPERLINK("https://klasma.github.io/Logging_1290/klagomål/A 33362-2023 FSC-klagomål.docx", "A 33362-2023")</f>
        <v/>
      </c>
      <c r="AB115">
        <f>HYPERLINK("https://klasma.github.io/Logging_1290/klagomålsmail/A 33362-2023 FSC-klagomål mail.docx", "A 33362-2023")</f>
        <v/>
      </c>
      <c r="AC115">
        <f>HYPERLINK("https://klasma.github.io/Logging_1290/tillsyn/A 33362-2023 tillsynsbegäran.docx", "A 33362-2023")</f>
        <v/>
      </c>
      <c r="AD115">
        <f>HYPERLINK("https://klasma.github.io/Logging_1290/tillsynsmail/A 33362-2023 tillsynsbegäran mail.docx", "A 33362-2023")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46294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46294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46294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50699-2025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46294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Guldlockmossa</t>
        </is>
      </c>
      <c r="W119">
        <f>HYPERLINK("https://klasma.github.io/Logging_1290/artfynd/A 50699-2025 artfynd.xlsx", "A 50699-2025")</f>
        <v/>
      </c>
      <c r="X119">
        <f>HYPERLINK("https://klasma.github.io/Logging_1290/kartor/A 50699-2025 karta.png", "A 50699-2025")</f>
        <v/>
      </c>
      <c r="Y119">
        <f>HYPERLINK("https://klasma.github.io/Logging_1290/kartor_geotiff/A 50699-2025 georefererad karta.tif", "A 50699-2025")</f>
        <v/>
      </c>
      <c r="AA119">
        <f>HYPERLINK("https://klasma.github.io/Logging_1290/klagomål/A 50699-2025 FSC-klagomål.docx", "A 50699-2025")</f>
        <v/>
      </c>
      <c r="AB119">
        <f>HYPERLINK("https://klasma.github.io/Logging_1290/klagomålsmail/A 50699-2025 FSC-klagomål mail.docx", "A 50699-2025")</f>
        <v/>
      </c>
      <c r="AC119">
        <f>HYPERLINK("https://klasma.github.io/Logging_1290/tillsyn/A 50699-2025 tillsynsbegäran.docx", "A 50699-2025")</f>
        <v/>
      </c>
      <c r="AD119">
        <f>HYPERLINK("https://klasma.github.io/Logging_1290/tillsynsmail/A 50699-2025 tillsynsbegäran mail.docx", "A 50699-2025")</f>
        <v/>
      </c>
    </row>
    <row r="120" ht="15" customHeight="1">
      <c r="A120" t="inlineStr">
        <is>
          <t>A 21835-2026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46294</v>
      </c>
      <c r="F120" t="inlineStr">
        <is>
          <t>SKÅNE LÄN</t>
        </is>
      </c>
      <c r="G120" t="inlineStr">
        <is>
          <t>KRISTIANSTAD</t>
        </is>
      </c>
      <c r="I120" t="n">
        <v>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Skogsbräsma</t>
        </is>
      </c>
      <c r="W120">
        <f>HYPERLINK("https://klasma.github.io/Logging_1290/artfynd/A 21835-2026 artfynd.xlsx", "A 21835-2026")</f>
        <v/>
      </c>
      <c r="X120">
        <f>HYPERLINK("https://klasma.github.io/Logging_1290/kartor/A 21835-2026 karta.png", "A 21835-2026")</f>
        <v/>
      </c>
      <c r="Y120">
        <f>HYPERLINK("https://klasma.github.io/Logging_1290/kartor_geotiff/A 21835-2026 georefererad karta.tif", "A 21835-2026")</f>
        <v/>
      </c>
      <c r="AA120">
        <f>HYPERLINK("https://klasma.github.io/Logging_1290/klagomål/A 21835-2026 FSC-klagomål.docx", "A 21835-2026")</f>
        <v/>
      </c>
      <c r="AB120">
        <f>HYPERLINK("https://klasma.github.io/Logging_1290/klagomålsmail/A 21835-2026 FSC-klagomål mail.docx", "A 21835-2026")</f>
        <v/>
      </c>
      <c r="AC120">
        <f>HYPERLINK("https://klasma.github.io/Logging_1290/tillsyn/A 21835-2026 tillsynsbegäran.docx", "A 21835-2026")</f>
        <v/>
      </c>
      <c r="AD120">
        <f>HYPERLINK("https://klasma.github.io/Logging_1290/tillsynsmail/A 21835-2026 tillsynsbegäran mail.docx", "A 21835-2026")</f>
        <v/>
      </c>
    </row>
    <row r="121" ht="15" customHeight="1">
      <c r="A121" t="inlineStr">
        <is>
          <t>A 30857-2023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46294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Sommarfibbla</t>
        </is>
      </c>
      <c r="W121">
        <f>HYPERLINK("https://klasma.github.io/Logging_1290/artfynd/A 30857-2023 artfynd.xlsx", "A 30857-2023")</f>
        <v/>
      </c>
      <c r="X121">
        <f>HYPERLINK("https://klasma.github.io/Logging_1290/kartor/A 30857-2023 karta.png", "A 30857-2023")</f>
        <v/>
      </c>
      <c r="Y121">
        <f>HYPERLINK("https://klasma.github.io/Logging_1290/kartor_geotiff/A 30857-2023 georefererad karta.tif", "A 30857-2023")</f>
        <v/>
      </c>
      <c r="AA121">
        <f>HYPERLINK("https://klasma.github.io/Logging_1290/klagomål/A 30857-2023 FSC-klagomål.docx", "A 30857-2023")</f>
        <v/>
      </c>
      <c r="AB121">
        <f>HYPERLINK("https://klasma.github.io/Logging_1290/klagomålsmail/A 30857-2023 FSC-klagomål mail.docx", "A 30857-2023")</f>
        <v/>
      </c>
      <c r="AC121">
        <f>HYPERLINK("https://klasma.github.io/Logging_1290/tillsyn/A 30857-2023 tillsynsbegäran.docx", "A 30857-2023")</f>
        <v/>
      </c>
      <c r="AD121">
        <f>HYPERLINK("https://klasma.github.io/Logging_1290/tillsynsmail/A 30857-2023 tillsynsbegäran mail.docx", "A 30857-2023")</f>
        <v/>
      </c>
    </row>
    <row r="122" ht="15" customHeight="1">
      <c r="A122" t="inlineStr">
        <is>
          <t>A 38440-2024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46294</v>
      </c>
      <c r="F122" t="inlineStr">
        <is>
          <t>SKÅNE LÄN</t>
        </is>
      </c>
      <c r="G122" t="inlineStr">
        <is>
          <t>KRISTIANSTAD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HYPERLINK("https://klasma.github.io/Logging_1290/artfynd/A 38440-2024 artfynd.xlsx", "A 38440-2024")</f>
        <v/>
      </c>
      <c r="X122">
        <f>HYPERLINK("https://klasma.github.io/Logging_1290/kartor/A 38440-2024 karta.png", "A 38440-2024")</f>
        <v/>
      </c>
      <c r="Y122">
        <f>HYPERLINK("https://klasma.github.io/Logging_1290/kartor_geotiff/A 38440-2024 georefererad karta.tif", "A 38440-2024")</f>
        <v/>
      </c>
      <c r="AA122">
        <f>HYPERLINK("https://klasma.github.io/Logging_1290/klagomål/A 38440-2024 FSC-klagomål.docx", "A 38440-2024")</f>
        <v/>
      </c>
      <c r="AB122">
        <f>HYPERLINK("https://klasma.github.io/Logging_1290/klagomålsmail/A 38440-2024 FSC-klagomål mail.docx", "A 38440-2024")</f>
        <v/>
      </c>
      <c r="AC122">
        <f>HYPERLINK("https://klasma.github.io/Logging_1290/tillsyn/A 38440-2024 tillsynsbegäran.docx", "A 38440-2024")</f>
        <v/>
      </c>
      <c r="AD122">
        <f>HYPERLINK("https://klasma.github.io/Logging_1290/tillsynsmail/A 38440-2024 tillsynsbegäran mail.docx", "A 38440-2024")</f>
        <v/>
      </c>
    </row>
    <row r="123" ht="15" customHeight="1">
      <c r="A123" t="inlineStr">
        <is>
          <t>A 52012-2024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46294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Luddfingerört</t>
        </is>
      </c>
      <c r="W123">
        <f>HYPERLINK("https://klasma.github.io/Logging_1290/artfynd/A 52012-2024 artfynd.xlsx", "A 52012-2024")</f>
        <v/>
      </c>
      <c r="X123">
        <f>HYPERLINK("https://klasma.github.io/Logging_1290/kartor/A 52012-2024 karta.png", "A 52012-2024")</f>
        <v/>
      </c>
      <c r="Y123">
        <f>HYPERLINK("https://klasma.github.io/Logging_1290/kartor_geotiff/A 52012-2024 georefererad karta.tif", "A 52012-2024")</f>
        <v/>
      </c>
      <c r="AA123">
        <f>HYPERLINK("https://klasma.github.io/Logging_1290/klagomål/A 52012-2024 FSC-klagomål.docx", "A 52012-2024")</f>
        <v/>
      </c>
      <c r="AB123">
        <f>HYPERLINK("https://klasma.github.io/Logging_1290/klagomålsmail/A 52012-2024 FSC-klagomål mail.docx", "A 52012-2024")</f>
        <v/>
      </c>
      <c r="AC123">
        <f>HYPERLINK("https://klasma.github.io/Logging_1290/tillsyn/A 52012-2024 tillsynsbegäran.docx", "A 52012-2024")</f>
        <v/>
      </c>
      <c r="AD123">
        <f>HYPERLINK("https://klasma.github.io/Logging_1290/tillsynsmail/A 52012-2024 tillsynsbegäran mail.docx", "A 52012-2024")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46294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46294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26243-2024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46294</v>
      </c>
      <c r="F126" t="inlineStr">
        <is>
          <t>SKÅNE LÄN</t>
        </is>
      </c>
      <c r="G126" t="inlineStr">
        <is>
          <t>KRISTIANSTAD</t>
        </is>
      </c>
      <c r="I126" t="n">
        <v>7.8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HYPERLINK("https://klasma.github.io/Logging_1290/artfynd/A 26243-2024 artfynd.xlsx", "A 26243-2024")</f>
        <v/>
      </c>
      <c r="X126">
        <f>HYPERLINK("https://klasma.github.io/Logging_1290/kartor/A 26243-2024 karta.png", "A 26243-2024")</f>
        <v/>
      </c>
      <c r="Y126">
        <f>HYPERLINK("https://klasma.github.io/Logging_1290/kartor_geotiff/A 26243-2024 georefererad karta.tif", "A 26243-2024")</f>
        <v/>
      </c>
      <c r="AA126">
        <f>HYPERLINK("https://klasma.github.io/Logging_1290/klagomål/A 26243-2024 FSC-klagomål.docx", "A 26243-2024")</f>
        <v/>
      </c>
      <c r="AB126">
        <f>HYPERLINK("https://klasma.github.io/Logging_1290/klagomålsmail/A 26243-2024 FSC-klagomål mail.docx", "A 26243-2024")</f>
        <v/>
      </c>
      <c r="AC126">
        <f>HYPERLINK("https://klasma.github.io/Logging_1290/tillsyn/A 26243-2024 tillsynsbegäran.docx", "A 26243-2024")</f>
        <v/>
      </c>
      <c r="AD126">
        <f>HYPERLINK("https://klasma.github.io/Logging_1290/tillsynsmail/A 26243-2024 tillsynsbegäran mail.docx", "A 26243-2024")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46294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27606-2026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46294</v>
      </c>
      <c r="F128" t="inlineStr">
        <is>
          <t>SKÅNE LÄN</t>
        </is>
      </c>
      <c r="G128" t="inlineStr">
        <is>
          <t>KRISTIANSTAD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Flodpärlmussla</t>
        </is>
      </c>
      <c r="W128">
        <f>HYPERLINK("https://klasma.github.io/Logging_1290/artfynd/A 27606-2026 artfynd.xlsx", "A 27606-2026")</f>
        <v/>
      </c>
      <c r="X128">
        <f>HYPERLINK("https://klasma.github.io/Logging_1290/kartor/A 27606-2026 karta.png", "A 27606-2026")</f>
        <v/>
      </c>
      <c r="Y128">
        <f>HYPERLINK("https://klasma.github.io/Logging_1290/kartor_geotiff/A 27606-2026 georefererad karta.tif", "A 27606-2026")</f>
        <v/>
      </c>
      <c r="AA128">
        <f>HYPERLINK("https://klasma.github.io/Logging_1290/klagomål/A 27606-2026 FSC-klagomål.docx", "A 27606-2026")</f>
        <v/>
      </c>
      <c r="AB128">
        <f>HYPERLINK("https://klasma.github.io/Logging_1290/klagomålsmail/A 27606-2026 FSC-klagomål mail.docx", "A 27606-2026")</f>
        <v/>
      </c>
      <c r="AC128">
        <f>HYPERLINK("https://klasma.github.io/Logging_1290/tillsyn/A 27606-2026 tillsynsbegäran.docx", "A 27606-2026")</f>
        <v/>
      </c>
      <c r="AD128">
        <f>HYPERLINK("https://klasma.github.io/Logging_1290/tillsynsmail/A 27606-2026 tillsynsbegäran mail.docx", "A 27606-2026")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46294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46294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34113-2026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46253</v>
      </c>
      <c r="E131" s="1" t="n">
        <v>46294</v>
      </c>
      <c r="F131" t="inlineStr">
        <is>
          <t>SKÅNE LÄN</t>
        </is>
      </c>
      <c r="G131" t="inlineStr">
        <is>
          <t>KRISTIANSTAD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Småvänderot</t>
        </is>
      </c>
      <c r="W131">
        <f>HYPERLINK("https://klasma.github.io/Logging_1290/artfynd/A 34113-2026 artfynd.xlsx", "A 34113-2026")</f>
        <v/>
      </c>
      <c r="X131">
        <f>HYPERLINK("https://klasma.github.io/Logging_1290/kartor/A 34113-2026 karta.png", "A 34113-2026")</f>
        <v/>
      </c>
      <c r="Y131">
        <f>HYPERLINK("https://klasma.github.io/Logging_1290/kartor_geotiff/A 34113-2026 georefererad karta.tif", "A 34113-2026")</f>
        <v/>
      </c>
      <c r="AA131">
        <f>HYPERLINK("https://klasma.github.io/Logging_1290/klagomål/A 34113-2026 FSC-klagomål.docx", "A 34113-2026")</f>
        <v/>
      </c>
      <c r="AB131">
        <f>HYPERLINK("https://klasma.github.io/Logging_1290/klagomålsmail/A 34113-2026 FSC-klagomål mail.docx", "A 34113-2026")</f>
        <v/>
      </c>
      <c r="AC131">
        <f>HYPERLINK("https://klasma.github.io/Logging_1290/tillsyn/A 34113-2026 tillsynsbegäran.docx", "A 34113-2026")</f>
        <v/>
      </c>
      <c r="AD131">
        <f>HYPERLINK("https://klasma.github.io/Logging_1290/tillsynsmail/A 34113-2026 tillsynsbegäran mail.docx", "A 34113-2026")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46294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46294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46294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46294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46294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39238-2026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46287</v>
      </c>
      <c r="E137" s="1" t="n">
        <v>46294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4.5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Grönvit nattviol</t>
        </is>
      </c>
      <c r="W137">
        <f>HYPERLINK("https://klasma.github.io/Logging_1290/artfynd/A 39238-2026 artfynd.xlsx", "A 39238-2026")</f>
        <v/>
      </c>
      <c r="X137">
        <f>HYPERLINK("https://klasma.github.io/Logging_1290/kartor/A 39238-2026 karta.png", "A 39238-2026")</f>
        <v/>
      </c>
      <c r="Y137">
        <f>HYPERLINK("https://klasma.github.io/Logging_1290/kartor_geotiff/A 39238-2026 georefererad karta.tif", "A 39238-2026")</f>
        <v/>
      </c>
      <c r="AA137">
        <f>HYPERLINK("https://klasma.github.io/Logging_1290/klagomål/A 39238-2026 FSC-klagomål.docx", "A 39238-2026")</f>
        <v/>
      </c>
      <c r="AB137">
        <f>HYPERLINK("https://klasma.github.io/Logging_1290/klagomålsmail/A 39238-2026 FSC-klagomål mail.docx", "A 39238-2026")</f>
        <v/>
      </c>
      <c r="AC137">
        <f>HYPERLINK("https://klasma.github.io/Logging_1290/tillsyn/A 39238-2026 tillsynsbegäran.docx", "A 39238-2026")</f>
        <v/>
      </c>
      <c r="AD137">
        <f>HYPERLINK("https://klasma.github.io/Logging_1290/tillsynsmail/A 39238-2026 tillsynsbegäran mail.docx", "A 39238-2026")</f>
        <v/>
      </c>
    </row>
    <row r="138" ht="15" customHeight="1">
      <c r="A138" t="inlineStr">
        <is>
          <t>A 37725-2026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46279</v>
      </c>
      <c r="E138" s="1" t="n">
        <v>46294</v>
      </c>
      <c r="F138" t="inlineStr">
        <is>
          <t>SKÅNE LÄN</t>
        </is>
      </c>
      <c r="G138" t="inlineStr">
        <is>
          <t>KRISTIANSTAD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Mindre flugsnappare</t>
        </is>
      </c>
      <c r="W138">
        <f>HYPERLINK("https://klasma.github.io/Logging_1290/artfynd/A 37725-2026 artfynd.xlsx", "A 37725-2026")</f>
        <v/>
      </c>
      <c r="X138">
        <f>HYPERLINK("https://klasma.github.io/Logging_1290/kartor/A 37725-2026 karta.png", "A 37725-2026")</f>
        <v/>
      </c>
      <c r="Y138">
        <f>HYPERLINK("https://klasma.github.io/Logging_1290/kartor_geotiff/A 37725-2026 georefererad karta.tif", "A 37725-2026")</f>
        <v/>
      </c>
      <c r="AA138">
        <f>HYPERLINK("https://klasma.github.io/Logging_1290/klagomål/A 37725-2026 FSC-klagomål.docx", "A 37725-2026")</f>
        <v/>
      </c>
      <c r="AB138">
        <f>HYPERLINK("https://klasma.github.io/Logging_1290/klagomålsmail/A 37725-2026 FSC-klagomål mail.docx", "A 37725-2026")</f>
        <v/>
      </c>
      <c r="AC138">
        <f>HYPERLINK("https://klasma.github.io/Logging_1290/tillsyn/A 37725-2026 tillsynsbegäran.docx", "A 37725-2026")</f>
        <v/>
      </c>
      <c r="AD138">
        <f>HYPERLINK("https://klasma.github.io/Logging_1290/tillsynsmail/A 37725-2026 tillsynsbegäran mail.docx", "A 37725-2026")</f>
        <v/>
      </c>
      <c r="AE138">
        <f>HYPERLINK("https://klasma.github.io/Logging_1290/fåglar/A 37725-2026 prioriterade fågelarter.docx", "A 37725-2026")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46294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46294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46294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46294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46294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46294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46294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46294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46294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53258-2021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46294</v>
      </c>
      <c r="F148" t="inlineStr">
        <is>
          <t>SKÅNE LÄN</t>
        </is>
      </c>
      <c r="G148" t="inlineStr">
        <is>
          <t>KRISTIANSTAD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44838</v>
      </c>
      <c r="E149" s="1" t="n">
        <v>46294</v>
      </c>
      <c r="F149" t="inlineStr">
        <is>
          <t>SKÅNE LÄN</t>
        </is>
      </c>
      <c r="G149" t="inlineStr">
        <is>
          <t>KRISTIANSTAD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46294</v>
      </c>
      <c r="F150" t="inlineStr">
        <is>
          <t>SKÅNE LÄN</t>
        </is>
      </c>
      <c r="G150" t="inlineStr">
        <is>
          <t>KRISTIANSTAD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70357-2021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44536</v>
      </c>
      <c r="E151" s="1" t="n">
        <v>46294</v>
      </c>
      <c r="F151" t="inlineStr">
        <is>
          <t>SKÅNE LÄN</t>
        </is>
      </c>
      <c r="G151" t="inlineStr">
        <is>
          <t>KRISTIANSTAD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44670</v>
      </c>
      <c r="E152" s="1" t="n">
        <v>46294</v>
      </c>
      <c r="F152" t="inlineStr">
        <is>
          <t>SKÅNE LÄN</t>
        </is>
      </c>
      <c r="G152" t="inlineStr">
        <is>
          <t>KRISTIANSTAD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46294</v>
      </c>
      <c r="F153" t="inlineStr">
        <is>
          <t>SKÅNE LÄN</t>
        </is>
      </c>
      <c r="G153" t="inlineStr">
        <is>
          <t>KRISTIANSTAD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74289-2021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44558</v>
      </c>
      <c r="E154" s="1" t="n">
        <v>46294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46294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44744</v>
      </c>
      <c r="E156" s="1" t="n">
        <v>46294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46294</v>
      </c>
      <c r="F157" t="inlineStr">
        <is>
          <t>SKÅNE LÄN</t>
        </is>
      </c>
      <c r="G157" t="inlineStr">
        <is>
          <t>KRISTIANSTAD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46294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46294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46294</v>
      </c>
      <c r="F160" t="inlineStr">
        <is>
          <t>SKÅNE LÄN</t>
        </is>
      </c>
      <c r="G160" t="inlineStr">
        <is>
          <t>KRISTIANSTAD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46294</v>
      </c>
      <c r="F161" t="inlineStr">
        <is>
          <t>SKÅNE LÄN</t>
        </is>
      </c>
      <c r="G161" t="inlineStr">
        <is>
          <t>KRISTIANSTAD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46294</v>
      </c>
      <c r="F162" t="inlineStr">
        <is>
          <t>SKÅNE LÄN</t>
        </is>
      </c>
      <c r="G162" t="inlineStr">
        <is>
          <t>KRISTIANSTAD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46294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46294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46294</v>
      </c>
      <c r="F165" t="inlineStr">
        <is>
          <t>SKÅNE LÄN</t>
        </is>
      </c>
      <c r="G165" t="inlineStr">
        <is>
          <t>KRISTIANSTAD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46294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43663-2022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44837</v>
      </c>
      <c r="E167" s="1" t="n">
        <v>46294</v>
      </c>
      <c r="F167" t="inlineStr">
        <is>
          <t>SKÅNE LÄN</t>
        </is>
      </c>
      <c r="G167" t="inlineStr">
        <is>
          <t>KRISTIANSTAD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46294</v>
      </c>
      <c r="F168" t="inlineStr">
        <is>
          <t>SKÅNE LÄN</t>
        </is>
      </c>
      <c r="G168" t="inlineStr">
        <is>
          <t>KRISTIANSTAD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46294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44744</v>
      </c>
      <c r="E170" s="1" t="n">
        <v>46294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44491</v>
      </c>
      <c r="E171" s="1" t="n">
        <v>46294</v>
      </c>
      <c r="F171" t="inlineStr">
        <is>
          <t>SKÅNE LÄN</t>
        </is>
      </c>
      <c r="G171" t="inlineStr">
        <is>
          <t>KRISTIANSTAD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46294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46294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46294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46294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46294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46294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46294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46294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46294</v>
      </c>
      <c r="F180" t="inlineStr">
        <is>
          <t>SKÅNE LÄN</t>
        </is>
      </c>
      <c r="G180" t="inlineStr">
        <is>
          <t>KRISTIANSTAD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46294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46294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46294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46294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46294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46294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46294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46294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46294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46294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46294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46294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46294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46294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46294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46294</v>
      </c>
      <c r="F196" t="inlineStr">
        <is>
          <t>SKÅNE LÄN</t>
        </is>
      </c>
      <c r="G196" t="inlineStr">
        <is>
          <t>KRISTIANSTAD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44339-2023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46294</v>
      </c>
      <c r="F197" t="inlineStr">
        <is>
          <t>SKÅNE LÄN</t>
        </is>
      </c>
      <c r="G197" t="inlineStr">
        <is>
          <t>KRISTIANSTAD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46294</v>
      </c>
      <c r="F198" t="inlineStr">
        <is>
          <t>SKÅNE LÄN</t>
        </is>
      </c>
      <c r="G198" t="inlineStr">
        <is>
          <t>KRISTIANSTAD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44824</v>
      </c>
      <c r="E199" s="1" t="n">
        <v>46294</v>
      </c>
      <c r="F199" t="inlineStr">
        <is>
          <t>SKÅNE LÄN</t>
        </is>
      </c>
      <c r="G199" t="inlineStr">
        <is>
          <t>KRISTIANSTAD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46294</v>
      </c>
      <c r="F200" t="inlineStr">
        <is>
          <t>SKÅNE LÄN</t>
        </is>
      </c>
      <c r="G200" t="inlineStr">
        <is>
          <t>KRISTIANSTAD</t>
        </is>
      </c>
      <c r="I200" t="n">
        <v>12.6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46294</v>
      </c>
      <c r="F201" t="inlineStr">
        <is>
          <t>SKÅNE LÄN</t>
        </is>
      </c>
      <c r="G201" t="inlineStr">
        <is>
          <t>KRISTIANSTAD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46294</v>
      </c>
      <c r="F202" t="inlineStr">
        <is>
          <t>SKÅNE LÄN</t>
        </is>
      </c>
      <c r="G202" t="inlineStr">
        <is>
          <t>KRISTIANSTAD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44744</v>
      </c>
      <c r="E203" s="1" t="n">
        <v>46294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45577</v>
      </c>
      <c r="E204" s="1" t="n">
        <v>46294</v>
      </c>
      <c r="F204" t="inlineStr">
        <is>
          <t>SKÅNE LÄN</t>
        </is>
      </c>
      <c r="G204" t="inlineStr">
        <is>
          <t>KRISTIANSTAD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45419</v>
      </c>
      <c r="E205" s="1" t="n">
        <v>46294</v>
      </c>
      <c r="F205" t="inlineStr">
        <is>
          <t>SKÅNE LÄN</t>
        </is>
      </c>
      <c r="G205" t="inlineStr">
        <is>
          <t>KRISTIANSTAD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45307</v>
      </c>
      <c r="E206" s="1" t="n">
        <v>46294</v>
      </c>
      <c r="F206" t="inlineStr">
        <is>
          <t>SKÅNE LÄN</t>
        </is>
      </c>
      <c r="G206" t="inlineStr">
        <is>
          <t>KRISTIANSTAD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46294</v>
      </c>
      <c r="F207" t="inlineStr">
        <is>
          <t>SKÅNE LÄN</t>
        </is>
      </c>
      <c r="G207" t="inlineStr">
        <is>
          <t>KRISTIANSTAD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46294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33592-2023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45132</v>
      </c>
      <c r="E209" s="1" t="n">
        <v>46294</v>
      </c>
      <c r="F209" t="inlineStr">
        <is>
          <t>SKÅNE LÄN</t>
        </is>
      </c>
      <c r="G209" t="inlineStr">
        <is>
          <t>KRISTIANSTAD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46294</v>
      </c>
      <c r="F210" t="inlineStr">
        <is>
          <t>SKÅNE LÄN</t>
        </is>
      </c>
      <c r="G210" t="inlineStr">
        <is>
          <t>KRISTIANSTAD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46294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46294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46294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46294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46294</v>
      </c>
      <c r="F215" t="inlineStr">
        <is>
          <t>SKÅNE LÄN</t>
        </is>
      </c>
      <c r="G215" t="inlineStr">
        <is>
          <t>KRISTIANSTAD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45370</v>
      </c>
      <c r="E216" s="1" t="n">
        <v>46294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46294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46294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46294</v>
      </c>
      <c r="F219" t="inlineStr">
        <is>
          <t>SKÅNE LÄN</t>
        </is>
      </c>
      <c r="G219" t="inlineStr">
        <is>
          <t>KRISTIANSTAD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46294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46294</v>
      </c>
      <c r="F221" t="inlineStr">
        <is>
          <t>SKÅNE LÄN</t>
        </is>
      </c>
      <c r="G221" t="inlineStr">
        <is>
          <t>KRISTIANSTAD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46294</v>
      </c>
      <c r="F222" t="inlineStr">
        <is>
          <t>SKÅNE LÄN</t>
        </is>
      </c>
      <c r="G222" t="inlineStr">
        <is>
          <t>KRISTIANSTAD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46294</v>
      </c>
      <c r="F223" t="inlineStr">
        <is>
          <t>SKÅNE LÄN</t>
        </is>
      </c>
      <c r="G223" t="inlineStr">
        <is>
          <t>KRISTIANSTAD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45887</v>
      </c>
      <c r="E224" s="1" t="n">
        <v>46294</v>
      </c>
      <c r="F224" t="inlineStr">
        <is>
          <t>SKÅNE LÄN</t>
        </is>
      </c>
      <c r="G224" t="inlineStr">
        <is>
          <t>KRISTIANSTAD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46294</v>
      </c>
      <c r="F225" t="inlineStr">
        <is>
          <t>SKÅNE LÄN</t>
        </is>
      </c>
      <c r="G225" t="inlineStr">
        <is>
          <t>KRISTIANSTAD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45049</v>
      </c>
      <c r="E226" s="1" t="n">
        <v>46294</v>
      </c>
      <c r="F226" t="inlineStr">
        <is>
          <t>SKÅNE LÄN</t>
        </is>
      </c>
      <c r="G226" t="inlineStr">
        <is>
          <t>KRISTIANSTAD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46294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46294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46294</v>
      </c>
      <c r="F229" t="inlineStr">
        <is>
          <t>SKÅNE LÄN</t>
        </is>
      </c>
      <c r="G229" t="inlineStr">
        <is>
          <t>KRISTIANSTAD</t>
        </is>
      </c>
      <c r="I229" t="n">
        <v>12.9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46294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46294</v>
      </c>
      <c r="F231" t="inlineStr">
        <is>
          <t>SKÅNE LÄN</t>
        </is>
      </c>
      <c r="G231" t="inlineStr">
        <is>
          <t>KRISTIANSTAD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44743</v>
      </c>
      <c r="E232" s="1" t="n">
        <v>46294</v>
      </c>
      <c r="F232" t="inlineStr">
        <is>
          <t>SKÅNE LÄN</t>
        </is>
      </c>
      <c r="G232" t="inlineStr">
        <is>
          <t>KRISTIANSTAD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45183</v>
      </c>
      <c r="E233" s="1" t="n">
        <v>46294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45517</v>
      </c>
      <c r="E234" s="1" t="n">
        <v>46294</v>
      </c>
      <c r="F234" t="inlineStr">
        <is>
          <t>SKÅNE LÄN</t>
        </is>
      </c>
      <c r="G234" t="inlineStr">
        <is>
          <t>KRISTIANSTAD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46294</v>
      </c>
      <c r="F235" t="inlineStr">
        <is>
          <t>SKÅNE LÄN</t>
        </is>
      </c>
      <c r="G235" t="inlineStr">
        <is>
          <t>KRISTIANSTAD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45652</v>
      </c>
      <c r="E236" s="1" t="n">
        <v>46294</v>
      </c>
      <c r="F236" t="inlineStr">
        <is>
          <t>SKÅNE LÄN</t>
        </is>
      </c>
      <c r="G236" t="inlineStr">
        <is>
          <t>KRISTIANSTAD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46294</v>
      </c>
      <c r="F237" t="inlineStr">
        <is>
          <t>SKÅNE LÄN</t>
        </is>
      </c>
      <c r="G237" t="inlineStr">
        <is>
          <t>KRISTIANSTAD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45498</v>
      </c>
      <c r="E238" s="1" t="n">
        <v>46294</v>
      </c>
      <c r="F238" t="inlineStr">
        <is>
          <t>SKÅNE LÄN</t>
        </is>
      </c>
      <c r="G238" t="inlineStr">
        <is>
          <t>KRISTIANSTAD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46008</v>
      </c>
      <c r="E239" s="1" t="n">
        <v>46294</v>
      </c>
      <c r="F239" t="inlineStr">
        <is>
          <t>SKÅNE LÄN</t>
        </is>
      </c>
      <c r="G239" t="inlineStr">
        <is>
          <t>KRISTIANSTAD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44634</v>
      </c>
      <c r="E240" s="1" t="n">
        <v>46294</v>
      </c>
      <c r="F240" t="inlineStr">
        <is>
          <t>SKÅNE LÄN</t>
        </is>
      </c>
      <c r="G240" t="inlineStr">
        <is>
          <t>KRISTIANSTAD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46294</v>
      </c>
      <c r="F241" t="inlineStr">
        <is>
          <t>SKÅNE LÄN</t>
        </is>
      </c>
      <c r="G241" t="inlineStr">
        <is>
          <t>KRISTIANSTAD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46294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45533</v>
      </c>
      <c r="E243" s="1" t="n">
        <v>46294</v>
      </c>
      <c r="F243" t="inlineStr">
        <is>
          <t>SKÅNE LÄN</t>
        </is>
      </c>
      <c r="G243" t="inlineStr">
        <is>
          <t>KRISTIANSTAD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46294</v>
      </c>
      <c r="F244" t="inlineStr">
        <is>
          <t>SKÅNE LÄN</t>
        </is>
      </c>
      <c r="G244" t="inlineStr">
        <is>
          <t>KRISTIANSTAD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46294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46294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46294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46294</v>
      </c>
      <c r="F248" t="inlineStr">
        <is>
          <t>SKÅNE LÄN</t>
        </is>
      </c>
      <c r="G248" t="inlineStr">
        <is>
          <t>KRISTIANSTAD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46294</v>
      </c>
      <c r="F249" t="inlineStr">
        <is>
          <t>SKÅNE LÄN</t>
        </is>
      </c>
      <c r="G249" t="inlineStr">
        <is>
          <t>KRISTIANSTAD</t>
        </is>
      </c>
      <c r="I249" t="n">
        <v>16.6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45490</v>
      </c>
      <c r="E250" s="1" t="n">
        <v>46294</v>
      </c>
      <c r="F250" t="inlineStr">
        <is>
          <t>SKÅNE LÄN</t>
        </is>
      </c>
      <c r="G250" t="inlineStr">
        <is>
          <t>KRISTIANSTAD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46294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46294</v>
      </c>
      <c r="F252" t="inlineStr">
        <is>
          <t>SKÅNE LÄN</t>
        </is>
      </c>
      <c r="G252" t="inlineStr">
        <is>
          <t>KRISTIANSTAD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46294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46294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46294</v>
      </c>
      <c r="F255" t="inlineStr">
        <is>
          <t>SKÅNE LÄN</t>
        </is>
      </c>
      <c r="G255" t="inlineStr">
        <is>
          <t>KRISTIANSTAD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45648</v>
      </c>
      <c r="E256" s="1" t="n">
        <v>46294</v>
      </c>
      <c r="F256" t="inlineStr">
        <is>
          <t>SKÅNE LÄN</t>
        </is>
      </c>
      <c r="G256" t="inlineStr">
        <is>
          <t>KRISTIANSTAD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46294</v>
      </c>
      <c r="F257" t="inlineStr">
        <is>
          <t>SKÅNE LÄN</t>
        </is>
      </c>
      <c r="G257" t="inlineStr">
        <is>
          <t>KRISTIANSTAD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46294</v>
      </c>
      <c r="F258" t="inlineStr">
        <is>
          <t>SKÅNE LÄN</t>
        </is>
      </c>
      <c r="G258" t="inlineStr">
        <is>
          <t>KRISTIANSTAD</t>
        </is>
      </c>
      <c r="I258" t="n">
        <v>12.2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45007</v>
      </c>
      <c r="E259" s="1" t="n">
        <v>46294</v>
      </c>
      <c r="F259" t="inlineStr">
        <is>
          <t>SKÅNE LÄN</t>
        </is>
      </c>
      <c r="G259" t="inlineStr">
        <is>
          <t>KRISTIANSTAD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40500-2025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45896</v>
      </c>
      <c r="E260" s="1" t="n">
        <v>46294</v>
      </c>
      <c r="F260" t="inlineStr">
        <is>
          <t>SKÅNE LÄN</t>
        </is>
      </c>
      <c r="G260" t="inlineStr">
        <is>
          <t>KRISTIANSTAD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46294</v>
      </c>
      <c r="F261" t="inlineStr">
        <is>
          <t>SKÅNE LÄN</t>
        </is>
      </c>
      <c r="G261" t="inlineStr">
        <is>
          <t>KRISTIANSTAD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46294</v>
      </c>
      <c r="F262" t="inlineStr">
        <is>
          <t>SKÅNE LÄN</t>
        </is>
      </c>
      <c r="G262" t="inlineStr">
        <is>
          <t>KRISTIANSTAD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46294</v>
      </c>
      <c r="F263" t="inlineStr">
        <is>
          <t>SKÅNE LÄN</t>
        </is>
      </c>
      <c r="G263" t="inlineStr">
        <is>
          <t>KRISTIANSTAD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46294</v>
      </c>
      <c r="F264" t="inlineStr">
        <is>
          <t>SKÅNE LÄN</t>
        </is>
      </c>
      <c r="G264" t="inlineStr">
        <is>
          <t>KRISTIANSTAD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45900</v>
      </c>
      <c r="E265" s="1" t="n">
        <v>46294</v>
      </c>
      <c r="F265" t="inlineStr">
        <is>
          <t>SKÅNE LÄN</t>
        </is>
      </c>
      <c r="G265" t="inlineStr">
        <is>
          <t>KRISTIANSTAD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45900</v>
      </c>
      <c r="E266" s="1" t="n">
        <v>46294</v>
      </c>
      <c r="F266" t="inlineStr">
        <is>
          <t>SKÅNE LÄN</t>
        </is>
      </c>
      <c r="G266" t="inlineStr">
        <is>
          <t>KRISTIANSTAD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46294</v>
      </c>
      <c r="F267" t="inlineStr">
        <is>
          <t>SKÅNE LÄN</t>
        </is>
      </c>
      <c r="G267" t="inlineStr">
        <is>
          <t>KRISTIANSTAD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46294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46294</v>
      </c>
      <c r="F269" t="inlineStr">
        <is>
          <t>SKÅNE LÄN</t>
        </is>
      </c>
      <c r="G269" t="inlineStr">
        <is>
          <t>KRISTIANSTAD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46294</v>
      </c>
      <c r="F270" t="inlineStr">
        <is>
          <t>SKÅNE LÄN</t>
        </is>
      </c>
      <c r="G270" t="inlineStr">
        <is>
          <t>KRISTIANSTAD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46294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45343</v>
      </c>
      <c r="E272" s="1" t="n">
        <v>46294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46294</v>
      </c>
      <c r="F273" t="inlineStr">
        <is>
          <t>SKÅNE LÄN</t>
        </is>
      </c>
      <c r="G273" t="inlineStr">
        <is>
          <t>KRISTIANSTAD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25671-2023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45089</v>
      </c>
      <c r="E274" s="1" t="n">
        <v>46294</v>
      </c>
      <c r="F274" t="inlineStr">
        <is>
          <t>SKÅNE LÄN</t>
        </is>
      </c>
      <c r="G274" t="inlineStr">
        <is>
          <t>KRISTIANSTAD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46294</v>
      </c>
      <c r="F275" t="inlineStr">
        <is>
          <t>SKÅNE LÄN</t>
        </is>
      </c>
      <c r="G275" t="inlineStr">
        <is>
          <t>KRISTIANSTAD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46294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46294</v>
      </c>
      <c r="F277" t="inlineStr">
        <is>
          <t>SKÅNE LÄN</t>
        </is>
      </c>
      <c r="G277" t="inlineStr">
        <is>
          <t>KRISTIANSTAD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45396</v>
      </c>
      <c r="E278" s="1" t="n">
        <v>46294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46294</v>
      </c>
      <c r="F279" t="inlineStr">
        <is>
          <t>SKÅNE LÄN</t>
        </is>
      </c>
      <c r="G279" t="inlineStr">
        <is>
          <t>KRISTIANSTAD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45810</v>
      </c>
      <c r="E280" s="1" t="n">
        <v>46294</v>
      </c>
      <c r="F280" t="inlineStr">
        <is>
          <t>SKÅNE LÄN</t>
        </is>
      </c>
      <c r="G280" t="inlineStr">
        <is>
          <t>KRISTIANSTAD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45357</v>
      </c>
      <c r="E281" s="1" t="n">
        <v>46294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45116</v>
      </c>
      <c r="E282" s="1" t="n">
        <v>46294</v>
      </c>
      <c r="F282" t="inlineStr">
        <is>
          <t>SKÅNE LÄN</t>
        </is>
      </c>
      <c r="G282" t="inlineStr">
        <is>
          <t>KRISTIANSTAD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40423-2024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45555</v>
      </c>
      <c r="E283" s="1" t="n">
        <v>46294</v>
      </c>
      <c r="F283" t="inlineStr">
        <is>
          <t>SKÅNE LÄN</t>
        </is>
      </c>
      <c r="G283" t="inlineStr">
        <is>
          <t>KRISTIANSTAD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46294</v>
      </c>
      <c r="F284" t="inlineStr">
        <is>
          <t>SKÅNE LÄN</t>
        </is>
      </c>
      <c r="G284" t="inlineStr">
        <is>
          <t>KRISTIANSTAD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46294</v>
      </c>
      <c r="F285" t="inlineStr">
        <is>
          <t>SKÅNE LÄN</t>
        </is>
      </c>
      <c r="G285" t="inlineStr">
        <is>
          <t>KRISTIANSTAD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46294</v>
      </c>
      <c r="F286" t="inlineStr">
        <is>
          <t>SKÅNE LÄN</t>
        </is>
      </c>
      <c r="G286" t="inlineStr">
        <is>
          <t>KRISTIANSTAD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46294</v>
      </c>
      <c r="F287" t="inlineStr">
        <is>
          <t>SKÅNE LÄN</t>
        </is>
      </c>
      <c r="G287" t="inlineStr">
        <is>
          <t>KRISTIANSTAD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70705-2021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44537</v>
      </c>
      <c r="E288" s="1" t="n">
        <v>46294</v>
      </c>
      <c r="F288" t="inlineStr">
        <is>
          <t>SKÅNE LÄN</t>
        </is>
      </c>
      <c r="G288" t="inlineStr">
        <is>
          <t>KRISTIANSTAD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46294</v>
      </c>
      <c r="F289" t="inlineStr">
        <is>
          <t>SKÅNE LÄN</t>
        </is>
      </c>
      <c r="G289" t="inlineStr">
        <is>
          <t>KRISTIANSTAD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45233</v>
      </c>
      <c r="E290" s="1" t="n">
        <v>46294</v>
      </c>
      <c r="F290" t="inlineStr">
        <is>
          <t>SKÅNE LÄN</t>
        </is>
      </c>
      <c r="G290" t="inlineStr">
        <is>
          <t>KRISTIANSTAD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45233</v>
      </c>
      <c r="E291" s="1" t="n">
        <v>46294</v>
      </c>
      <c r="F291" t="inlineStr">
        <is>
          <t>SKÅNE LÄN</t>
        </is>
      </c>
      <c r="G291" t="inlineStr">
        <is>
          <t>KRISTIANSTAD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46294</v>
      </c>
      <c r="F292" t="inlineStr">
        <is>
          <t>SKÅNE LÄN</t>
        </is>
      </c>
      <c r="G292" t="inlineStr">
        <is>
          <t>KRISTIANSTAD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46294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61402-2023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46294</v>
      </c>
      <c r="F294" t="inlineStr">
        <is>
          <t>SKÅNE LÄN</t>
        </is>
      </c>
      <c r="G294" t="inlineStr">
        <is>
          <t>KRISTIANSTAD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46294</v>
      </c>
      <c r="F295" t="inlineStr">
        <is>
          <t>SKÅNE LÄN</t>
        </is>
      </c>
      <c r="G295" t="inlineStr">
        <is>
          <t>KRISTIANSTAD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58175-2021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44487</v>
      </c>
      <c r="E296" s="1" t="n">
        <v>46294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46294</v>
      </c>
      <c r="F297" t="inlineStr">
        <is>
          <t>SKÅNE LÄN</t>
        </is>
      </c>
      <c r="G297" t="inlineStr">
        <is>
          <t>KRISTIANSTAD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44938</v>
      </c>
      <c r="E298" s="1" t="n">
        <v>46294</v>
      </c>
      <c r="F298" t="inlineStr">
        <is>
          <t>SKÅNE LÄN</t>
        </is>
      </c>
      <c r="G298" t="inlineStr">
        <is>
          <t>KRISTIANSTAD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46294</v>
      </c>
      <c r="F299" t="inlineStr">
        <is>
          <t>SKÅNE LÄN</t>
        </is>
      </c>
      <c r="G299" t="inlineStr">
        <is>
          <t>KRISTIANSTAD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33984-2025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45843</v>
      </c>
      <c r="E300" s="1" t="n">
        <v>46294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46294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46294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46336-2025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46294</v>
      </c>
      <c r="F303" t="inlineStr">
        <is>
          <t>SKÅNE LÄN</t>
        </is>
      </c>
      <c r="G303" t="inlineStr">
        <is>
          <t>KRISTIANSTAD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46294</v>
      </c>
      <c r="F304" t="inlineStr">
        <is>
          <t>SKÅNE LÄN</t>
        </is>
      </c>
      <c r="G304" t="inlineStr">
        <is>
          <t>KRISTIANSTAD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46294</v>
      </c>
      <c r="F305" t="inlineStr">
        <is>
          <t>SKÅNE LÄN</t>
        </is>
      </c>
      <c r="G305" t="inlineStr">
        <is>
          <t>KRISTIANSTAD</t>
        </is>
      </c>
      <c r="I305" t="n">
        <v>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46294</v>
      </c>
      <c r="F306" t="inlineStr">
        <is>
          <t>SKÅNE LÄN</t>
        </is>
      </c>
      <c r="G306" t="inlineStr">
        <is>
          <t>KRISTIANSTAD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32714-2023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45121</v>
      </c>
      <c r="E307" s="1" t="n">
        <v>46294</v>
      </c>
      <c r="F307" t="inlineStr">
        <is>
          <t>SKÅNE LÄN</t>
        </is>
      </c>
      <c r="G307" t="inlineStr">
        <is>
          <t>KRISTIANSTAD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46294</v>
      </c>
      <c r="F308" t="inlineStr">
        <is>
          <t>SKÅNE LÄN</t>
        </is>
      </c>
      <c r="G308" t="inlineStr">
        <is>
          <t>KRISTIANSTAD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46294</v>
      </c>
      <c r="F309" t="inlineStr">
        <is>
          <t>SKÅNE LÄN</t>
        </is>
      </c>
      <c r="G309" t="inlineStr">
        <is>
          <t>KRISTIANSTAD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46294</v>
      </c>
      <c r="F310" t="inlineStr">
        <is>
          <t>SKÅNE LÄN</t>
        </is>
      </c>
      <c r="G310" t="inlineStr">
        <is>
          <t>KRISTIANSTAD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46294</v>
      </c>
      <c r="F311" t="inlineStr">
        <is>
          <t>SKÅNE LÄN</t>
        </is>
      </c>
      <c r="G311" t="inlineStr">
        <is>
          <t>KRISTIANSTAD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46294</v>
      </c>
      <c r="F312" t="inlineStr">
        <is>
          <t>SKÅNE LÄN</t>
        </is>
      </c>
      <c r="G312" t="inlineStr">
        <is>
          <t>KRISTIANSTAD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46294</v>
      </c>
      <c r="F313" t="inlineStr">
        <is>
          <t>SKÅNE LÄN</t>
        </is>
      </c>
      <c r="G313" t="inlineStr">
        <is>
          <t>KRISTIANSTAD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46294</v>
      </c>
      <c r="F314" t="inlineStr">
        <is>
          <t>SKÅNE LÄN</t>
        </is>
      </c>
      <c r="G314" t="inlineStr">
        <is>
          <t>KRISTIANSTAD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31105-2025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45832</v>
      </c>
      <c r="E315" s="1" t="n">
        <v>46294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46294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46294</v>
      </c>
      <c r="F317" t="inlineStr">
        <is>
          <t>SKÅNE LÄN</t>
        </is>
      </c>
      <c r="G317" t="inlineStr">
        <is>
          <t>KRISTIANSTAD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46294</v>
      </c>
      <c r="F318" t="inlineStr">
        <is>
          <t>SKÅNE LÄN</t>
        </is>
      </c>
      <c r="G318" t="inlineStr">
        <is>
          <t>KRISTIANSTAD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43966-2025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45915</v>
      </c>
      <c r="E319" s="1" t="n">
        <v>46294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46294</v>
      </c>
      <c r="F320" t="inlineStr">
        <is>
          <t>SKÅNE LÄN</t>
        </is>
      </c>
      <c r="G320" t="inlineStr">
        <is>
          <t>KRISTIANSTAD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45440</v>
      </c>
      <c r="E321" s="1" t="n">
        <v>46294</v>
      </c>
      <c r="F321" t="inlineStr">
        <is>
          <t>SKÅNE LÄN</t>
        </is>
      </c>
      <c r="G321" t="inlineStr">
        <is>
          <t>KRISTIANSTAD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46294</v>
      </c>
      <c r="F322" t="inlineStr">
        <is>
          <t>SKÅNE LÄN</t>
        </is>
      </c>
      <c r="G322" t="inlineStr">
        <is>
          <t>KRISTIANSTAD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46294</v>
      </c>
      <c r="F323" t="inlineStr">
        <is>
          <t>SKÅNE LÄN</t>
        </is>
      </c>
      <c r="G323" t="inlineStr">
        <is>
          <t>KRISTIANSTAD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45244</v>
      </c>
      <c r="E324" s="1" t="n">
        <v>46294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44627</v>
      </c>
      <c r="E325" s="1" t="n">
        <v>46294</v>
      </c>
      <c r="F325" t="inlineStr">
        <is>
          <t>SKÅNE LÄN</t>
        </is>
      </c>
      <c r="G325" t="inlineStr">
        <is>
          <t>KRISTIANSTAD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46294</v>
      </c>
      <c r="F326" t="inlineStr">
        <is>
          <t>SKÅNE LÄN</t>
        </is>
      </c>
      <c r="G326" t="inlineStr">
        <is>
          <t>KRISTIANSTAD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45586</v>
      </c>
      <c r="E327" s="1" t="n">
        <v>46294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53299-2023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45229</v>
      </c>
      <c r="E328" s="1" t="n">
        <v>46294</v>
      </c>
      <c r="F328" t="inlineStr">
        <is>
          <t>SKÅNE LÄN</t>
        </is>
      </c>
      <c r="G328" t="inlineStr">
        <is>
          <t>KRISTIANSTAD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46294</v>
      </c>
      <c r="F329" t="inlineStr">
        <is>
          <t>SKÅNE LÄN</t>
        </is>
      </c>
      <c r="G329" t="inlineStr">
        <is>
          <t>KRISTIANSTAD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46294</v>
      </c>
      <c r="F330" t="inlineStr">
        <is>
          <t>SKÅNE LÄN</t>
        </is>
      </c>
      <c r="G330" t="inlineStr">
        <is>
          <t>KRISTIANSTAD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49567-2025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46294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45326</v>
      </c>
      <c r="E332" s="1" t="n">
        <v>46294</v>
      </c>
      <c r="F332" t="inlineStr">
        <is>
          <t>SKÅNE LÄN</t>
        </is>
      </c>
      <c r="G332" t="inlineStr">
        <is>
          <t>KRISTIANSTAD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46294</v>
      </c>
      <c r="F333" t="inlineStr">
        <is>
          <t>SKÅNE LÄN</t>
        </is>
      </c>
      <c r="G333" t="inlineStr">
        <is>
          <t>KRISTIANSTAD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45321</v>
      </c>
      <c r="E334" s="1" t="n">
        <v>46294</v>
      </c>
      <c r="F334" t="inlineStr">
        <is>
          <t>SKÅNE LÄN</t>
        </is>
      </c>
      <c r="G334" t="inlineStr">
        <is>
          <t>KRISTIANSTAD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46294</v>
      </c>
      <c r="F335" t="inlineStr">
        <is>
          <t>SKÅNE LÄN</t>
        </is>
      </c>
      <c r="G335" t="inlineStr">
        <is>
          <t>KRISTIANSTAD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46294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45496</v>
      </c>
      <c r="E337" s="1" t="n">
        <v>46294</v>
      </c>
      <c r="F337" t="inlineStr">
        <is>
          <t>SKÅNE LÄN</t>
        </is>
      </c>
      <c r="G337" t="inlineStr">
        <is>
          <t>KRISTIANSTAD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45568</v>
      </c>
      <c r="E338" s="1" t="n">
        <v>46294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45736</v>
      </c>
      <c r="E339" s="1" t="n">
        <v>46294</v>
      </c>
      <c r="F339" t="inlineStr">
        <is>
          <t>SKÅNE LÄN</t>
        </is>
      </c>
      <c r="G339" t="inlineStr">
        <is>
          <t>KRISTIANSTAD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45014</v>
      </c>
      <c r="E340" s="1" t="n">
        <v>46294</v>
      </c>
      <c r="F340" t="inlineStr">
        <is>
          <t>SKÅNE LÄN</t>
        </is>
      </c>
      <c r="G340" t="inlineStr">
        <is>
          <t>KRISTIANSTAD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46294</v>
      </c>
      <c r="F341" t="inlineStr">
        <is>
          <t>SKÅNE LÄN</t>
        </is>
      </c>
      <c r="G341" t="inlineStr">
        <is>
          <t>KRISTIANSTAD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45706</v>
      </c>
      <c r="E342" s="1" t="n">
        <v>46294</v>
      </c>
      <c r="F342" t="inlineStr">
        <is>
          <t>SKÅNE LÄN</t>
        </is>
      </c>
      <c r="G342" t="inlineStr">
        <is>
          <t>KRISTIANSTAD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46294</v>
      </c>
      <c r="F343" t="inlineStr">
        <is>
          <t>SKÅNE LÄN</t>
        </is>
      </c>
      <c r="G343" t="inlineStr">
        <is>
          <t>KRISTIANSTAD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45715</v>
      </c>
      <c r="E344" s="1" t="n">
        <v>46294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45845</v>
      </c>
      <c r="E345" s="1" t="n">
        <v>46294</v>
      </c>
      <c r="F345" t="inlineStr">
        <is>
          <t>SKÅNE LÄN</t>
        </is>
      </c>
      <c r="G345" t="inlineStr">
        <is>
          <t>KRISTIANSTAD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46294</v>
      </c>
      <c r="F346" t="inlineStr">
        <is>
          <t>SKÅNE LÄN</t>
        </is>
      </c>
      <c r="G346" t="inlineStr">
        <is>
          <t>KRISTIANSTAD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45803</v>
      </c>
      <c r="E347" s="1" t="n">
        <v>46294</v>
      </c>
      <c r="F347" t="inlineStr">
        <is>
          <t>SKÅNE LÄN</t>
        </is>
      </c>
      <c r="G347" t="inlineStr">
        <is>
          <t>KRISTIANSTAD</t>
        </is>
      </c>
      <c r="I347" t="n">
        <v>18.8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46294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65097-2021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44513</v>
      </c>
      <c r="E349" s="1" t="n">
        <v>46294</v>
      </c>
      <c r="F349" t="inlineStr">
        <is>
          <t>SKÅNE LÄN</t>
        </is>
      </c>
      <c r="G349" t="inlineStr">
        <is>
          <t>KRISTIANSTAD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9794-2023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44984</v>
      </c>
      <c r="E350" s="1" t="n">
        <v>46294</v>
      </c>
      <c r="F350" t="inlineStr">
        <is>
          <t>SKÅNE LÄN</t>
        </is>
      </c>
      <c r="G350" t="inlineStr">
        <is>
          <t>KRISTIANSTAD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46294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46294</v>
      </c>
      <c r="F352" t="inlineStr">
        <is>
          <t>SKÅNE LÄN</t>
        </is>
      </c>
      <c r="G352" t="inlineStr">
        <is>
          <t>KRISTIANSTAD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45561</v>
      </c>
      <c r="E353" s="1" t="n">
        <v>46294</v>
      </c>
      <c r="F353" t="inlineStr">
        <is>
          <t>SKÅNE LÄN</t>
        </is>
      </c>
      <c r="G353" t="inlineStr">
        <is>
          <t>KRISTIANSTAD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46294</v>
      </c>
      <c r="F354" t="inlineStr">
        <is>
          <t>SKÅNE LÄN</t>
        </is>
      </c>
      <c r="G354" t="inlineStr">
        <is>
          <t>KRISTIANSTAD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46294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45338</v>
      </c>
      <c r="E356" s="1" t="n">
        <v>46294</v>
      </c>
      <c r="F356" t="inlineStr">
        <is>
          <t>SKÅNE LÄN</t>
        </is>
      </c>
      <c r="G356" t="inlineStr">
        <is>
          <t>KRISTIANSTAD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45577</v>
      </c>
      <c r="E357" s="1" t="n">
        <v>46294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44572</v>
      </c>
      <c r="E358" s="1" t="n">
        <v>46294</v>
      </c>
      <c r="F358" t="inlineStr">
        <is>
          <t>SKÅNE LÄN</t>
        </is>
      </c>
      <c r="G358" t="inlineStr">
        <is>
          <t>KRISTIANSTAD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46294</v>
      </c>
      <c r="F359" t="inlineStr">
        <is>
          <t>SKÅNE LÄN</t>
        </is>
      </c>
      <c r="G359" t="inlineStr">
        <is>
          <t>KRISTIANSTAD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45323</v>
      </c>
      <c r="E360" s="1" t="n">
        <v>46294</v>
      </c>
      <c r="F360" t="inlineStr">
        <is>
          <t>SKÅNE LÄN</t>
        </is>
      </c>
      <c r="G360" t="inlineStr">
        <is>
          <t>KRISTIANSTAD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45953</v>
      </c>
      <c r="E361" s="1" t="n">
        <v>46294</v>
      </c>
      <c r="F361" t="inlineStr">
        <is>
          <t>SKÅNE LÄN</t>
        </is>
      </c>
      <c r="G361" t="inlineStr">
        <is>
          <t>KRISTIANSTAD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45860</v>
      </c>
      <c r="E362" s="1" t="n">
        <v>46294</v>
      </c>
      <c r="F362" t="inlineStr">
        <is>
          <t>SKÅNE LÄN</t>
        </is>
      </c>
      <c r="G362" t="inlineStr">
        <is>
          <t>KRISTIANSTAD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27529-2022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44742</v>
      </c>
      <c r="E363" s="1" t="n">
        <v>46294</v>
      </c>
      <c r="F363" t="inlineStr">
        <is>
          <t>SKÅNE LÄN</t>
        </is>
      </c>
      <c r="G363" t="inlineStr">
        <is>
          <t>KRISTIANSTAD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45446</v>
      </c>
      <c r="E364" s="1" t="n">
        <v>46294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46031</v>
      </c>
      <c r="E365" s="1" t="n">
        <v>46294</v>
      </c>
      <c r="F365" t="inlineStr">
        <is>
          <t>SKÅNE LÄN</t>
        </is>
      </c>
      <c r="G365" t="inlineStr">
        <is>
          <t>KRISTIANSTAD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46294</v>
      </c>
      <c r="F366" t="inlineStr">
        <is>
          <t>SKÅNE LÄN</t>
        </is>
      </c>
      <c r="G366" t="inlineStr">
        <is>
          <t>KRISTIANSTAD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22292-2022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46294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19.5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52406-2025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45954</v>
      </c>
      <c r="E368" s="1" t="n">
        <v>46294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46294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39935-2023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45168</v>
      </c>
      <c r="E370" s="1" t="n">
        <v>46294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44945</v>
      </c>
      <c r="E371" s="1" t="n">
        <v>46294</v>
      </c>
      <c r="F371" t="inlineStr">
        <is>
          <t>SKÅNE LÄN</t>
        </is>
      </c>
      <c r="G371" t="inlineStr">
        <is>
          <t>KRISTIANSTAD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46294</v>
      </c>
      <c r="F372" t="inlineStr">
        <is>
          <t>SKÅNE LÄN</t>
        </is>
      </c>
      <c r="G372" t="inlineStr">
        <is>
          <t>KRISTIANSTAD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46031</v>
      </c>
      <c r="E373" s="1" t="n">
        <v>46294</v>
      </c>
      <c r="F373" t="inlineStr">
        <is>
          <t>SKÅNE LÄN</t>
        </is>
      </c>
      <c r="G373" t="inlineStr">
        <is>
          <t>KRISTIANSTAD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46294</v>
      </c>
      <c r="F374" t="inlineStr">
        <is>
          <t>SKÅNE LÄN</t>
        </is>
      </c>
      <c r="G374" t="inlineStr">
        <is>
          <t>KRISTIANSTAD</t>
        </is>
      </c>
      <c r="H374" t="inlineStr">
        <is>
          <t>Övriga Aktiebolag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45477</v>
      </c>
      <c r="E375" s="1" t="n">
        <v>46294</v>
      </c>
      <c r="F375" t="inlineStr">
        <is>
          <t>SKÅNE LÄN</t>
        </is>
      </c>
      <c r="G375" t="inlineStr">
        <is>
          <t>KRISTIANSTAD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46294</v>
      </c>
      <c r="F376" t="inlineStr">
        <is>
          <t>SKÅNE LÄN</t>
        </is>
      </c>
      <c r="G376" t="inlineStr">
        <is>
          <t>KRISTIANSTAD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45874</v>
      </c>
      <c r="E377" s="1" t="n">
        <v>46294</v>
      </c>
      <c r="F377" t="inlineStr">
        <is>
          <t>SKÅNE LÄN</t>
        </is>
      </c>
      <c r="G377" t="inlineStr">
        <is>
          <t>KRISTIANSTAD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46294</v>
      </c>
      <c r="F378" t="inlineStr">
        <is>
          <t>SKÅNE LÄN</t>
        </is>
      </c>
      <c r="G378" t="inlineStr">
        <is>
          <t>KRISTIANSTAD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46294</v>
      </c>
      <c r="F379" t="inlineStr">
        <is>
          <t>SKÅNE LÄN</t>
        </is>
      </c>
      <c r="G379" t="inlineStr">
        <is>
          <t>KRISTIANSTAD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46294</v>
      </c>
      <c r="F380" t="inlineStr">
        <is>
          <t>SKÅNE LÄN</t>
        </is>
      </c>
      <c r="G380" t="inlineStr">
        <is>
          <t>KRISTIANSTAD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46294</v>
      </c>
      <c r="F381" t="inlineStr">
        <is>
          <t>SKÅNE LÄN</t>
        </is>
      </c>
      <c r="G381" t="inlineStr">
        <is>
          <t>KRISTIANSTAD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22504-2022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44713</v>
      </c>
      <c r="E382" s="1" t="n">
        <v>46294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46294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45607</v>
      </c>
      <c r="E384" s="1" t="n">
        <v>46294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44607</v>
      </c>
      <c r="E385" s="1" t="n">
        <v>46294</v>
      </c>
      <c r="F385" t="inlineStr">
        <is>
          <t>SKÅNE LÄN</t>
        </is>
      </c>
      <c r="G385" t="inlineStr">
        <is>
          <t>KRISTIANSTAD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45546</v>
      </c>
      <c r="E386" s="1" t="n">
        <v>46294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19.8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45558</v>
      </c>
      <c r="E387" s="1" t="n">
        <v>46294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40903-2024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45558</v>
      </c>
      <c r="E388" s="1" t="n">
        <v>46294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46294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45581</v>
      </c>
      <c r="E390" s="1" t="n">
        <v>46294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24947-2023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45085</v>
      </c>
      <c r="E391" s="1" t="n">
        <v>46294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46294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46294</v>
      </c>
      <c r="F393" t="inlineStr">
        <is>
          <t>SKÅNE LÄN</t>
        </is>
      </c>
      <c r="G393" t="inlineStr">
        <is>
          <t>KRISTIANSTAD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39567-2022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44817</v>
      </c>
      <c r="E394" s="1" t="n">
        <v>46294</v>
      </c>
      <c r="F394" t="inlineStr">
        <is>
          <t>SKÅNE LÄN</t>
        </is>
      </c>
      <c r="G394" t="inlineStr">
        <is>
          <t>KRISTIANSTAD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46294</v>
      </c>
      <c r="F395" t="inlineStr">
        <is>
          <t>SKÅNE LÄN</t>
        </is>
      </c>
      <c r="G395" t="inlineStr">
        <is>
          <t>KRISTIANSTAD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46294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44587</v>
      </c>
      <c r="E397" s="1" t="n">
        <v>46294</v>
      </c>
      <c r="F397" t="inlineStr">
        <is>
          <t>SKÅNE LÄN</t>
        </is>
      </c>
      <c r="G397" t="inlineStr">
        <is>
          <t>KRISTIANSTAD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2215-2026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46031</v>
      </c>
      <c r="E398" s="1" t="n">
        <v>46294</v>
      </c>
      <c r="F398" t="inlineStr">
        <is>
          <t>SKÅNE LÄN</t>
        </is>
      </c>
      <c r="G398" t="inlineStr">
        <is>
          <t>KRISTIANSTAD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45069</v>
      </c>
      <c r="E399" s="1" t="n">
        <v>46294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46294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46294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46294</v>
      </c>
      <c r="F402" t="inlineStr">
        <is>
          <t>SKÅNE LÄN</t>
        </is>
      </c>
      <c r="G402" t="inlineStr">
        <is>
          <t>KRISTIANSTAD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31400-2025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45833</v>
      </c>
      <c r="E403" s="1" t="n">
        <v>46294</v>
      </c>
      <c r="F403" t="inlineStr">
        <is>
          <t>SKÅNE LÄN</t>
        </is>
      </c>
      <c r="G403" t="inlineStr">
        <is>
          <t>KRISTIANSTAD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46294</v>
      </c>
      <c r="F404" t="inlineStr">
        <is>
          <t>SKÅNE LÄN</t>
        </is>
      </c>
      <c r="G404" t="inlineStr">
        <is>
          <t>KRISTIANSTAD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46294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46294</v>
      </c>
      <c r="F406" t="inlineStr">
        <is>
          <t>SKÅNE LÄN</t>
        </is>
      </c>
      <c r="G406" t="inlineStr">
        <is>
          <t>KRISTIANSTAD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46294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46294</v>
      </c>
      <c r="F408" t="inlineStr">
        <is>
          <t>SKÅNE LÄN</t>
        </is>
      </c>
      <c r="G408" t="inlineStr">
        <is>
          <t>KRISTIANSTAD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46294</v>
      </c>
      <c r="F409" t="inlineStr">
        <is>
          <t>SKÅNE LÄN</t>
        </is>
      </c>
      <c r="G409" t="inlineStr">
        <is>
          <t>KRISTIANSTAD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46294</v>
      </c>
      <c r="F410" t="inlineStr">
        <is>
          <t>SKÅNE LÄN</t>
        </is>
      </c>
      <c r="G410" t="inlineStr">
        <is>
          <t>KRISTIANSTAD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46294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10062-2024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45364</v>
      </c>
      <c r="E412" s="1" t="n">
        <v>46294</v>
      </c>
      <c r="F412" t="inlineStr">
        <is>
          <t>SKÅNE LÄN</t>
        </is>
      </c>
      <c r="G412" t="inlineStr">
        <is>
          <t>KRISTIANSTAD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46294</v>
      </c>
      <c r="F413" t="inlineStr">
        <is>
          <t>SKÅNE LÄN</t>
        </is>
      </c>
      <c r="G413" t="inlineStr">
        <is>
          <t>KRISTIANSTAD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46294</v>
      </c>
      <c r="F414" t="inlineStr">
        <is>
          <t>SKÅNE LÄN</t>
        </is>
      </c>
      <c r="G414" t="inlineStr">
        <is>
          <t>KRISTIANSTAD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46294</v>
      </c>
      <c r="F415" t="inlineStr">
        <is>
          <t>SKÅNE LÄN</t>
        </is>
      </c>
      <c r="G415" t="inlineStr">
        <is>
          <t>KRISTIANSTAD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44774</v>
      </c>
      <c r="E416" s="1" t="n">
        <v>46294</v>
      </c>
      <c r="F416" t="inlineStr">
        <is>
          <t>SKÅNE LÄN</t>
        </is>
      </c>
      <c r="G416" t="inlineStr">
        <is>
          <t>KRISTIANSTAD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46294</v>
      </c>
      <c r="F417" t="inlineStr">
        <is>
          <t>SKÅNE LÄN</t>
        </is>
      </c>
      <c r="G417" t="inlineStr">
        <is>
          <t>KRISTIANSTAD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45987</v>
      </c>
      <c r="E418" s="1" t="n">
        <v>46294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45485</v>
      </c>
      <c r="E419" s="1" t="n">
        <v>46294</v>
      </c>
      <c r="F419" t="inlineStr">
        <is>
          <t>SKÅNE LÄN</t>
        </is>
      </c>
      <c r="G419" t="inlineStr">
        <is>
          <t>KRISTIANSTAD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46294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46294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46294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46294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46294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46294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9.199999999999999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46294</v>
      </c>
      <c r="F426" t="inlineStr">
        <is>
          <t>SKÅNE LÄN</t>
        </is>
      </c>
      <c r="G426" t="inlineStr">
        <is>
          <t>KRISTIANSTAD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45121</v>
      </c>
      <c r="E427" s="1" t="n">
        <v>46294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45583</v>
      </c>
      <c r="E428" s="1" t="n">
        <v>46294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44847</v>
      </c>
      <c r="E429" s="1" t="n">
        <v>46294</v>
      </c>
      <c r="F429" t="inlineStr">
        <is>
          <t>SKÅNE LÄN</t>
        </is>
      </c>
      <c r="G429" t="inlineStr">
        <is>
          <t>KRISTIANSTAD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64626-2023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46294</v>
      </c>
      <c r="F430" t="inlineStr">
        <is>
          <t>SKÅNE LÄN</t>
        </is>
      </c>
      <c r="G430" t="inlineStr">
        <is>
          <t>KRISTIANSTAD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46294</v>
      </c>
      <c r="F431" t="inlineStr">
        <is>
          <t>SKÅNE LÄN</t>
        </is>
      </c>
      <c r="G431" t="inlineStr">
        <is>
          <t>KRISTIANSTAD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46294</v>
      </c>
      <c r="F432" t="inlineStr">
        <is>
          <t>SKÅNE LÄN</t>
        </is>
      </c>
      <c r="G432" t="inlineStr">
        <is>
          <t>KRISTIANSTAD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54458-2023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45226</v>
      </c>
      <c r="E433" s="1" t="n">
        <v>46294</v>
      </c>
      <c r="F433" t="inlineStr">
        <is>
          <t>SKÅNE LÄN</t>
        </is>
      </c>
      <c r="G433" t="inlineStr">
        <is>
          <t>KRISTIANSTAD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45668</v>
      </c>
      <c r="E434" s="1" t="n">
        <v>46294</v>
      </c>
      <c r="F434" t="inlineStr">
        <is>
          <t>SKÅNE LÄN</t>
        </is>
      </c>
      <c r="G434" t="inlineStr">
        <is>
          <t>KRISTIANSTAD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48693-2022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46294</v>
      </c>
      <c r="F435" t="inlineStr">
        <is>
          <t>SKÅNE LÄN</t>
        </is>
      </c>
      <c r="G435" t="inlineStr">
        <is>
          <t>KRISTIANSTAD</t>
        </is>
      </c>
      <c r="I435" t="n">
        <v>6.4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45098</v>
      </c>
      <c r="E436" s="1" t="n">
        <v>46294</v>
      </c>
      <c r="F436" t="inlineStr">
        <is>
          <t>SKÅNE LÄN</t>
        </is>
      </c>
      <c r="G436" t="inlineStr">
        <is>
          <t>KRISTIANSTAD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46294</v>
      </c>
      <c r="F437" t="inlineStr">
        <is>
          <t>SKÅNE LÄN</t>
        </is>
      </c>
      <c r="G437" t="inlineStr">
        <is>
          <t>KRISTIANSTAD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39898-2023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46294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46294</v>
      </c>
      <c r="F439" t="inlineStr">
        <is>
          <t>SKÅNE LÄN</t>
        </is>
      </c>
      <c r="G439" t="inlineStr">
        <is>
          <t>KRISTIANSTAD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45258</v>
      </c>
      <c r="E440" s="1" t="n">
        <v>46294</v>
      </c>
      <c r="F440" t="inlineStr">
        <is>
          <t>SKÅNE LÄN</t>
        </is>
      </c>
      <c r="G440" t="inlineStr">
        <is>
          <t>KRISTIANSTAD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44595</v>
      </c>
      <c r="E441" s="1" t="n">
        <v>46294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46294</v>
      </c>
      <c r="F442" t="inlineStr">
        <is>
          <t>SKÅNE LÄN</t>
        </is>
      </c>
      <c r="G442" t="inlineStr">
        <is>
          <t>KRISTIANSTAD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16131-2023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45027</v>
      </c>
      <c r="E443" s="1" t="n">
        <v>46294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45144</v>
      </c>
      <c r="E444" s="1" t="n">
        <v>46294</v>
      </c>
      <c r="F444" t="inlineStr">
        <is>
          <t>SKÅNE LÄN</t>
        </is>
      </c>
      <c r="G444" t="inlineStr">
        <is>
          <t>KRISTIANSTAD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45144</v>
      </c>
      <c r="E445" s="1" t="n">
        <v>46294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45331</v>
      </c>
      <c r="E446" s="1" t="n">
        <v>46294</v>
      </c>
      <c r="F446" t="inlineStr">
        <is>
          <t>SKÅNE LÄN</t>
        </is>
      </c>
      <c r="G446" t="inlineStr">
        <is>
          <t>KRISTIANSTAD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45338</v>
      </c>
      <c r="E447" s="1" t="n">
        <v>46294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45755</v>
      </c>
      <c r="E448" s="1" t="n">
        <v>46294</v>
      </c>
      <c r="F448" t="inlineStr">
        <is>
          <t>SKÅNE LÄN</t>
        </is>
      </c>
      <c r="G448" t="inlineStr">
        <is>
          <t>KRISTIANSTAD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45083</v>
      </c>
      <c r="E449" s="1" t="n">
        <v>46294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46294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17400-2023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45035</v>
      </c>
      <c r="E451" s="1" t="n">
        <v>46294</v>
      </c>
      <c r="F451" t="inlineStr">
        <is>
          <t>SKÅNE LÄN</t>
        </is>
      </c>
      <c r="G451" t="inlineStr">
        <is>
          <t>KRISTIANSTAD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46294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38021-2023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45159</v>
      </c>
      <c r="E453" s="1" t="n">
        <v>46294</v>
      </c>
      <c r="F453" t="inlineStr">
        <is>
          <t>SKÅNE LÄN</t>
        </is>
      </c>
      <c r="G453" t="inlineStr">
        <is>
          <t>KRISTIANSTAD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45894</v>
      </c>
      <c r="E454" s="1" t="n">
        <v>46294</v>
      </c>
      <c r="F454" t="inlineStr">
        <is>
          <t>SKÅNE LÄN</t>
        </is>
      </c>
      <c r="G454" t="inlineStr">
        <is>
          <t>KRISTIANSTAD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46294</v>
      </c>
      <c r="F455" t="inlineStr">
        <is>
          <t>SKÅNE LÄN</t>
        </is>
      </c>
      <c r="G455" t="inlineStr">
        <is>
          <t>KRISTIANSTAD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11531-2026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46083</v>
      </c>
      <c r="E456" s="1" t="n">
        <v>46294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45894</v>
      </c>
      <c r="E457" s="1" t="n">
        <v>46294</v>
      </c>
      <c r="F457" t="inlineStr">
        <is>
          <t>SKÅNE LÄN</t>
        </is>
      </c>
      <c r="G457" t="inlineStr">
        <is>
          <t>KRISTIANSTAD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45894</v>
      </c>
      <c r="E458" s="1" t="n">
        <v>46294</v>
      </c>
      <c r="F458" t="inlineStr">
        <is>
          <t>SKÅNE LÄN</t>
        </is>
      </c>
      <c r="G458" t="inlineStr">
        <is>
          <t>KRISTIANSTAD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46294</v>
      </c>
      <c r="F459" t="inlineStr">
        <is>
          <t>SKÅNE LÄN</t>
        </is>
      </c>
      <c r="G459" t="inlineStr">
        <is>
          <t>KRISTIANSTAD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46294</v>
      </c>
      <c r="F460" t="inlineStr">
        <is>
          <t>SKÅNE LÄN</t>
        </is>
      </c>
      <c r="G460" t="inlineStr">
        <is>
          <t>KRISTIANSTAD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45083</v>
      </c>
      <c r="E461" s="1" t="n">
        <v>46294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47652-2023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45198</v>
      </c>
      <c r="E462" s="1" t="n">
        <v>46294</v>
      </c>
      <c r="F462" t="inlineStr">
        <is>
          <t>SKÅNE LÄN</t>
        </is>
      </c>
      <c r="G462" t="inlineStr">
        <is>
          <t>KRISTIANSTAD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72100-2021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44544</v>
      </c>
      <c r="E463" s="1" t="n">
        <v>46294</v>
      </c>
      <c r="F463" t="inlineStr">
        <is>
          <t>SKÅNE LÄN</t>
        </is>
      </c>
      <c r="G463" t="inlineStr">
        <is>
          <t>KRISTIANSTAD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45511</v>
      </c>
      <c r="E464" s="1" t="n">
        <v>46294</v>
      </c>
      <c r="F464" t="inlineStr">
        <is>
          <t>SKÅNE LÄN</t>
        </is>
      </c>
      <c r="G464" t="inlineStr">
        <is>
          <t>KRISTIANSTAD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45728-2022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44846</v>
      </c>
      <c r="E465" s="1" t="n">
        <v>46294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48173-2024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45589</v>
      </c>
      <c r="E466" s="1" t="n">
        <v>46294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45577</v>
      </c>
      <c r="E467" s="1" t="n">
        <v>46294</v>
      </c>
      <c r="F467" t="inlineStr">
        <is>
          <t>SKÅNE LÄN</t>
        </is>
      </c>
      <c r="G467" t="inlineStr">
        <is>
          <t>KRISTIANSTAD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40145-2024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45554</v>
      </c>
      <c r="E468" s="1" t="n">
        <v>46294</v>
      </c>
      <c r="F468" t="inlineStr">
        <is>
          <t>SKÅNE LÄN</t>
        </is>
      </c>
      <c r="G468" t="inlineStr">
        <is>
          <t>KRISTIANSTAD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45533</v>
      </c>
      <c r="E469" s="1" t="n">
        <v>46294</v>
      </c>
      <c r="F469" t="inlineStr">
        <is>
          <t>SKÅNE LÄN</t>
        </is>
      </c>
      <c r="G469" t="inlineStr">
        <is>
          <t>KRISTIANSTAD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46294</v>
      </c>
      <c r="F470" t="inlineStr">
        <is>
          <t>SKÅNE LÄN</t>
        </is>
      </c>
      <c r="G470" t="inlineStr">
        <is>
          <t>KRISTIANSTAD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46092</v>
      </c>
      <c r="E471" s="1" t="n">
        <v>46294</v>
      </c>
      <c r="F471" t="inlineStr">
        <is>
          <t>SKÅNE LÄN</t>
        </is>
      </c>
      <c r="G471" t="inlineStr">
        <is>
          <t>KRISTIANSTAD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45729</v>
      </c>
      <c r="E472" s="1" t="n">
        <v>46294</v>
      </c>
      <c r="F472" t="inlineStr">
        <is>
          <t>SKÅNE LÄN</t>
        </is>
      </c>
      <c r="G472" t="inlineStr">
        <is>
          <t>KRISTIANSTAD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46294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46294</v>
      </c>
      <c r="F474" t="inlineStr">
        <is>
          <t>SKÅNE LÄN</t>
        </is>
      </c>
      <c r="G474" t="inlineStr">
        <is>
          <t>KRISTIANSTAD</t>
        </is>
      </c>
      <c r="I474" t="n">
        <v>10.3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45197</v>
      </c>
      <c r="E475" s="1" t="n">
        <v>46294</v>
      </c>
      <c r="F475" t="inlineStr">
        <is>
          <t>SKÅNE LÄN</t>
        </is>
      </c>
      <c r="G475" t="inlineStr">
        <is>
          <t>KRISTIANSTAD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46294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46294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46294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46095-2023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45190</v>
      </c>
      <c r="E479" s="1" t="n">
        <v>46294</v>
      </c>
      <c r="F479" t="inlineStr">
        <is>
          <t>SKÅNE LÄN</t>
        </is>
      </c>
      <c r="G479" t="inlineStr">
        <is>
          <t>KRISTIANSTAD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44984</v>
      </c>
      <c r="E480" s="1" t="n">
        <v>46294</v>
      </c>
      <c r="F480" t="inlineStr">
        <is>
          <t>SKÅNE LÄN</t>
        </is>
      </c>
      <c r="G480" t="inlineStr">
        <is>
          <t>KRISTIANSTAD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49239-2022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44858</v>
      </c>
      <c r="E481" s="1" t="n">
        <v>46294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45226</v>
      </c>
      <c r="E482" s="1" t="n">
        <v>46294</v>
      </c>
      <c r="F482" t="inlineStr">
        <is>
          <t>SKÅNE LÄN</t>
        </is>
      </c>
      <c r="G482" t="inlineStr">
        <is>
          <t>KRISTIANSTAD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44599</v>
      </c>
      <c r="E483" s="1" t="n">
        <v>46294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46294</v>
      </c>
      <c r="F484" t="inlineStr">
        <is>
          <t>SKÅNE LÄN</t>
        </is>
      </c>
      <c r="G484" t="inlineStr">
        <is>
          <t>KRISTIANSTAD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53982-2022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44876</v>
      </c>
      <c r="E485" s="1" t="n">
        <v>46294</v>
      </c>
      <c r="F485" t="inlineStr">
        <is>
          <t>SKÅNE LÄN</t>
        </is>
      </c>
      <c r="G485" t="inlineStr">
        <is>
          <t>KRISTIANSTAD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44915</v>
      </c>
      <c r="E486" s="1" t="n">
        <v>46294</v>
      </c>
      <c r="F486" t="inlineStr">
        <is>
          <t>SKÅNE LÄN</t>
        </is>
      </c>
      <c r="G486" t="inlineStr">
        <is>
          <t>KRISTIANSTAD</t>
        </is>
      </c>
      <c r="H486" t="inlineStr">
        <is>
          <t>Kyrkan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45366</v>
      </c>
      <c r="E487" s="1" t="n">
        <v>46294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45315</v>
      </c>
      <c r="E488" s="1" t="n">
        <v>46294</v>
      </c>
      <c r="F488" t="inlineStr">
        <is>
          <t>SKÅNE LÄN</t>
        </is>
      </c>
      <c r="G488" t="inlineStr">
        <is>
          <t>KRISTIANSTAD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45467</v>
      </c>
      <c r="E489" s="1" t="n">
        <v>46294</v>
      </c>
      <c r="F489" t="inlineStr">
        <is>
          <t>SKÅNE LÄN</t>
        </is>
      </c>
      <c r="G489" t="inlineStr">
        <is>
          <t>KRISTIANSTAD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46294</v>
      </c>
      <c r="F490" t="inlineStr">
        <is>
          <t>SKÅNE LÄN</t>
        </is>
      </c>
      <c r="G490" t="inlineStr">
        <is>
          <t>KRISTIANSTAD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46294</v>
      </c>
      <c r="F491" t="inlineStr">
        <is>
          <t>SKÅNE LÄN</t>
        </is>
      </c>
      <c r="G491" t="inlineStr">
        <is>
          <t>KRISTIANSTAD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46111</v>
      </c>
      <c r="E492" s="1" t="n">
        <v>46294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44795</v>
      </c>
      <c r="E493" s="1" t="n">
        <v>46294</v>
      </c>
      <c r="F493" t="inlineStr">
        <is>
          <t>SKÅNE LÄN</t>
        </is>
      </c>
      <c r="G493" t="inlineStr">
        <is>
          <t>KRISTIANSTAD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13211-2023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45002</v>
      </c>
      <c r="E494" s="1" t="n">
        <v>46294</v>
      </c>
      <c r="F494" t="inlineStr">
        <is>
          <t>SKÅNE LÄN</t>
        </is>
      </c>
      <c r="G494" t="inlineStr">
        <is>
          <t>KRISTIANSTAD</t>
        </is>
      </c>
      <c r="H494" t="inlineStr">
        <is>
          <t>Kyrkan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45755</v>
      </c>
      <c r="E495" s="1" t="n">
        <v>46294</v>
      </c>
      <c r="F495" t="inlineStr">
        <is>
          <t>SKÅNE LÄN</t>
        </is>
      </c>
      <c r="G495" t="inlineStr">
        <is>
          <t>KRISTIANSTAD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45328</v>
      </c>
      <c r="E496" s="1" t="n">
        <v>46294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60474-2022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44904</v>
      </c>
      <c r="E497" s="1" t="n">
        <v>46294</v>
      </c>
      <c r="F497" t="inlineStr">
        <is>
          <t>SKÅNE LÄN</t>
        </is>
      </c>
      <c r="G497" t="inlineStr">
        <is>
          <t>KRISTIANSTAD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46294</v>
      </c>
      <c r="F498" t="inlineStr">
        <is>
          <t>SKÅNE LÄN</t>
        </is>
      </c>
      <c r="G498" t="inlineStr">
        <is>
          <t>KRISTIANSTAD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46504-2022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46294</v>
      </c>
      <c r="F499" t="inlineStr">
        <is>
          <t>SKÅNE LÄN</t>
        </is>
      </c>
      <c r="G499" t="inlineStr">
        <is>
          <t>KRISTIANSTAD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46294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46294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46294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46294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18735-2024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45426</v>
      </c>
      <c r="E504" s="1" t="n">
        <v>46294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44918</v>
      </c>
      <c r="E505" s="1" t="n">
        <v>46294</v>
      </c>
      <c r="F505" t="inlineStr">
        <is>
          <t>SKÅNE LÄN</t>
        </is>
      </c>
      <c r="G505" t="inlineStr">
        <is>
          <t>KRISTIANSTAD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46129</v>
      </c>
      <c r="E506" s="1" t="n">
        <v>46294</v>
      </c>
      <c r="F506" t="inlineStr">
        <is>
          <t>SKÅNE LÄN</t>
        </is>
      </c>
      <c r="G506" t="inlineStr">
        <is>
          <t>KRISTIANSTAD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45049</v>
      </c>
      <c r="E507" s="1" t="n">
        <v>46294</v>
      </c>
      <c r="F507" t="inlineStr">
        <is>
          <t>SKÅNE LÄN</t>
        </is>
      </c>
      <c r="G507" t="inlineStr">
        <is>
          <t>KRISTIANSTAD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45386</v>
      </c>
      <c r="E508" s="1" t="n">
        <v>46294</v>
      </c>
      <c r="F508" t="inlineStr">
        <is>
          <t>SKÅNE LÄN</t>
        </is>
      </c>
      <c r="G508" t="inlineStr">
        <is>
          <t>KRISTIANSTAD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45377</v>
      </c>
      <c r="E509" s="1" t="n">
        <v>46294</v>
      </c>
      <c r="F509" t="inlineStr">
        <is>
          <t>SKÅNE LÄN</t>
        </is>
      </c>
      <c r="G509" t="inlineStr">
        <is>
          <t>KRISTIANSTAD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13952-2025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45737</v>
      </c>
      <c r="E510" s="1" t="n">
        <v>46294</v>
      </c>
      <c r="F510" t="inlineStr">
        <is>
          <t>SKÅNE LÄN</t>
        </is>
      </c>
      <c r="G510" t="inlineStr">
        <is>
          <t>KRISTIANSTAD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13972-2025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45738</v>
      </c>
      <c r="E511" s="1" t="n">
        <v>46294</v>
      </c>
      <c r="F511" t="inlineStr">
        <is>
          <t>SKÅNE LÄN</t>
        </is>
      </c>
      <c r="G511" t="inlineStr">
        <is>
          <t>KRISTIANSTAD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46294</v>
      </c>
      <c r="F512" t="inlineStr">
        <is>
          <t>SKÅNE LÄN</t>
        </is>
      </c>
      <c r="G512" t="inlineStr">
        <is>
          <t>KRISTIANSTAD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50516-2022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44866</v>
      </c>
      <c r="E513" s="1" t="n">
        <v>46294</v>
      </c>
      <c r="F513" t="inlineStr">
        <is>
          <t>SKÅNE LÄN</t>
        </is>
      </c>
      <c r="G513" t="inlineStr">
        <is>
          <t>KRISTIANSTAD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46294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11012-2024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46294</v>
      </c>
      <c r="F515" t="inlineStr">
        <is>
          <t>SKÅNE LÄN</t>
        </is>
      </c>
      <c r="G515" t="inlineStr">
        <is>
          <t>KRISTIANSTAD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44923</v>
      </c>
      <c r="E516" s="1" t="n">
        <v>46294</v>
      </c>
      <c r="F516" t="inlineStr">
        <is>
          <t>SKÅNE LÄN</t>
        </is>
      </c>
      <c r="G516" t="inlineStr">
        <is>
          <t>KRISTIANSTAD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46294</v>
      </c>
      <c r="F517" t="inlineStr">
        <is>
          <t>SKÅNE LÄN</t>
        </is>
      </c>
      <c r="G517" t="inlineStr">
        <is>
          <t>KRISTIANSTAD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24930-2024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45461</v>
      </c>
      <c r="E518" s="1" t="n">
        <v>46294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11505-2023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44993</v>
      </c>
      <c r="E519" s="1" t="n">
        <v>46294</v>
      </c>
      <c r="F519" t="inlineStr">
        <is>
          <t>SKÅNE LÄN</t>
        </is>
      </c>
      <c r="G519" t="inlineStr">
        <is>
          <t>KRISTIANSTAD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50294-2024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45600</v>
      </c>
      <c r="E520" s="1" t="n">
        <v>46294</v>
      </c>
      <c r="F520" t="inlineStr">
        <is>
          <t>SKÅNE LÄN</t>
        </is>
      </c>
      <c r="G520" t="inlineStr">
        <is>
          <t>KRISTIANSTAD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46294</v>
      </c>
      <c r="F521" t="inlineStr">
        <is>
          <t>SKÅNE LÄN</t>
        </is>
      </c>
      <c r="G521" t="inlineStr">
        <is>
          <t>KRISTIANSTAD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61147-2021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44497</v>
      </c>
      <c r="E522" s="1" t="n">
        <v>46294</v>
      </c>
      <c r="F522" t="inlineStr">
        <is>
          <t>SKÅNE LÄN</t>
        </is>
      </c>
      <c r="G522" t="inlineStr">
        <is>
          <t>KRISTIANSTAD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20302-2026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46136</v>
      </c>
      <c r="E523" s="1" t="n">
        <v>46294</v>
      </c>
      <c r="F523" t="inlineStr">
        <is>
          <t>SKÅNE LÄN</t>
        </is>
      </c>
      <c r="G523" t="inlineStr">
        <is>
          <t>KRISTIANSTAD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45337</v>
      </c>
      <c r="E524" s="1" t="n">
        <v>46294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40037-2022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44818</v>
      </c>
      <c r="E525" s="1" t="n">
        <v>46294</v>
      </c>
      <c r="F525" t="inlineStr">
        <is>
          <t>SKÅNE LÄN</t>
        </is>
      </c>
      <c r="G525" t="inlineStr">
        <is>
          <t>KRISTIANSTAD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44853</v>
      </c>
      <c r="E526" s="1" t="n">
        <v>46294</v>
      </c>
      <c r="F526" t="inlineStr">
        <is>
          <t>SKÅNE LÄN</t>
        </is>
      </c>
      <c r="G526" t="inlineStr">
        <is>
          <t>KRISTIANSTAD</t>
        </is>
      </c>
      <c r="H526" t="inlineStr">
        <is>
          <t>Kyrkan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18146-2022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44684</v>
      </c>
      <c r="E527" s="1" t="n">
        <v>46294</v>
      </c>
      <c r="F527" t="inlineStr">
        <is>
          <t>SKÅNE LÄN</t>
        </is>
      </c>
      <c r="G527" t="inlineStr">
        <is>
          <t>KRISTIANSTAD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48217-2022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44853</v>
      </c>
      <c r="E528" s="1" t="n">
        <v>46294</v>
      </c>
      <c r="F528" t="inlineStr">
        <is>
          <t>SKÅNE LÄN</t>
        </is>
      </c>
      <c r="G528" t="inlineStr">
        <is>
          <t>KRISTIANSTAD</t>
        </is>
      </c>
      <c r="H528" t="inlineStr">
        <is>
          <t>Kyrkan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46294</v>
      </c>
      <c r="F529" t="inlineStr">
        <is>
          <t>SKÅNE LÄN</t>
        </is>
      </c>
      <c r="G529" t="inlineStr">
        <is>
          <t>KRISTIANSTAD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45337</v>
      </c>
      <c r="E530" s="1" t="n">
        <v>46294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45749</v>
      </c>
      <c r="E531" s="1" t="n">
        <v>46294</v>
      </c>
      <c r="F531" t="inlineStr">
        <is>
          <t>SKÅNE LÄN</t>
        </is>
      </c>
      <c r="G531" t="inlineStr">
        <is>
          <t>KRISTIANSTAD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46294</v>
      </c>
      <c r="F532" t="inlineStr">
        <is>
          <t>SKÅNE LÄN</t>
        </is>
      </c>
      <c r="G532" t="inlineStr">
        <is>
          <t>KRISTIANSTAD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42248-2023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45180</v>
      </c>
      <c r="E533" s="1" t="n">
        <v>46294</v>
      </c>
      <c r="F533" t="inlineStr">
        <is>
          <t>SKÅNE LÄN</t>
        </is>
      </c>
      <c r="G533" t="inlineStr">
        <is>
          <t>KRISTIANSTAD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45307</v>
      </c>
      <c r="E534" s="1" t="n">
        <v>46294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46525-2023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45197</v>
      </c>
      <c r="E535" s="1" t="n">
        <v>46294</v>
      </c>
      <c r="F535" t="inlineStr">
        <is>
          <t>SKÅNE LÄN</t>
        </is>
      </c>
      <c r="G535" t="inlineStr">
        <is>
          <t>KRISTIANSTAD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53466-2022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44879</v>
      </c>
      <c r="E536" s="1" t="n">
        <v>46294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46294</v>
      </c>
      <c r="F537" t="inlineStr">
        <is>
          <t>SKÅNE LÄN</t>
        </is>
      </c>
      <c r="G537" t="inlineStr">
        <is>
          <t>KRISTIANSTAD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45012</v>
      </c>
      <c r="E538" s="1" t="n">
        <v>46294</v>
      </c>
      <c r="F538" t="inlineStr">
        <is>
          <t>SKÅNE LÄN</t>
        </is>
      </c>
      <c r="G538" t="inlineStr">
        <is>
          <t>KRISTIANSTAD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45482</v>
      </c>
      <c r="E539" s="1" t="n">
        <v>46294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6597-2025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45700</v>
      </c>
      <c r="E540" s="1" t="n">
        <v>46294</v>
      </c>
      <c r="F540" t="inlineStr">
        <is>
          <t>SKÅNE LÄN</t>
        </is>
      </c>
      <c r="G540" t="inlineStr">
        <is>
          <t>KRISTIANSTAD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20651-2026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46141</v>
      </c>
      <c r="E541" s="1" t="n">
        <v>46294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45648</v>
      </c>
      <c r="E542" s="1" t="n">
        <v>46294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44816</v>
      </c>
      <c r="E543" s="1" t="n">
        <v>46294</v>
      </c>
      <c r="F543" t="inlineStr">
        <is>
          <t>SKÅNE LÄN</t>
        </is>
      </c>
      <c r="G543" t="inlineStr">
        <is>
          <t>KRISTIANSTAD</t>
        </is>
      </c>
      <c r="I543" t="n">
        <v>17.1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45664</v>
      </c>
      <c r="E544" s="1" t="n">
        <v>46294</v>
      </c>
      <c r="F544" t="inlineStr">
        <is>
          <t>SKÅNE LÄN</t>
        </is>
      </c>
      <c r="G544" t="inlineStr">
        <is>
          <t>KRISTIANSTAD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45455</v>
      </c>
      <c r="E545" s="1" t="n">
        <v>46294</v>
      </c>
      <c r="F545" t="inlineStr">
        <is>
          <t>SKÅNE LÄN</t>
        </is>
      </c>
      <c r="G545" t="inlineStr">
        <is>
          <t>KRISTIANSTAD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45343</v>
      </c>
      <c r="E546" s="1" t="n">
        <v>46294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45149</v>
      </c>
      <c r="E547" s="1" t="n">
        <v>46294</v>
      </c>
      <c r="F547" t="inlineStr">
        <is>
          <t>SKÅNE LÄN</t>
        </is>
      </c>
      <c r="G547" t="inlineStr">
        <is>
          <t>KRISTIANSTAD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45232</v>
      </c>
      <c r="E548" s="1" t="n">
        <v>46294</v>
      </c>
      <c r="F548" t="inlineStr">
        <is>
          <t>SKÅNE LÄN</t>
        </is>
      </c>
      <c r="G548" t="inlineStr">
        <is>
          <t>KRISTIANSTAD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45311</v>
      </c>
      <c r="E549" s="1" t="n">
        <v>46294</v>
      </c>
      <c r="F549" t="inlineStr">
        <is>
          <t>SKÅNE LÄN</t>
        </is>
      </c>
      <c r="G549" t="inlineStr">
        <is>
          <t>KRISTIANSTAD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46294</v>
      </c>
      <c r="F550" t="inlineStr">
        <is>
          <t>SKÅNE LÄN</t>
        </is>
      </c>
      <c r="G550" t="inlineStr">
        <is>
          <t>KRISTIANSTAD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44363-2024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45573</v>
      </c>
      <c r="E551" s="1" t="n">
        <v>46294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45144</v>
      </c>
      <c r="E552" s="1" t="n">
        <v>46294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45412</v>
      </c>
      <c r="E553" s="1" t="n">
        <v>46294</v>
      </c>
      <c r="F553" t="inlineStr">
        <is>
          <t>SKÅNE LÄN</t>
        </is>
      </c>
      <c r="G553" t="inlineStr">
        <is>
          <t>KRISTIANSTAD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47231-2024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45586</v>
      </c>
      <c r="E554" s="1" t="n">
        <v>46294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45526</v>
      </c>
      <c r="E555" s="1" t="n">
        <v>46294</v>
      </c>
      <c r="F555" t="inlineStr">
        <is>
          <t>SKÅNE LÄN</t>
        </is>
      </c>
      <c r="G555" t="inlineStr">
        <is>
          <t>KRISTIANSTAD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8455-2025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45709</v>
      </c>
      <c r="E556" s="1" t="n">
        <v>46294</v>
      </c>
      <c r="F556" t="inlineStr">
        <is>
          <t>SKÅNE LÄN</t>
        </is>
      </c>
      <c r="G556" t="inlineStr">
        <is>
          <t>KRISTIANSTAD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11067-2022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44628</v>
      </c>
      <c r="E557" s="1" t="n">
        <v>46294</v>
      </c>
      <c r="F557" t="inlineStr">
        <is>
          <t>SKÅNE LÄN</t>
        </is>
      </c>
      <c r="G557" t="inlineStr">
        <is>
          <t>KRISTIANSTAD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8807-2025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45712</v>
      </c>
      <c r="E558" s="1" t="n">
        <v>46294</v>
      </c>
      <c r="F558" t="inlineStr">
        <is>
          <t>SKÅNE LÄN</t>
        </is>
      </c>
      <c r="G558" t="inlineStr">
        <is>
          <t>KRISTIANSTAD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46294</v>
      </c>
      <c r="F559" t="inlineStr">
        <is>
          <t>SKÅNE LÄN</t>
        </is>
      </c>
      <c r="G559" t="inlineStr">
        <is>
          <t>KRISTIANSTAD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16565-2024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46294</v>
      </c>
      <c r="F560" t="inlineStr">
        <is>
          <t>SKÅNE LÄN</t>
        </is>
      </c>
      <c r="G560" t="inlineStr">
        <is>
          <t>KRISTIANSTAD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45573</v>
      </c>
      <c r="E561" s="1" t="n">
        <v>46294</v>
      </c>
      <c r="F561" t="inlineStr">
        <is>
          <t>SKÅNE LÄN</t>
        </is>
      </c>
      <c r="G561" t="inlineStr">
        <is>
          <t>KRISTIANSTAD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22083-2026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46149</v>
      </c>
      <c r="E562" s="1" t="n">
        <v>46294</v>
      </c>
      <c r="F562" t="inlineStr">
        <is>
          <t>SKÅNE LÄN</t>
        </is>
      </c>
      <c r="G562" t="inlineStr">
        <is>
          <t>KRISTIANSTAD</t>
        </is>
      </c>
      <c r="I562" t="n">
        <v>10.1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45398</v>
      </c>
      <c r="E563" s="1" t="n">
        <v>46294</v>
      </c>
      <c r="F563" t="inlineStr">
        <is>
          <t>SKÅNE LÄN</t>
        </is>
      </c>
      <c r="G563" t="inlineStr">
        <is>
          <t>KRISTIANSTAD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19880-2023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45054</v>
      </c>
      <c r="E564" s="1" t="n">
        <v>46294</v>
      </c>
      <c r="F564" t="inlineStr">
        <is>
          <t>SKÅNE LÄN</t>
        </is>
      </c>
      <c r="G564" t="inlineStr">
        <is>
          <t>KRISTIANSTAD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45609-2023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45194</v>
      </c>
      <c r="E565" s="1" t="n">
        <v>46294</v>
      </c>
      <c r="F565" t="inlineStr">
        <is>
          <t>SKÅNE LÄN</t>
        </is>
      </c>
      <c r="G565" t="inlineStr">
        <is>
          <t>KRISTIANSTAD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46294</v>
      </c>
      <c r="F566" t="inlineStr">
        <is>
          <t>SKÅNE LÄN</t>
        </is>
      </c>
      <c r="G566" t="inlineStr">
        <is>
          <t>KRISTIANSTAD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46150</v>
      </c>
      <c r="E567" s="1" t="n">
        <v>46294</v>
      </c>
      <c r="F567" t="inlineStr">
        <is>
          <t>SKÅNE LÄN</t>
        </is>
      </c>
      <c r="G567" t="inlineStr">
        <is>
          <t>KRISTIANSTAD</t>
        </is>
      </c>
      <c r="H567" t="inlineStr">
        <is>
          <t>Kommuner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46294</v>
      </c>
      <c r="F568" t="inlineStr">
        <is>
          <t>SKÅNE LÄN</t>
        </is>
      </c>
      <c r="G568" t="inlineStr">
        <is>
          <t>KRISTIANSTAD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46294</v>
      </c>
      <c r="F569" t="inlineStr">
        <is>
          <t>SKÅNE LÄN</t>
        </is>
      </c>
      <c r="G569" t="inlineStr">
        <is>
          <t>KRISTIANSTAD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10961-2025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46294</v>
      </c>
      <c r="F570" t="inlineStr">
        <is>
          <t>SKÅNE LÄN</t>
        </is>
      </c>
      <c r="G570" t="inlineStr">
        <is>
          <t>KRISTIANSTAD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45306</v>
      </c>
      <c r="E571" s="1" t="n">
        <v>46294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45307</v>
      </c>
      <c r="E572" s="1" t="n">
        <v>46294</v>
      </c>
      <c r="F572" t="inlineStr">
        <is>
          <t>SKÅNE LÄN</t>
        </is>
      </c>
      <c r="G572" t="inlineStr">
        <is>
          <t>KRISTIANSTAD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45493</v>
      </c>
      <c r="E573" s="1" t="n">
        <v>46294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45387</v>
      </c>
      <c r="E574" s="1" t="n">
        <v>46294</v>
      </c>
      <c r="F574" t="inlineStr">
        <is>
          <t>SKÅNE LÄN</t>
        </is>
      </c>
      <c r="G574" t="inlineStr">
        <is>
          <t>KRISTIANSTAD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36907-2025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46294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45898</v>
      </c>
      <c r="E576" s="1" t="n">
        <v>46294</v>
      </c>
      <c r="F576" t="inlineStr">
        <is>
          <t>SKÅNE LÄN</t>
        </is>
      </c>
      <c r="G576" t="inlineStr">
        <is>
          <t>KRISTIANSTAD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27590-2024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45474</v>
      </c>
      <c r="E577" s="1" t="n">
        <v>46294</v>
      </c>
      <c r="F577" t="inlineStr">
        <is>
          <t>SKÅNE LÄN</t>
        </is>
      </c>
      <c r="G577" t="inlineStr">
        <is>
          <t>KRISTIANSTAD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45189</v>
      </c>
      <c r="E578" s="1" t="n">
        <v>46294</v>
      </c>
      <c r="F578" t="inlineStr">
        <is>
          <t>SKÅNE LÄN</t>
        </is>
      </c>
      <c r="G578" t="inlineStr">
        <is>
          <t>KRISTIANSTAD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23497-2024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45453</v>
      </c>
      <c r="E579" s="1" t="n">
        <v>46294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46294</v>
      </c>
      <c r="F580" t="inlineStr">
        <is>
          <t>SKÅNE LÄN</t>
        </is>
      </c>
      <c r="G580" t="inlineStr">
        <is>
          <t>KRISTIANSTAD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64835-2023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45282</v>
      </c>
      <c r="E581" s="1" t="n">
        <v>46294</v>
      </c>
      <c r="F581" t="inlineStr">
        <is>
          <t>SKÅNE LÄN</t>
        </is>
      </c>
      <c r="G581" t="inlineStr">
        <is>
          <t>KRISTIANSTAD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46294</v>
      </c>
      <c r="F582" t="inlineStr">
        <is>
          <t>SKÅNE LÄN</t>
        </is>
      </c>
      <c r="G582" t="inlineStr">
        <is>
          <t>KRISTIANSTAD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2472-2022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44579</v>
      </c>
      <c r="E583" s="1" t="n">
        <v>46294</v>
      </c>
      <c r="F583" t="inlineStr">
        <is>
          <t>SKÅNE LÄN</t>
        </is>
      </c>
      <c r="G583" t="inlineStr">
        <is>
          <t>KRISTIANSTAD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63561-2023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46294</v>
      </c>
      <c r="F584" t="inlineStr">
        <is>
          <t>SKÅNE LÄN</t>
        </is>
      </c>
      <c r="G584" t="inlineStr">
        <is>
          <t>KRISTIANSTAD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13954-2025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45737</v>
      </c>
      <c r="E585" s="1" t="n">
        <v>46294</v>
      </c>
      <c r="F585" t="inlineStr">
        <is>
          <t>SKÅNE LÄN</t>
        </is>
      </c>
      <c r="G585" t="inlineStr">
        <is>
          <t>KRISTIANSTAD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61550-2023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45265</v>
      </c>
      <c r="E586" s="1" t="n">
        <v>46294</v>
      </c>
      <c r="F586" t="inlineStr">
        <is>
          <t>SKÅNE LÄN</t>
        </is>
      </c>
      <c r="G586" t="inlineStr">
        <is>
          <t>KRISTIANSTAD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56633-2022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46294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44729</v>
      </c>
      <c r="E588" s="1" t="n">
        <v>46294</v>
      </c>
      <c r="F588" t="inlineStr">
        <is>
          <t>SKÅNE LÄN</t>
        </is>
      </c>
      <c r="G588" t="inlineStr">
        <is>
          <t>KRISTIANSTAD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46169</v>
      </c>
      <c r="E589" s="1" t="n">
        <v>46294</v>
      </c>
      <c r="F589" t="inlineStr">
        <is>
          <t>SKÅNE LÄN</t>
        </is>
      </c>
      <c r="G589" t="inlineStr">
        <is>
          <t>KRISTIANSTAD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45903</v>
      </c>
      <c r="E590" s="1" t="n">
        <v>46294</v>
      </c>
      <c r="F590" t="inlineStr">
        <is>
          <t>SKÅNE LÄN</t>
        </is>
      </c>
      <c r="G590" t="inlineStr">
        <is>
          <t>KRISTIANSTAD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45336</v>
      </c>
      <c r="E591" s="1" t="n">
        <v>46294</v>
      </c>
      <c r="F591" t="inlineStr">
        <is>
          <t>SKÅNE LÄN</t>
        </is>
      </c>
      <c r="G591" t="inlineStr">
        <is>
          <t>KRISTIANSTAD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45420</v>
      </c>
      <c r="E592" s="1" t="n">
        <v>46294</v>
      </c>
      <c r="F592" t="inlineStr">
        <is>
          <t>SKÅNE LÄN</t>
        </is>
      </c>
      <c r="G592" t="inlineStr">
        <is>
          <t>KRISTIANSTAD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45079</v>
      </c>
      <c r="E593" s="1" t="n">
        <v>46294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45315</v>
      </c>
      <c r="E594" s="1" t="n">
        <v>46294</v>
      </c>
      <c r="F594" t="inlineStr">
        <is>
          <t>SKÅNE LÄN</t>
        </is>
      </c>
      <c r="G594" t="inlineStr">
        <is>
          <t>KRISTIANSTAD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45120</v>
      </c>
      <c r="E595" s="1" t="n">
        <v>46294</v>
      </c>
      <c r="F595" t="inlineStr">
        <is>
          <t>SKÅNE LÄN</t>
        </is>
      </c>
      <c r="G595" t="inlineStr">
        <is>
          <t>KRISTIANSTAD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45763</v>
      </c>
      <c r="E596" s="1" t="n">
        <v>46294</v>
      </c>
      <c r="F596" t="inlineStr">
        <is>
          <t>SKÅNE LÄN</t>
        </is>
      </c>
      <c r="G596" t="inlineStr">
        <is>
          <t>KRISTIANSTAD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45307</v>
      </c>
      <c r="E597" s="1" t="n">
        <v>46294</v>
      </c>
      <c r="F597" t="inlineStr">
        <is>
          <t>SKÅNE LÄN</t>
        </is>
      </c>
      <c r="G597" t="inlineStr">
        <is>
          <t>KRISTIANSTAD</t>
        </is>
      </c>
      <c r="H597" t="inlineStr">
        <is>
          <t>Övriga Aktiebolag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13070-2023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45002</v>
      </c>
      <c r="E598" s="1" t="n">
        <v>46294</v>
      </c>
      <c r="F598" t="inlineStr">
        <is>
          <t>SKÅNE LÄN</t>
        </is>
      </c>
      <c r="G598" t="inlineStr">
        <is>
          <t>KRISTIANSTAD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45658-2024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45579</v>
      </c>
      <c r="E599" s="1" t="n">
        <v>46294</v>
      </c>
      <c r="F599" t="inlineStr">
        <is>
          <t>SKÅNE LÄN</t>
        </is>
      </c>
      <c r="G599" t="inlineStr">
        <is>
          <t>KRISTIANSTAD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38121-2025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45882</v>
      </c>
      <c r="E600" s="1" t="n">
        <v>46294</v>
      </c>
      <c r="F600" t="inlineStr">
        <is>
          <t>SKÅNE LÄN</t>
        </is>
      </c>
      <c r="G600" t="inlineStr">
        <is>
          <t>KRISTIANSTAD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46793-2025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45926</v>
      </c>
      <c r="E601" s="1" t="n">
        <v>46294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25759-2024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45465</v>
      </c>
      <c r="E602" s="1" t="n">
        <v>46294</v>
      </c>
      <c r="F602" t="inlineStr">
        <is>
          <t>SKÅNE LÄN</t>
        </is>
      </c>
      <c r="G602" t="inlineStr">
        <is>
          <t>KRISTIANSTAD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49143-2025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45938</v>
      </c>
      <c r="E603" s="1" t="n">
        <v>46294</v>
      </c>
      <c r="F603" t="inlineStr">
        <is>
          <t>SKÅNE LÄN</t>
        </is>
      </c>
      <c r="G603" t="inlineStr">
        <is>
          <t>KRISTIANSTAD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45012</v>
      </c>
      <c r="E604" s="1" t="n">
        <v>46294</v>
      </c>
      <c r="F604" t="inlineStr">
        <is>
          <t>SKÅNE LÄN</t>
        </is>
      </c>
      <c r="G604" t="inlineStr">
        <is>
          <t>KRISTIANSTAD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45228</v>
      </c>
      <c r="E605" s="1" t="n">
        <v>46294</v>
      </c>
      <c r="F605" t="inlineStr">
        <is>
          <t>SKÅNE LÄN</t>
        </is>
      </c>
      <c r="G605" t="inlineStr">
        <is>
          <t>KRISTIANSTAD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8750-2024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45343</v>
      </c>
      <c r="E606" s="1" t="n">
        <v>46294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46294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18524-2023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45042</v>
      </c>
      <c r="E608" s="1" t="n">
        <v>46294</v>
      </c>
      <c r="F608" t="inlineStr">
        <is>
          <t>SKÅNE LÄN</t>
        </is>
      </c>
      <c r="G608" t="inlineStr">
        <is>
          <t>KRISTIANSTAD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27287-2025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45812</v>
      </c>
      <c r="E609" s="1" t="n">
        <v>46294</v>
      </c>
      <c r="F609" t="inlineStr">
        <is>
          <t>SKÅNE LÄN</t>
        </is>
      </c>
      <c r="G609" t="inlineStr">
        <is>
          <t>KRISTIANSTAD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45672</v>
      </c>
      <c r="E610" s="1" t="n">
        <v>46294</v>
      </c>
      <c r="F610" t="inlineStr">
        <is>
          <t>SKÅNE LÄN</t>
        </is>
      </c>
      <c r="G610" t="inlineStr">
        <is>
          <t>KRISTIANSTAD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45338</v>
      </c>
      <c r="E611" s="1" t="n">
        <v>46294</v>
      </c>
      <c r="F611" t="inlineStr">
        <is>
          <t>SKÅNE LÄN</t>
        </is>
      </c>
      <c r="G611" t="inlineStr">
        <is>
          <t>KRISTIANSTAD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46294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46294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44988</v>
      </c>
      <c r="E614" s="1" t="n">
        <v>46294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17571-2024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45415</v>
      </c>
      <c r="E615" s="1" t="n">
        <v>46294</v>
      </c>
      <c r="F615" t="inlineStr">
        <is>
          <t>SKÅNE LÄN</t>
        </is>
      </c>
      <c r="G615" t="inlineStr">
        <is>
          <t>KRISTIANSTAD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44998</v>
      </c>
      <c r="E616" s="1" t="n">
        <v>46294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46294</v>
      </c>
      <c r="F617" t="inlineStr">
        <is>
          <t>SKÅNE LÄN</t>
        </is>
      </c>
      <c r="G617" t="inlineStr">
        <is>
          <t>KRISTIANSTAD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46294</v>
      </c>
      <c r="F618" t="inlineStr">
        <is>
          <t>SKÅNE LÄN</t>
        </is>
      </c>
      <c r="G618" t="inlineStr">
        <is>
          <t>KRISTIANSTAD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46294</v>
      </c>
      <c r="F619" t="inlineStr">
        <is>
          <t>SKÅNE LÄN</t>
        </is>
      </c>
      <c r="G619" t="inlineStr">
        <is>
          <t>KRISTIANSTAD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61198-2021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44497</v>
      </c>
      <c r="E620" s="1" t="n">
        <v>46294</v>
      </c>
      <c r="F620" t="inlineStr">
        <is>
          <t>SKÅNE LÄN</t>
        </is>
      </c>
      <c r="G620" t="inlineStr">
        <is>
          <t>KRISTIANSTAD</t>
        </is>
      </c>
      <c r="I620" t="n">
        <v>13.8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45668</v>
      </c>
      <c r="E621" s="1" t="n">
        <v>46294</v>
      </c>
      <c r="F621" t="inlineStr">
        <is>
          <t>SKÅNE LÄN</t>
        </is>
      </c>
      <c r="G621" t="inlineStr">
        <is>
          <t>KRISTIANSTAD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46294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58269-2022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44894</v>
      </c>
      <c r="E623" s="1" t="n">
        <v>46294</v>
      </c>
      <c r="F623" t="inlineStr">
        <is>
          <t>SKÅNE LÄN</t>
        </is>
      </c>
      <c r="G623" t="inlineStr">
        <is>
          <t>KRISTIANSTAD</t>
        </is>
      </c>
      <c r="I623" t="n">
        <v>14.9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41636-2025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45902</v>
      </c>
      <c r="E624" s="1" t="n">
        <v>46294</v>
      </c>
      <c r="F624" t="inlineStr">
        <is>
          <t>SKÅNE LÄN</t>
        </is>
      </c>
      <c r="G624" t="inlineStr">
        <is>
          <t>KRISTIANSTAD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45465</v>
      </c>
      <c r="E625" s="1" t="n">
        <v>46294</v>
      </c>
      <c r="F625" t="inlineStr">
        <is>
          <t>SKÅNE LÄN</t>
        </is>
      </c>
      <c r="G625" t="inlineStr">
        <is>
          <t>KRISTIANSTAD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46294</v>
      </c>
      <c r="F626" t="inlineStr">
        <is>
          <t>SKÅNE LÄN</t>
        </is>
      </c>
      <c r="G626" t="inlineStr">
        <is>
          <t>KRISTIANSTAD</t>
        </is>
      </c>
      <c r="I626" t="n">
        <v>11.1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45348-2023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46294</v>
      </c>
      <c r="F627" t="inlineStr">
        <is>
          <t>SKÅNE LÄN</t>
        </is>
      </c>
      <c r="G627" t="inlineStr">
        <is>
          <t>KRISTIANSTAD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8804-2025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45712</v>
      </c>
      <c r="E628" s="1" t="n">
        <v>46294</v>
      </c>
      <c r="F628" t="inlineStr">
        <is>
          <t>SKÅNE LÄN</t>
        </is>
      </c>
      <c r="G628" t="inlineStr">
        <is>
          <t>KRISTIANSTAD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46294</v>
      </c>
      <c r="F629" t="inlineStr">
        <is>
          <t>SKÅNE LÄN</t>
        </is>
      </c>
      <c r="G629" t="inlineStr">
        <is>
          <t>KRISTIANSTAD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45301</v>
      </c>
      <c r="E630" s="1" t="n">
        <v>46294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46294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46294</v>
      </c>
      <c r="F632" t="inlineStr">
        <is>
          <t>SKÅNE LÄN</t>
        </is>
      </c>
      <c r="G632" t="inlineStr">
        <is>
          <t>KRISTIANSTAD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52064-2024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45608</v>
      </c>
      <c r="E633" s="1" t="n">
        <v>46294</v>
      </c>
      <c r="F633" t="inlineStr">
        <is>
          <t>SKÅNE LÄN</t>
        </is>
      </c>
      <c r="G633" t="inlineStr">
        <is>
          <t>KRISTIANSTAD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56930-2022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44894</v>
      </c>
      <c r="E634" s="1" t="n">
        <v>46294</v>
      </c>
      <c r="F634" t="inlineStr">
        <is>
          <t>SKÅNE LÄN</t>
        </is>
      </c>
      <c r="G634" t="inlineStr">
        <is>
          <t>KRISTIANSTAD</t>
        </is>
      </c>
      <c r="H634" t="inlineStr">
        <is>
          <t>Kyrkan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46198</v>
      </c>
      <c r="E635" s="1" t="n">
        <v>46294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3796-2024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45321</v>
      </c>
      <c r="E636" s="1" t="n">
        <v>46294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45315</v>
      </c>
      <c r="E637" s="1" t="n">
        <v>46294</v>
      </c>
      <c r="F637" t="inlineStr">
        <is>
          <t>SKÅNE LÄN</t>
        </is>
      </c>
      <c r="G637" t="inlineStr">
        <is>
          <t>KRISTIANSTAD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45077</v>
      </c>
      <c r="E638" s="1" t="n">
        <v>46294</v>
      </c>
      <c r="F638" t="inlineStr">
        <is>
          <t>SKÅNE LÄN</t>
        </is>
      </c>
      <c r="G638" t="inlineStr">
        <is>
          <t>KRISTIANSTAD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45077</v>
      </c>
      <c r="E639" s="1" t="n">
        <v>46294</v>
      </c>
      <c r="F639" t="inlineStr">
        <is>
          <t>SKÅNE LÄN</t>
        </is>
      </c>
      <c r="G639" t="inlineStr">
        <is>
          <t>KRISTIANSTAD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42919-2024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45566</v>
      </c>
      <c r="E640" s="1" t="n">
        <v>46294</v>
      </c>
      <c r="F640" t="inlineStr">
        <is>
          <t>SKÅNE LÄN</t>
        </is>
      </c>
      <c r="G640" t="inlineStr">
        <is>
          <t>KRISTIANSTAD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10988-2023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44991</v>
      </c>
      <c r="E641" s="1" t="n">
        <v>46294</v>
      </c>
      <c r="F641" t="inlineStr">
        <is>
          <t>SKÅNE LÄN</t>
        </is>
      </c>
      <c r="G641" t="inlineStr">
        <is>
          <t>KRISTIANSTAD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15957-2023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45022</v>
      </c>
      <c r="E642" s="1" t="n">
        <v>46294</v>
      </c>
      <c r="F642" t="inlineStr">
        <is>
          <t>SKÅNE LÄN</t>
        </is>
      </c>
      <c r="G642" t="inlineStr">
        <is>
          <t>KRISTIANSTAD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46202</v>
      </c>
      <c r="E643" s="1" t="n">
        <v>46294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59597-2023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45254</v>
      </c>
      <c r="E644" s="1" t="n">
        <v>46294</v>
      </c>
      <c r="F644" t="inlineStr">
        <is>
          <t>SKÅNE LÄN</t>
        </is>
      </c>
      <c r="G644" t="inlineStr">
        <is>
          <t>KRISTIANSTAD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44963</v>
      </c>
      <c r="E645" s="1" t="n">
        <v>46294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8876-2024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46294</v>
      </c>
      <c r="F646" t="inlineStr">
        <is>
          <t>SKÅNE LÄN</t>
        </is>
      </c>
      <c r="G646" t="inlineStr">
        <is>
          <t>KRISTIANSTAD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11721-2025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46294</v>
      </c>
      <c r="F647" t="inlineStr">
        <is>
          <t>SKÅNE LÄN</t>
        </is>
      </c>
      <c r="G647" t="inlineStr">
        <is>
          <t>KRISTIANSTAD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62350-2023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45267</v>
      </c>
      <c r="E648" s="1" t="n">
        <v>46294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45394</v>
      </c>
      <c r="E649" s="1" t="n">
        <v>46294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42293-2023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45180</v>
      </c>
      <c r="E650" s="1" t="n">
        <v>46294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16527-2026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46294</v>
      </c>
      <c r="F651" t="inlineStr">
        <is>
          <t>SKÅNE LÄN</t>
        </is>
      </c>
      <c r="G651" t="inlineStr">
        <is>
          <t>KRISTIANSTAD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12404-2024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45379</v>
      </c>
      <c r="E652" s="1" t="n">
        <v>46294</v>
      </c>
      <c r="F652" t="inlineStr">
        <is>
          <t>SKÅNE LÄN</t>
        </is>
      </c>
      <c r="G652" t="inlineStr">
        <is>
          <t>KRISTIANSTAD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64844-2023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45282</v>
      </c>
      <c r="E653" s="1" t="n">
        <v>46294</v>
      </c>
      <c r="F653" t="inlineStr">
        <is>
          <t>SKÅNE LÄN</t>
        </is>
      </c>
      <c r="G653" t="inlineStr">
        <is>
          <t>KRISTIANSTAD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25764-2024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45465</v>
      </c>
      <c r="E654" s="1" t="n">
        <v>46294</v>
      </c>
      <c r="F654" t="inlineStr">
        <is>
          <t>SKÅNE LÄN</t>
        </is>
      </c>
      <c r="G654" t="inlineStr">
        <is>
          <t>KRISTIANSTAD</t>
        </is>
      </c>
      <c r="I654" t="n">
        <v>9.800000000000001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37983-2024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45544</v>
      </c>
      <c r="E655" s="1" t="n">
        <v>46294</v>
      </c>
      <c r="F655" t="inlineStr">
        <is>
          <t>SKÅNE LÄN</t>
        </is>
      </c>
      <c r="G655" t="inlineStr">
        <is>
          <t>KRISTIANSTAD</t>
        </is>
      </c>
      <c r="I655" t="n">
        <v>7.9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32021-2023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45119</v>
      </c>
      <c r="E656" s="1" t="n">
        <v>46294</v>
      </c>
      <c r="F656" t="inlineStr">
        <is>
          <t>SKÅNE LÄN</t>
        </is>
      </c>
      <c r="G656" t="inlineStr">
        <is>
          <t>KRISTIANSTAD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7055-2024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45343</v>
      </c>
      <c r="E657" s="1" t="n">
        <v>46294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34291-2026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46253</v>
      </c>
      <c r="E658" s="1" t="n">
        <v>46294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47232-2024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45586</v>
      </c>
      <c r="E659" s="1" t="n">
        <v>46294</v>
      </c>
      <c r="F659" t="inlineStr">
        <is>
          <t>SKÅNE LÄN</t>
        </is>
      </c>
      <c r="G659" t="inlineStr">
        <is>
          <t>KRISTIANSTAD</t>
        </is>
      </c>
      <c r="H659" t="inlineStr">
        <is>
          <t>Övriga Aktiebolag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46253</v>
      </c>
      <c r="E660" s="1" t="n">
        <v>46294</v>
      </c>
      <c r="F660" t="inlineStr">
        <is>
          <t>SKÅNE LÄN</t>
        </is>
      </c>
      <c r="G660" t="inlineStr">
        <is>
          <t>KRISTIANSTAD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62397-2022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44923</v>
      </c>
      <c r="E661" s="1" t="n">
        <v>46294</v>
      </c>
      <c r="F661" t="inlineStr">
        <is>
          <t>SKÅNE LÄN</t>
        </is>
      </c>
      <c r="G661" t="inlineStr">
        <is>
          <t>KRISTIANSTAD</t>
        </is>
      </c>
      <c r="I661" t="n">
        <v>12.6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17371-2024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45414</v>
      </c>
      <c r="E662" s="1" t="n">
        <v>46294</v>
      </c>
      <c r="F662" t="inlineStr">
        <is>
          <t>SKÅNE LÄN</t>
        </is>
      </c>
      <c r="G662" t="inlineStr">
        <is>
          <t>KRISTIANSTAD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46294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5623-2024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45334</v>
      </c>
      <c r="E664" s="1" t="n">
        <v>46294</v>
      </c>
      <c r="F664" t="inlineStr">
        <is>
          <t>SKÅNE LÄN</t>
        </is>
      </c>
      <c r="G664" t="inlineStr">
        <is>
          <t>KRISTIANSTAD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61348-2024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46294</v>
      </c>
      <c r="F665" t="inlineStr">
        <is>
          <t>SKÅNE LÄN</t>
        </is>
      </c>
      <c r="G665" t="inlineStr">
        <is>
          <t>KRISTIANSTAD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45334</v>
      </c>
      <c r="E666" s="1" t="n">
        <v>46294</v>
      </c>
      <c r="F666" t="inlineStr">
        <is>
          <t>SKÅNE LÄN</t>
        </is>
      </c>
      <c r="G666" t="inlineStr">
        <is>
          <t>KRISTIANSTAD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34294-2026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46253</v>
      </c>
      <c r="E667" s="1" t="n">
        <v>46294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7565-2023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44972</v>
      </c>
      <c r="E668" s="1" t="n">
        <v>46294</v>
      </c>
      <c r="F668" t="inlineStr">
        <is>
          <t>SKÅNE LÄN</t>
        </is>
      </c>
      <c r="G668" t="inlineStr">
        <is>
          <t>KRISTIANSTAD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45303</v>
      </c>
      <c r="E669" s="1" t="n">
        <v>46294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19.7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30851-2026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46212</v>
      </c>
      <c r="E670" s="1" t="n">
        <v>46294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46294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15111-2023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45015</v>
      </c>
      <c r="E672" s="1" t="n">
        <v>46294</v>
      </c>
      <c r="F672" t="inlineStr">
        <is>
          <t>SKÅNE LÄN</t>
        </is>
      </c>
      <c r="G672" t="inlineStr">
        <is>
          <t>KRISTIANSTAD</t>
        </is>
      </c>
      <c r="H672" t="inlineStr">
        <is>
          <t>Kyrkan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30844-2026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46212</v>
      </c>
      <c r="E673" s="1" t="n">
        <v>46294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30849-2026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46212</v>
      </c>
      <c r="E674" s="1" t="n">
        <v>46294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27979-2024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45476</v>
      </c>
      <c r="E675" s="1" t="n">
        <v>46294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46256</v>
      </c>
      <c r="E676" s="1" t="n">
        <v>46294</v>
      </c>
      <c r="F676" t="inlineStr">
        <is>
          <t>SKÅNE LÄN</t>
        </is>
      </c>
      <c r="G676" t="inlineStr">
        <is>
          <t>KRISTIANSTAD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34348-2024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45525</v>
      </c>
      <c r="E677" s="1" t="n">
        <v>46294</v>
      </c>
      <c r="F677" t="inlineStr">
        <is>
          <t>SKÅNE LÄN</t>
        </is>
      </c>
      <c r="G677" t="inlineStr">
        <is>
          <t>KRISTIANSTAD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9899-2025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45716</v>
      </c>
      <c r="E678" s="1" t="n">
        <v>46294</v>
      </c>
      <c r="F678" t="inlineStr">
        <is>
          <t>SKÅNE LÄN</t>
        </is>
      </c>
      <c r="G678" t="inlineStr">
        <is>
          <t>KRISTIANSTAD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46214</v>
      </c>
      <c r="E679" s="1" t="n">
        <v>46294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18752-2023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45043</v>
      </c>
      <c r="E680" s="1" t="n">
        <v>46294</v>
      </c>
      <c r="F680" t="inlineStr">
        <is>
          <t>SKÅNE LÄN</t>
        </is>
      </c>
      <c r="G680" t="inlineStr">
        <is>
          <t>KRISTIANSTAD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46294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46523-2023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45197</v>
      </c>
      <c r="E682" s="1" t="n">
        <v>46294</v>
      </c>
      <c r="F682" t="inlineStr">
        <is>
          <t>SKÅNE LÄN</t>
        </is>
      </c>
      <c r="G682" t="inlineStr">
        <is>
          <t>KRISTIANSTAD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46294</v>
      </c>
      <c r="F683" t="inlineStr">
        <is>
          <t>SKÅNE LÄN</t>
        </is>
      </c>
      <c r="G683" t="inlineStr">
        <is>
          <t>KRISTIANSTAD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27613-2024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45474</v>
      </c>
      <c r="E684" s="1" t="n">
        <v>46294</v>
      </c>
      <c r="F684" t="inlineStr">
        <is>
          <t>SKÅNE LÄN</t>
        </is>
      </c>
      <c r="G684" t="inlineStr">
        <is>
          <t>KRISTIANSTAD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31292-2026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46218</v>
      </c>
      <c r="E685" s="1" t="n">
        <v>46294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31219-2026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46217</v>
      </c>
      <c r="E686" s="1" t="n">
        <v>46294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59302-2023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45253</v>
      </c>
      <c r="E687" s="1" t="n">
        <v>46294</v>
      </c>
      <c r="F687" t="inlineStr">
        <is>
          <t>SKÅNE LÄN</t>
        </is>
      </c>
      <c r="G687" t="inlineStr">
        <is>
          <t>KRISTIANSTAD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35153-2026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46260</v>
      </c>
      <c r="E688" s="1" t="n">
        <v>46294</v>
      </c>
      <c r="F688" t="inlineStr">
        <is>
          <t>SKÅNE LÄN</t>
        </is>
      </c>
      <c r="G688" t="inlineStr">
        <is>
          <t>KRISTIANSTAD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30845-2022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44767</v>
      </c>
      <c r="E689" s="1" t="n">
        <v>46294</v>
      </c>
      <c r="F689" t="inlineStr">
        <is>
          <t>SKÅNE LÄN</t>
        </is>
      </c>
      <c r="G689" t="inlineStr">
        <is>
          <t>KRISTIANSTAD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46261</v>
      </c>
      <c r="E690" s="1" t="n">
        <v>46294</v>
      </c>
      <c r="F690" t="inlineStr">
        <is>
          <t>SKÅNE LÄN</t>
        </is>
      </c>
      <c r="G690" t="inlineStr">
        <is>
          <t>KRISTIANSTAD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25450-2022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44732</v>
      </c>
      <c r="E691" s="1" t="n">
        <v>46294</v>
      </c>
      <c r="F691" t="inlineStr">
        <is>
          <t>SKÅNE LÄN</t>
        </is>
      </c>
      <c r="G691" t="inlineStr">
        <is>
          <t>KRISTIANSTAD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44995</v>
      </c>
      <c r="E692" s="1" t="n">
        <v>46294</v>
      </c>
      <c r="F692" t="inlineStr">
        <is>
          <t>SKÅNE LÄN</t>
        </is>
      </c>
      <c r="G692" t="inlineStr">
        <is>
          <t>KRISTIANSTAD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31472-2026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46222</v>
      </c>
      <c r="E693" s="1" t="n">
        <v>46294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45106</v>
      </c>
      <c r="E694" s="1" t="n">
        <v>46294</v>
      </c>
      <c r="F694" t="inlineStr">
        <is>
          <t>SKÅNE LÄN</t>
        </is>
      </c>
      <c r="G694" t="inlineStr">
        <is>
          <t>KRISTIANSTAD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44596</v>
      </c>
      <c r="E695" s="1" t="n">
        <v>46294</v>
      </c>
      <c r="F695" t="inlineStr">
        <is>
          <t>SKÅNE LÄN</t>
        </is>
      </c>
      <c r="G695" t="inlineStr">
        <is>
          <t>KRISTIANSTAD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11272-2023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44992</v>
      </c>
      <c r="E696" s="1" t="n">
        <v>46294</v>
      </c>
      <c r="F696" t="inlineStr">
        <is>
          <t>SKÅNE LÄN</t>
        </is>
      </c>
      <c r="G696" t="inlineStr">
        <is>
          <t>KRISTIANSTAD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31486-2026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46223</v>
      </c>
      <c r="E697" s="1" t="n">
        <v>46294</v>
      </c>
      <c r="F697" t="inlineStr">
        <is>
          <t>SKÅNE LÄN</t>
        </is>
      </c>
      <c r="G697" t="inlineStr">
        <is>
          <t>KRISTIANSTAD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39117-2023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45165</v>
      </c>
      <c r="E698" s="1" t="n">
        <v>46294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36160-2023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45149</v>
      </c>
      <c r="E699" s="1" t="n">
        <v>46294</v>
      </c>
      <c r="F699" t="inlineStr">
        <is>
          <t>SKÅNE LÄN</t>
        </is>
      </c>
      <c r="G699" t="inlineStr">
        <is>
          <t>KRISTIANSTAD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42898-2023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45182</v>
      </c>
      <c r="E700" s="1" t="n">
        <v>46294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57976-2023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45247</v>
      </c>
      <c r="E701" s="1" t="n">
        <v>46294</v>
      </c>
      <c r="F701" t="inlineStr">
        <is>
          <t>SKÅNE LÄN</t>
        </is>
      </c>
      <c r="G701" t="inlineStr">
        <is>
          <t>KRISTIANSTAD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2316-2024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46294</v>
      </c>
      <c r="F702" t="inlineStr">
        <is>
          <t>SKÅNE LÄN</t>
        </is>
      </c>
      <c r="G702" t="inlineStr">
        <is>
          <t>KRISTIANSTAD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30065-2023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45110</v>
      </c>
      <c r="E703" s="1" t="n">
        <v>46294</v>
      </c>
      <c r="F703" t="inlineStr">
        <is>
          <t>SKÅNE LÄN</t>
        </is>
      </c>
      <c r="G703" t="inlineStr">
        <is>
          <t>KRISTIANSTAD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44933</v>
      </c>
      <c r="E704" s="1" t="n">
        <v>46294</v>
      </c>
      <c r="F704" t="inlineStr">
        <is>
          <t>SKÅNE LÄN</t>
        </is>
      </c>
      <c r="G704" t="inlineStr">
        <is>
          <t>KRISTIANSTAD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45685</v>
      </c>
      <c r="E705" s="1" t="n">
        <v>46294</v>
      </c>
      <c r="F705" t="inlineStr">
        <is>
          <t>SKÅNE LÄN</t>
        </is>
      </c>
      <c r="G705" t="inlineStr">
        <is>
          <t>KRISTIANSTAD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46294</v>
      </c>
      <c r="F706" t="inlineStr">
        <is>
          <t>SKÅNE LÄN</t>
        </is>
      </c>
      <c r="G706" t="inlineStr">
        <is>
          <t>KRISTIANSTAD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36902-2026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46273</v>
      </c>
      <c r="E707" s="1" t="n">
        <v>46294</v>
      </c>
      <c r="F707" t="inlineStr">
        <is>
          <t>SKÅNE LÄN</t>
        </is>
      </c>
      <c r="G707" t="inlineStr">
        <is>
          <t>KRISTIANSTAD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36633-2026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46271</v>
      </c>
      <c r="E708" s="1" t="n">
        <v>46294</v>
      </c>
      <c r="F708" t="inlineStr">
        <is>
          <t>SKÅNE LÄN</t>
        </is>
      </c>
      <c r="G708" t="inlineStr">
        <is>
          <t>KRISTIANSTAD</t>
        </is>
      </c>
      <c r="H708" t="inlineStr">
        <is>
          <t>Övriga Aktiebolag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36628-2026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46271</v>
      </c>
      <c r="E709" s="1" t="n">
        <v>46294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63931-2023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45278</v>
      </c>
      <c r="E710" s="1" t="n">
        <v>46294</v>
      </c>
      <c r="F710" t="inlineStr">
        <is>
          <t>SKÅNE LÄN</t>
        </is>
      </c>
      <c r="G710" t="inlineStr">
        <is>
          <t>KRISTIANSTAD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63942-2023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45278</v>
      </c>
      <c r="E711" s="1" t="n">
        <v>46294</v>
      </c>
      <c r="F711" t="inlineStr">
        <is>
          <t>SKÅNE LÄN</t>
        </is>
      </c>
      <c r="G711" t="inlineStr">
        <is>
          <t>KRISTIANSTAD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31619-2024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45506</v>
      </c>
      <c r="E712" s="1" t="n">
        <v>46294</v>
      </c>
      <c r="F712" t="inlineStr">
        <is>
          <t>SKÅNE LÄN</t>
        </is>
      </c>
      <c r="G712" t="inlineStr">
        <is>
          <t>KRISTIANSTAD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45119</v>
      </c>
      <c r="E713" s="1" t="n">
        <v>46294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36833-2026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46272</v>
      </c>
      <c r="E714" s="1" t="n">
        <v>46294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34723-2023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45141</v>
      </c>
      <c r="E715" s="1" t="n">
        <v>46294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34730-2023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45141</v>
      </c>
      <c r="E716" s="1" t="n">
        <v>46294</v>
      </c>
      <c r="F716" t="inlineStr">
        <is>
          <t>SKÅNE LÄN</t>
        </is>
      </c>
      <c r="G716" t="inlineStr">
        <is>
          <t>KRISTIANSTAD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49233-2022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44858</v>
      </c>
      <c r="E717" s="1" t="n">
        <v>46294</v>
      </c>
      <c r="F717" t="inlineStr">
        <is>
          <t>SKÅNE LÄN</t>
        </is>
      </c>
      <c r="G717" t="inlineStr">
        <is>
          <t>KRISTIANSTAD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19997-2026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46135</v>
      </c>
      <c r="E718" s="1" t="n">
        <v>46294</v>
      </c>
      <c r="F718" t="inlineStr">
        <is>
          <t>SKÅNE LÄN</t>
        </is>
      </c>
      <c r="G718" t="inlineStr">
        <is>
          <t>KRISTIANSTAD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53491-2021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44468</v>
      </c>
      <c r="E719" s="1" t="n">
        <v>46294</v>
      </c>
      <c r="F719" t="inlineStr">
        <is>
          <t>SKÅNE LÄN</t>
        </is>
      </c>
      <c r="G719" t="inlineStr">
        <is>
          <t>KRISTIANSTAD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13974-2025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45738</v>
      </c>
      <c r="E720" s="1" t="n">
        <v>46294</v>
      </c>
      <c r="F720" t="inlineStr">
        <is>
          <t>SKÅNE LÄN</t>
        </is>
      </c>
      <c r="G720" t="inlineStr">
        <is>
          <t>KRISTIANSTAD</t>
        </is>
      </c>
      <c r="I720" t="n">
        <v>11.3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25839-2023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45090</v>
      </c>
      <c r="E721" s="1" t="n">
        <v>46294</v>
      </c>
      <c r="F721" t="inlineStr">
        <is>
          <t>SKÅNE LÄN</t>
        </is>
      </c>
      <c r="G721" t="inlineStr">
        <is>
          <t>KRISTIANSTAD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32702-2023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45121</v>
      </c>
      <c r="E722" s="1" t="n">
        <v>46294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13975-2025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45738</v>
      </c>
      <c r="E723" s="1" t="n">
        <v>46294</v>
      </c>
      <c r="F723" t="inlineStr">
        <is>
          <t>SKÅNE LÄN</t>
        </is>
      </c>
      <c r="G723" t="inlineStr">
        <is>
          <t>KRISTIANSTAD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45738</v>
      </c>
      <c r="E724" s="1" t="n">
        <v>46294</v>
      </c>
      <c r="F724" t="inlineStr">
        <is>
          <t>SKÅNE LÄN</t>
        </is>
      </c>
      <c r="G724" t="inlineStr">
        <is>
          <t>KRISTIANSTAD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42916-2024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45566</v>
      </c>
      <c r="E725" s="1" t="n">
        <v>46294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9020-2024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45357</v>
      </c>
      <c r="E726" s="1" t="n">
        <v>46294</v>
      </c>
      <c r="F726" t="inlineStr">
        <is>
          <t>SKÅNE LÄN</t>
        </is>
      </c>
      <c r="G726" t="inlineStr">
        <is>
          <t>KRISTIANSTAD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55469-2024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45622</v>
      </c>
      <c r="E727" s="1" t="n">
        <v>46294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37571-2026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46294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46294</v>
      </c>
      <c r="F729" t="inlineStr">
        <is>
          <t>SKÅNE LÄN</t>
        </is>
      </c>
      <c r="G729" t="inlineStr">
        <is>
          <t>KRISTIANSTAD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46294</v>
      </c>
      <c r="F730" t="inlineStr">
        <is>
          <t>SKÅNE LÄN</t>
        </is>
      </c>
      <c r="G730" t="inlineStr">
        <is>
          <t>KRISTIANSTAD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46294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44442-2023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45189</v>
      </c>
      <c r="E732" s="1" t="n">
        <v>46294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45387</v>
      </c>
      <c r="E733" s="1" t="n">
        <v>46294</v>
      </c>
      <c r="F733" t="inlineStr">
        <is>
          <t>SKÅNE LÄN</t>
        </is>
      </c>
      <c r="G733" t="inlineStr">
        <is>
          <t>KRISTIANSTAD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37522-2026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46276</v>
      </c>
      <c r="E734" s="1" t="n">
        <v>46294</v>
      </c>
      <c r="F734" t="inlineStr">
        <is>
          <t>SKÅNE LÄN</t>
        </is>
      </c>
      <c r="G734" t="inlineStr">
        <is>
          <t>KRISTIANSTAD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46294</v>
      </c>
      <c r="F735" t="inlineStr">
        <is>
          <t>SKÅNE LÄN</t>
        </is>
      </c>
      <c r="G735" t="inlineStr">
        <is>
          <t>KRISTIANSTAD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46190</v>
      </c>
      <c r="E736" s="1" t="n">
        <v>46294</v>
      </c>
      <c r="F736" t="inlineStr">
        <is>
          <t>SKÅNE LÄN</t>
        </is>
      </c>
      <c r="G736" t="inlineStr">
        <is>
          <t>KRISTIANSTAD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37570-2026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46276</v>
      </c>
      <c r="E737" s="1" t="n">
        <v>46294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46280</v>
      </c>
      <c r="E738" s="1" t="n">
        <v>46294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10971-2023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44991</v>
      </c>
      <c r="E739" s="1" t="n">
        <v>46294</v>
      </c>
      <c r="F739" t="inlineStr">
        <is>
          <t>SKÅNE LÄN</t>
        </is>
      </c>
      <c r="G739" t="inlineStr">
        <is>
          <t>KRISTIANSTAD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59625-2022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44907</v>
      </c>
      <c r="E740" s="1" t="n">
        <v>46294</v>
      </c>
      <c r="F740" t="inlineStr">
        <is>
          <t>SKÅNE LÄN</t>
        </is>
      </c>
      <c r="G740" t="inlineStr">
        <is>
          <t>KRISTIANSTAD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63681-2023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46294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32013-2023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45119</v>
      </c>
      <c r="E742" s="1" t="n">
        <v>46294</v>
      </c>
      <c r="F742" t="inlineStr">
        <is>
          <t>SKÅNE LÄN</t>
        </is>
      </c>
      <c r="G742" t="inlineStr">
        <is>
          <t>KRISTIANSTAD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19642-2022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44694</v>
      </c>
      <c r="E743" s="1" t="n">
        <v>46294</v>
      </c>
      <c r="F743" t="inlineStr">
        <is>
          <t>SKÅNE LÄN</t>
        </is>
      </c>
      <c r="G743" t="inlineStr">
        <is>
          <t>KRISTIANSTAD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3608-2023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44946</v>
      </c>
      <c r="E744" s="1" t="n">
        <v>46294</v>
      </c>
      <c r="F744" t="inlineStr">
        <is>
          <t>SKÅNE LÄN</t>
        </is>
      </c>
      <c r="G744" t="inlineStr">
        <is>
          <t>KRISTIANSTAD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13953-2025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45737</v>
      </c>
      <c r="E745" s="1" t="n">
        <v>46294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20714-2025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45776</v>
      </c>
      <c r="E746" s="1" t="n">
        <v>46294</v>
      </c>
      <c r="F746" t="inlineStr">
        <is>
          <t>SKÅNE LÄN</t>
        </is>
      </c>
      <c r="G746" t="inlineStr">
        <is>
          <t>KRISTIANSTAD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21992-2024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45443</v>
      </c>
      <c r="E747" s="1" t="n">
        <v>46294</v>
      </c>
      <c r="F747" t="inlineStr">
        <is>
          <t>SKÅNE LÄN</t>
        </is>
      </c>
      <c r="G747" t="inlineStr">
        <is>
          <t>KRISTIANSTAD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44538-2024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45574</v>
      </c>
      <c r="E748" s="1" t="n">
        <v>46294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17270-2024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46294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36631-2026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46271</v>
      </c>
      <c r="E750" s="1" t="n">
        <v>46294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38719-2026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46284</v>
      </c>
      <c r="E751" s="1" t="n">
        <v>46294</v>
      </c>
      <c r="F751" t="inlineStr">
        <is>
          <t>SKÅNE LÄN</t>
        </is>
      </c>
      <c r="G751" t="inlineStr">
        <is>
          <t>KRISTIANSTAD</t>
        </is>
      </c>
      <c r="H751" t="inlineStr">
        <is>
          <t>Sveaskog</t>
        </is>
      </c>
      <c r="I751" t="n">
        <v>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39229-2026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46287</v>
      </c>
      <c r="E752" s="1" t="n">
        <v>46294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46244</v>
      </c>
      <c r="E753" s="1" t="n">
        <v>46294</v>
      </c>
      <c r="F753" t="inlineStr">
        <is>
          <t>SKÅNE LÄN</t>
        </is>
      </c>
      <c r="G753" t="inlineStr">
        <is>
          <t>KRISTIANSTAD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39230-2026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46287</v>
      </c>
      <c r="E754" s="1" t="n">
        <v>46294</v>
      </c>
      <c r="F754" t="inlineStr">
        <is>
          <t>SKÅNE LÄN</t>
        </is>
      </c>
      <c r="G754" t="inlineStr">
        <is>
          <t>KRISTIANSTAD</t>
        </is>
      </c>
      <c r="H754" t="inlineStr">
        <is>
          <t>Sveaskog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46189</v>
      </c>
      <c r="E755" s="1" t="n">
        <v>46294</v>
      </c>
      <c r="F755" t="inlineStr">
        <is>
          <t>SKÅNE LÄN</t>
        </is>
      </c>
      <c r="G755" t="inlineStr">
        <is>
          <t>KRISTIANSTAD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36632-2026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46271</v>
      </c>
      <c r="E756" s="1" t="n">
        <v>46294</v>
      </c>
      <c r="F756" t="inlineStr">
        <is>
          <t>SKÅNE LÄN</t>
        </is>
      </c>
      <c r="G756" t="inlineStr">
        <is>
          <t>KRISTIANSTAD</t>
        </is>
      </c>
      <c r="H756" t="inlineStr">
        <is>
          <t>Övriga Aktiebolag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39232-2026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46287</v>
      </c>
      <c r="E757" s="1" t="n">
        <v>46294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39409-2026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46288</v>
      </c>
      <c r="E758" s="1" t="n">
        <v>46294</v>
      </c>
      <c r="F758" t="inlineStr">
        <is>
          <t>SKÅNE LÄN</t>
        </is>
      </c>
      <c r="G758" t="inlineStr">
        <is>
          <t>KRISTIANSTAD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39417-2026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46288</v>
      </c>
      <c r="E759" s="1" t="n">
        <v>46294</v>
      </c>
      <c r="F759" t="inlineStr">
        <is>
          <t>SKÅNE LÄN</t>
        </is>
      </c>
      <c r="G759" t="inlineStr">
        <is>
          <t>KRISTIANSTAD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36838-2026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46294</v>
      </c>
      <c r="F760" t="inlineStr">
        <is>
          <t>SKÅNE LÄN</t>
        </is>
      </c>
      <c r="G760" t="inlineStr">
        <is>
          <t>KRISTIANSTAD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39231-2026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46287</v>
      </c>
      <c r="E761" s="1" t="n">
        <v>46294</v>
      </c>
      <c r="F761" t="inlineStr">
        <is>
          <t>SKÅNE LÄN</t>
        </is>
      </c>
      <c r="G761" t="inlineStr">
        <is>
          <t>KRISTIANSTAD</t>
        </is>
      </c>
      <c r="H761" t="inlineStr">
        <is>
          <t>Sveaskog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46250</v>
      </c>
      <c r="E762" s="1" t="n">
        <v>46294</v>
      </c>
      <c r="F762" t="inlineStr">
        <is>
          <t>SKÅNE LÄN</t>
        </is>
      </c>
      <c r="G762" t="inlineStr">
        <is>
          <t>KRISTIANSTAD</t>
        </is>
      </c>
      <c r="H762" t="inlineStr">
        <is>
          <t>Sveaskog</t>
        </is>
      </c>
      <c r="I762" t="n">
        <v>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39558-2026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46289</v>
      </c>
      <c r="E763" s="1" t="n">
        <v>46294</v>
      </c>
      <c r="F763" t="inlineStr">
        <is>
          <t>SKÅNE LÄN</t>
        </is>
      </c>
      <c r="G763" t="inlineStr">
        <is>
          <t>KRISTIANSTAD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39743-2026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46294</v>
      </c>
      <c r="F764" t="inlineStr">
        <is>
          <t>SKÅNE LÄN</t>
        </is>
      </c>
      <c r="G764" t="inlineStr">
        <is>
          <t>KRISTIANSTAD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46250</v>
      </c>
      <c r="E765" s="1" t="n">
        <v>46294</v>
      </c>
      <c r="F765" t="inlineStr">
        <is>
          <t>SKÅNE LÄN</t>
        </is>
      </c>
      <c r="G765" t="inlineStr">
        <is>
          <t>KRISTIANSTAD</t>
        </is>
      </c>
      <c r="H765" t="inlineStr">
        <is>
          <t>Sveaskog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8718-2021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44501</v>
      </c>
      <c r="E766" s="1" t="n">
        <v>46294</v>
      </c>
      <c r="F766" t="inlineStr">
        <is>
          <t>SKÅNE LÄN</t>
        </is>
      </c>
      <c r="G766" t="inlineStr">
        <is>
          <t>KRISTIANSTAD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45617</v>
      </c>
      <c r="E767" s="1" t="n">
        <v>46294</v>
      </c>
      <c r="F767" t="inlineStr">
        <is>
          <t>SKÅNE LÄN</t>
        </is>
      </c>
      <c r="G767" t="inlineStr">
        <is>
          <t>KRISTIANSTAD</t>
        </is>
      </c>
      <c r="I767" t="n">
        <v>15.6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558-2023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44970</v>
      </c>
      <c r="E768" s="1" t="n">
        <v>46294</v>
      </c>
      <c r="F768" t="inlineStr">
        <is>
          <t>SKÅNE LÄN</t>
        </is>
      </c>
      <c r="G768" t="inlineStr">
        <is>
          <t>KRISTIANSTAD</t>
        </is>
      </c>
      <c r="H768" t="inlineStr">
        <is>
          <t>Kyrkan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2174-2023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45089</v>
      </c>
      <c r="E769" s="1" t="n">
        <v>46294</v>
      </c>
      <c r="F769" t="inlineStr">
        <is>
          <t>SKÅNE LÄN</t>
        </is>
      </c>
      <c r="G769" t="inlineStr">
        <is>
          <t>KRISTIANSTAD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3004-2022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44713</v>
      </c>
      <c r="E770" s="1" t="n">
        <v>46294</v>
      </c>
      <c r="F770" t="inlineStr">
        <is>
          <t>SKÅNE LÄN</t>
        </is>
      </c>
      <c r="G770" t="inlineStr">
        <is>
          <t>KRISTIANSTAD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46294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46294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46294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46294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46294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46294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46294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46294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46294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2146-2022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44676</v>
      </c>
      <c r="E780" s="1" t="n">
        <v>46294</v>
      </c>
      <c r="F780" t="inlineStr">
        <is>
          <t>SKÅNE LÄN</t>
        </is>
      </c>
      <c r="G780" t="inlineStr">
        <is>
          <t>KRISTIANSTAD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46294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46294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46294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46294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46294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46294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46294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46294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46294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46294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46294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46294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46294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46294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46294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46294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46294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2026-09-29T01:59:01Z</dcterms:created>
  <dcterms:modified xmlns:dcterms="http://purl.org/dc/terms/" xmlns:xsi="http://www.w3.org/2001/XMLSchema-instance" xsi:type="dcterms:W3CDTF">2026-09-29T01:59:01Z</dcterms:modified>
</cp:coreProperties>
</file>