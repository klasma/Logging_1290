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45803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45803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45803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45803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45803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45803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45803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45803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45803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45803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45803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45803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45803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45803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45803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45803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45803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21117-2021</t>
        </is>
      </c>
      <c r="B19" s="1" t="n">
        <v>44319</v>
      </c>
      <c r="C19" s="1" t="n">
        <v>45803</v>
      </c>
      <c r="D19" t="inlineStr">
        <is>
          <t>SKÅNE LÄN</t>
        </is>
      </c>
      <c r="E19" t="inlineStr">
        <is>
          <t>KRISTIANSTAD</t>
        </is>
      </c>
      <c r="G19" t="n">
        <v>22</v>
      </c>
      <c r="H19" t="n">
        <v>2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Ryl
Sommargylling
Revlummer</t>
        </is>
      </c>
      <c r="S19">
        <f>HYPERLINK("https://klasma.github.io/Logging_1290/artfynd/A 21117-2021 artfynd.xlsx", "A 21117-2021")</f>
        <v/>
      </c>
      <c r="T19">
        <f>HYPERLINK("https://klasma.github.io/Logging_1290/kartor/A 21117-2021 karta.png", "A 21117-2021")</f>
        <v/>
      </c>
      <c r="V19">
        <f>HYPERLINK("https://klasma.github.io/Logging_1290/klagomål/A 21117-2021 FSC-klagomål.docx", "A 21117-2021")</f>
        <v/>
      </c>
      <c r="W19">
        <f>HYPERLINK("https://klasma.github.io/Logging_1290/klagomålsmail/A 21117-2021 FSC-klagomål mail.docx", "A 21117-2021")</f>
        <v/>
      </c>
      <c r="X19">
        <f>HYPERLINK("https://klasma.github.io/Logging_1290/tillsyn/A 21117-2021 tillsynsbegäran.docx", "A 21117-2021")</f>
        <v/>
      </c>
      <c r="Y19">
        <f>HYPERLINK("https://klasma.github.io/Logging_1290/tillsynsmail/A 21117-2021 tillsynsbegäran mail.docx", "A 21117-2021")</f>
        <v/>
      </c>
      <c r="Z19">
        <f>HYPERLINK("https://klasma.github.io/Logging_1290/fåglar/A 21117-2021 prioriterade fågelarter.docx", "A 21117-2021")</f>
        <v/>
      </c>
    </row>
    <row r="20" ht="15" customHeight="1">
      <c r="A20" t="inlineStr">
        <is>
          <t>A 22968-2021</t>
        </is>
      </c>
      <c r="B20" s="1" t="n">
        <v>44328</v>
      </c>
      <c r="C20" s="1" t="n">
        <v>45803</v>
      </c>
      <c r="D20" t="inlineStr">
        <is>
          <t>SKÅNE LÄN</t>
        </is>
      </c>
      <c r="E20" t="inlineStr">
        <is>
          <t>KRISTIANSTAD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Prakttagging
Tallticka
Grönsiska</t>
        </is>
      </c>
      <c r="S20">
        <f>HYPERLINK("https://klasma.github.io/Logging_1290/artfynd/A 22968-2021 artfynd.xlsx", "A 22968-2021")</f>
        <v/>
      </c>
      <c r="T20">
        <f>HYPERLINK("https://klasma.github.io/Logging_1290/kartor/A 22968-2021 karta.png", "A 22968-2021")</f>
        <v/>
      </c>
      <c r="V20">
        <f>HYPERLINK("https://klasma.github.io/Logging_1290/klagomål/A 22968-2021 FSC-klagomål.docx", "A 22968-2021")</f>
        <v/>
      </c>
      <c r="W20">
        <f>HYPERLINK("https://klasma.github.io/Logging_1290/klagomålsmail/A 22968-2021 FSC-klagomål mail.docx", "A 22968-2021")</f>
        <v/>
      </c>
      <c r="X20">
        <f>HYPERLINK("https://klasma.github.io/Logging_1290/tillsyn/A 22968-2021 tillsynsbegäran.docx", "A 22968-2021")</f>
        <v/>
      </c>
      <c r="Y20">
        <f>HYPERLINK("https://klasma.github.io/Logging_1290/tillsynsmail/A 22968-2021 tillsynsbegäran mail.docx", "A 22968-2021")</f>
        <v/>
      </c>
      <c r="Z20">
        <f>HYPERLINK("https://klasma.github.io/Logging_1290/fåglar/A 22968-2021 prioriterade fågelarter.docx", "A 22968-2021")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45803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45803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54542-2021</t>
        </is>
      </c>
      <c r="B23" s="1" t="n">
        <v>44473</v>
      </c>
      <c r="C23" s="1" t="n">
        <v>45803</v>
      </c>
      <c r="D23" t="inlineStr">
        <is>
          <t>SKÅNE LÄN</t>
        </is>
      </c>
      <c r="E23" t="inlineStr">
        <is>
          <t>KRISTIANSTAD</t>
        </is>
      </c>
      <c r="G23" t="n">
        <v>9.6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Havsörn
Tallticka
Grovticka</t>
        </is>
      </c>
      <c r="S23">
        <f>HYPERLINK("https://klasma.github.io/Logging_1290/artfynd/A 54542-2021 artfynd.xlsx", "A 54542-2021")</f>
        <v/>
      </c>
      <c r="T23">
        <f>HYPERLINK("https://klasma.github.io/Logging_1290/kartor/A 54542-2021 karta.png", "A 54542-2021")</f>
        <v/>
      </c>
      <c r="V23">
        <f>HYPERLINK("https://klasma.github.io/Logging_1290/klagomål/A 54542-2021 FSC-klagomål.docx", "A 54542-2021")</f>
        <v/>
      </c>
      <c r="W23">
        <f>HYPERLINK("https://klasma.github.io/Logging_1290/klagomålsmail/A 54542-2021 FSC-klagomål mail.docx", "A 54542-2021")</f>
        <v/>
      </c>
      <c r="X23">
        <f>HYPERLINK("https://klasma.github.io/Logging_1290/tillsyn/A 54542-2021 tillsynsbegäran.docx", "A 54542-2021")</f>
        <v/>
      </c>
      <c r="Y23">
        <f>HYPERLINK("https://klasma.github.io/Logging_1290/tillsynsmail/A 54542-2021 tillsynsbegäran mail.docx", "A 54542-2021")</f>
        <v/>
      </c>
      <c r="Z23">
        <f>HYPERLINK("https://klasma.github.io/Logging_1290/fåglar/A 54542-2021 prioriterade fågelarter.docx", "A 54542-2021")</f>
        <v/>
      </c>
    </row>
    <row r="24" ht="15" customHeight="1">
      <c r="A24" t="inlineStr">
        <is>
          <t>A 40509-2022</t>
        </is>
      </c>
      <c r="B24" s="1" t="n">
        <v>44823</v>
      </c>
      <c r="C24" s="1" t="n">
        <v>45803</v>
      </c>
      <c r="D24" t="inlineStr">
        <is>
          <t>SKÅNE LÄN</t>
        </is>
      </c>
      <c r="E24" t="inlineStr">
        <is>
          <t>KRISTIANSTAD</t>
        </is>
      </c>
      <c r="F24" t="inlineStr">
        <is>
          <t>Sveaskog</t>
        </is>
      </c>
      <c r="G24" t="n">
        <v>1.8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Småvänderot
Skogslysing
Svart trolldruva</t>
        </is>
      </c>
      <c r="S24">
        <f>HYPERLINK("https://klasma.github.io/Logging_1290/artfynd/A 40509-2022 artfynd.xlsx", "A 40509-2022")</f>
        <v/>
      </c>
      <c r="T24">
        <f>HYPERLINK("https://klasma.github.io/Logging_1290/kartor/A 40509-2022 karta.png", "A 40509-2022")</f>
        <v/>
      </c>
      <c r="V24">
        <f>HYPERLINK("https://klasma.github.io/Logging_1290/klagomål/A 40509-2022 FSC-klagomål.docx", "A 40509-2022")</f>
        <v/>
      </c>
      <c r="W24">
        <f>HYPERLINK("https://klasma.github.io/Logging_1290/klagomålsmail/A 40509-2022 FSC-klagomål mail.docx", "A 40509-2022")</f>
        <v/>
      </c>
      <c r="X24">
        <f>HYPERLINK("https://klasma.github.io/Logging_1290/tillsyn/A 40509-2022 tillsynsbegäran.docx", "A 40509-2022")</f>
        <v/>
      </c>
      <c r="Y24">
        <f>HYPERLINK("https://klasma.github.io/Logging_1290/tillsynsmail/A 40509-2022 tillsynsbegäran mail.docx", "A 40509-2022")</f>
        <v/>
      </c>
    </row>
    <row r="25" ht="15" customHeight="1">
      <c r="A25" t="inlineStr">
        <is>
          <t>A 12576-2023</t>
        </is>
      </c>
      <c r="B25" s="1" t="n">
        <v>45000</v>
      </c>
      <c r="C25" s="1" t="n">
        <v>45803</v>
      </c>
      <c r="D25" t="inlineStr">
        <is>
          <t>SKÅNE LÄN</t>
        </is>
      </c>
      <c r="E25" t="inlineStr">
        <is>
          <t>KRISTIANSTAD</t>
        </is>
      </c>
      <c r="G25" t="n">
        <v>5.8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Bukspolsnäcka
Lamellsnäcka
Tandsnäcka</t>
        </is>
      </c>
      <c r="S25">
        <f>HYPERLINK("https://klasma.github.io/Logging_1290/artfynd/A 12576-2023 artfynd.xlsx", "A 12576-2023")</f>
        <v/>
      </c>
      <c r="T25">
        <f>HYPERLINK("https://klasma.github.io/Logging_1290/kartor/A 12576-2023 karta.png", "A 12576-2023")</f>
        <v/>
      </c>
      <c r="V25">
        <f>HYPERLINK("https://klasma.github.io/Logging_1290/klagomål/A 12576-2023 FSC-klagomål.docx", "A 12576-2023")</f>
        <v/>
      </c>
      <c r="W25">
        <f>HYPERLINK("https://klasma.github.io/Logging_1290/klagomålsmail/A 12576-2023 FSC-klagomål mail.docx", "A 12576-2023")</f>
        <v/>
      </c>
      <c r="X25">
        <f>HYPERLINK("https://klasma.github.io/Logging_1290/tillsyn/A 12576-2023 tillsynsbegäran.docx", "A 12576-2023")</f>
        <v/>
      </c>
      <c r="Y25">
        <f>HYPERLINK("https://klasma.github.io/Logging_1290/tillsynsmail/A 12576-2023 tillsynsbegäran mail.docx", "A 12576-2023")</f>
        <v/>
      </c>
    </row>
    <row r="26" ht="15" customHeight="1">
      <c r="A26" t="inlineStr">
        <is>
          <t>A 38703-2023</t>
        </is>
      </c>
      <c r="B26" s="1" t="n">
        <v>45163</v>
      </c>
      <c r="C26" s="1" t="n">
        <v>45803</v>
      </c>
      <c r="D26" t="inlineStr">
        <is>
          <t>SKÅNE LÄN</t>
        </is>
      </c>
      <c r="E26" t="inlineStr">
        <is>
          <t>KRISTIANSTAD</t>
        </is>
      </c>
      <c r="G26" t="n">
        <v>7.6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Backtimjan
Spillkråka
Törnskata</t>
        </is>
      </c>
      <c r="S26">
        <f>HYPERLINK("https://klasma.github.io/Logging_1290/artfynd/A 38703-2023 artfynd.xlsx", "A 38703-2023")</f>
        <v/>
      </c>
      <c r="T26">
        <f>HYPERLINK("https://klasma.github.io/Logging_1290/kartor/A 38703-2023 karta.png", "A 38703-2023")</f>
        <v/>
      </c>
      <c r="V26">
        <f>HYPERLINK("https://klasma.github.io/Logging_1290/klagomål/A 38703-2023 FSC-klagomål.docx", "A 38703-2023")</f>
        <v/>
      </c>
      <c r="W26">
        <f>HYPERLINK("https://klasma.github.io/Logging_1290/klagomålsmail/A 38703-2023 FSC-klagomål mail.docx", "A 38703-2023")</f>
        <v/>
      </c>
      <c r="X26">
        <f>HYPERLINK("https://klasma.github.io/Logging_1290/tillsyn/A 38703-2023 tillsynsbegäran.docx", "A 38703-2023")</f>
        <v/>
      </c>
      <c r="Y26">
        <f>HYPERLINK("https://klasma.github.io/Logging_1290/tillsynsmail/A 38703-2023 tillsynsbegäran mail.docx", "A 38703-2023")</f>
        <v/>
      </c>
      <c r="Z26">
        <f>HYPERLINK("https://klasma.github.io/Logging_1290/fåglar/A 38703-2023 prioriterade fågelarter.docx", "A 38703-2023")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45803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45803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45803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45803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45803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45803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45803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45803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45803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45803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45803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45803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45803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45803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45803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45803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45803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45803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45803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45803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45803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45803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45803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45803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45803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45803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45803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45803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45803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45803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45803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45803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45803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45803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45803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45803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45803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45803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45803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45803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45803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45803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45803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45803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45803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45803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45803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45803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45803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45803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45803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45803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45803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45803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45803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45803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45803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45803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45803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45803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45803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45803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45803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45803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45803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45803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45803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45803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45803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45803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45803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45803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45803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45803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45803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45803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45803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45803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45803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45803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45803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45803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45803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45803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45803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45803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45803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45803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45803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45803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45803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45803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45803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45803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45803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45803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45803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45803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45803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45803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45803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45803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45803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45803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45803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45803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45803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45803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45803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45803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45803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45803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45803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45803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45803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45803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45803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45803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45803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45803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45803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45803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45803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45803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45803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45803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45803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45803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45803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45803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45803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45803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45803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45803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45803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45803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45803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45803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45803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45803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45803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45803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45803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45803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45803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45803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45803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45803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45803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45803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45803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45803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45803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45803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45803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45803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45803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45803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45803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45803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45803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45803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45803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45803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45803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45803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45803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45803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45803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45803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45803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45803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45803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45803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45803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45803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45803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45803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45803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45803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45803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45803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45803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45803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45803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45803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45803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45803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45803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45803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45803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45803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45803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45803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45803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45803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45803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45803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45803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45803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45803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45803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45803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45803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45803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45803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45803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45803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45803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45803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45803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45803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45803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45803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45803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45803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45803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45803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45803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45803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45803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45803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45803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45803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45803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45803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45803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45803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45803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45803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45803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45803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45803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45803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45803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45803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45803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45803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45803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45803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45803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45803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45803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45803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45803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45803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45803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45803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45803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45803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45803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45803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45803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45803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45803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45803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45803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45803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45803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45803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45803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45803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45803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45803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45803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45803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45803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45803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45803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45803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45803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45803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45803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45803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45803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45803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45803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45803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45803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45803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45803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45803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45803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45803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45803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45803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45803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45803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45803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45803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45803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45803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45803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45803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45803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45803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45803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45803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45803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45803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45803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45803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45803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45803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45803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45803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45803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45803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45803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45803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45803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45803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45803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45803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45803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45803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45803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45803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45803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45803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45803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45803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45803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45803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45803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45803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45803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45803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45803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45803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45803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45803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45803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45803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45803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45803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45803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45803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45803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45803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45803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45803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45803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45803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45803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45803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45803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45803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45803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45803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45803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45803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45803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45803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45803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45803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45803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45803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45803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45803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45803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45803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45803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45803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45803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45803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45803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45803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45803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45803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45803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45803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45803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45803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45803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45803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45803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45803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45803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45803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45803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45803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45803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45803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45803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45803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45803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45803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45803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45803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45803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45803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45803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45803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45803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45803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45803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45803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45803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45803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45803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45803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45803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45803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45803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45803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45803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45803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45803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45803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45803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45803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45803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45803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45803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45803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45803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45803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45803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45803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45803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45803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45803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45803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45803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45803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45803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45803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45803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45803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45803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45803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45803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45803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45803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45803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45803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45803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45803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45803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45803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45803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45803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45803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45803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45803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45803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45803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45803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45803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45803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45803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45803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45803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45803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45803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45803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45803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45803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45803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45803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45803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45803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45803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45803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45803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45803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45803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45803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45803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45803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45803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45803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45803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45803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45803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45803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45803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45803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45803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45803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45803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45803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45803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45803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45803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45803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45803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45803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45803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45803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45803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45803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45803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45803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45803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45803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45803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45803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45803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45803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45803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45803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45803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45803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45803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45803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45803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45803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45803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45803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45803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45803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45803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45803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45803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45803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45803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45803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45803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45803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45803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45803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45803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45803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45803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45803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45803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45803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45803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45803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45803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45803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45803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45803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45803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45803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45803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45803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45803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45803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45803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45803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45803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45803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45803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45803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45803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45803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45803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45803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45803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45803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45803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45803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45803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45803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45803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45803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45803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45803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45803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45803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45803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45803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45803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45803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45803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45803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45803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45803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45803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45803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45803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45803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45803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45803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45803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45803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45803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45803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45803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45803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45803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45803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45803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45803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45803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45803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45803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45803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45803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45803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45803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45803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45803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45803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45803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45803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45803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45803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45803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45803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45803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45803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45803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45803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45803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45803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45803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45803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45803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45803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45803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45803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45803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45803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45803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45803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45803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45803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45803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45803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45803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45803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45803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45803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45803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45803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45803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45803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45803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45803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45803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45803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45803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45803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45803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45803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45803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45803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45803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45803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45803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45803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45803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45803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45803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45803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45803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45803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45803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45803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45803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45803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45803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45803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45803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45803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45803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45803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45803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45803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45803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45803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45803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45803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45803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45803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45803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45803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45803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45803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45803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45803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45803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45803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45803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45803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45803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45803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45803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45803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45803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45803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45803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45803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45803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45803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45803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45803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45803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45803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45803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45803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45803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45803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45803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45803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45803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45803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45803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45803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45803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45803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45803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45803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45803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45803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45803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45803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45803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45803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45803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45803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45803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45803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45803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45803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45803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45803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45803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45803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45803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45803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45803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45803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45803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45803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45803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45803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45803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45803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45803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45803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45803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45803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45803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45803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45803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45803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45803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45803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45803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45803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45803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45803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45803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45803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45803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45803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45803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45803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45803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45803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45803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45803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45803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45803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45803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45803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45803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45803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45803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45803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45803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45803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45803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45803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45803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45803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45803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45803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45803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45803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45803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45803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45803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45803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45803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45803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45803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45803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45803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45803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45803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45803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45803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45803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45803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45803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45803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45803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45803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45803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45803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45803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45803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45803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45803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45803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45803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45803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45803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45803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45803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45803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45803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45803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45803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45803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45803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45803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45803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45803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45803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45803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45803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45803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45803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45803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45803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45803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45803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45803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45803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45803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45803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45803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45803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45803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45803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45803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45803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45803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45803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45803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45803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45803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45803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45803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45803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45803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45803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45803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45803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45803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45803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45803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45803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45803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45803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45803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45803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45803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45803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45803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45803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45803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45803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45803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45803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45803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45803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45803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45803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45803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45803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45803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45803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45803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45803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45803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45803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45803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45803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45803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45803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45803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45803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45803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45803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45803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45803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45803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45803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45803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45803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45803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45803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45803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45803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45803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45803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45803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45803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45803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45803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45803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45803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45803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45803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45803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45803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45803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45803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45803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45803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45803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45803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45803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45803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45803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45803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45803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45803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45803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45803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45803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45803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45803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45803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45803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45803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45803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45803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45803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45803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45803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45803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45803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45803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45803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45803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45803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45803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45803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45803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45803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45803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45803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45803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45803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45803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45803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45803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45803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45803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45803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45803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45803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45803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45803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45803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45803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45803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45803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45803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45803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45803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45803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45803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45803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45803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45803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45803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45803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45803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45803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45803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45803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45803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45803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45803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45803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45803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45803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45803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45803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45803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45803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45803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45803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45803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45803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45803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45803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45803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45803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45803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45803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45803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45803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45803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45803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45803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45803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45803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45803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45803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45803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45803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45803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45803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45803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45803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45803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45803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45803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45803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45803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45803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45803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45803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45803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45803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45803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45803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45803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45803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45803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45803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45803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45803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45803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45803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45803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45803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45803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45803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45803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45803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45803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45803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45803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45803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45803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45803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45803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45803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45803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45803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45803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45803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45803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45803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45803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17024-2025</t>
        </is>
      </c>
      <c r="B1074" s="1" t="n">
        <v>45755</v>
      </c>
      <c r="C1074" s="1" t="n">
        <v>45803</v>
      </c>
      <c r="D1074" t="inlineStr">
        <is>
          <t>SKÅNE LÄN</t>
        </is>
      </c>
      <c r="E1074" t="inlineStr">
        <is>
          <t>KRISTIANSTAD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17026-2025</t>
        </is>
      </c>
      <c r="B1075" s="1" t="n">
        <v>45755</v>
      </c>
      <c r="C1075" s="1" t="n">
        <v>45803</v>
      </c>
      <c r="D1075" t="inlineStr">
        <is>
          <t>SKÅNE LÄN</t>
        </is>
      </c>
      <c r="E1075" t="inlineStr">
        <is>
          <t>KRISTIANSTAD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45803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18015-2025</t>
        </is>
      </c>
      <c r="B1077" s="1" t="n">
        <v>45761</v>
      </c>
      <c r="C1077" s="1" t="n">
        <v>45803</v>
      </c>
      <c r="D1077" t="inlineStr">
        <is>
          <t>SKÅNE LÄN</t>
        </is>
      </c>
      <c r="E1077" t="inlineStr">
        <is>
          <t>KRISTIANSTAD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18035-2025</t>
        </is>
      </c>
      <c r="B1078" s="1" t="n">
        <v>45761</v>
      </c>
      <c r="C1078" s="1" t="n">
        <v>45803</v>
      </c>
      <c r="D1078" t="inlineStr">
        <is>
          <t>SKÅNE LÄN</t>
        </is>
      </c>
      <c r="E1078" t="inlineStr">
        <is>
          <t>KRISTIANSTAD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45803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18744-2025</t>
        </is>
      </c>
      <c r="B1080" s="1" t="n">
        <v>45763</v>
      </c>
      <c r="C1080" s="1" t="n">
        <v>45803</v>
      </c>
      <c r="D1080" t="inlineStr">
        <is>
          <t>SKÅNE LÄN</t>
        </is>
      </c>
      <c r="E1080" t="inlineStr">
        <is>
          <t>KRISTIANSTAD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18743-2025</t>
        </is>
      </c>
      <c r="B1081" s="1" t="n">
        <v>45763</v>
      </c>
      <c r="C1081" s="1" t="n">
        <v>45803</v>
      </c>
      <c r="D1081" t="inlineStr">
        <is>
          <t>SKÅNE LÄN</t>
        </is>
      </c>
      <c r="E1081" t="inlineStr">
        <is>
          <t>KRISTIANSTAD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45803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45803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20891-2025</t>
        </is>
      </c>
      <c r="B1084" s="1" t="n">
        <v>45777</v>
      </c>
      <c r="C1084" s="1" t="n">
        <v>45803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22634-2025</t>
        </is>
      </c>
      <c r="B1085" s="1" t="n">
        <v>45789</v>
      </c>
      <c r="C1085" s="1" t="n">
        <v>45803</v>
      </c>
      <c r="D1085" t="inlineStr">
        <is>
          <t>SKÅNE LÄN</t>
        </is>
      </c>
      <c r="E1085" t="inlineStr">
        <is>
          <t>KRISTIANSTAD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22661-2025</t>
        </is>
      </c>
      <c r="B1086" s="1" t="n">
        <v>45789</v>
      </c>
      <c r="C1086" s="1" t="n">
        <v>45803</v>
      </c>
      <c r="D1086" t="inlineStr">
        <is>
          <t>SKÅNE LÄN</t>
        </is>
      </c>
      <c r="E1086" t="inlineStr">
        <is>
          <t>KRISTIANSTAD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23560-2025</t>
        </is>
      </c>
      <c r="B1087" s="1" t="n">
        <v>45792</v>
      </c>
      <c r="C1087" s="1" t="n">
        <v>45803</v>
      </c>
      <c r="D1087" t="inlineStr">
        <is>
          <t>SKÅNE LÄN</t>
        </is>
      </c>
      <c r="E1087" t="inlineStr">
        <is>
          <t>KRISTIANSTAD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24303-2025</t>
        </is>
      </c>
      <c r="B1088" s="1" t="n">
        <v>45797</v>
      </c>
      <c r="C1088" s="1" t="n">
        <v>45803</v>
      </c>
      <c r="D1088" t="inlineStr">
        <is>
          <t>SKÅNE LÄN</t>
        </is>
      </c>
      <c r="E1088" t="inlineStr">
        <is>
          <t>KRISTIANSTAD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24797-2025</t>
        </is>
      </c>
      <c r="B1089" s="1" t="n">
        <v>45799</v>
      </c>
      <c r="C1089" s="1" t="n">
        <v>45803</v>
      </c>
      <c r="D1089" t="inlineStr">
        <is>
          <t>SKÅNE LÄN</t>
        </is>
      </c>
      <c r="E1089" t="inlineStr">
        <is>
          <t>KRISTIANSTAD</t>
        </is>
      </c>
      <c r="F1089" t="inlineStr">
        <is>
          <t>Övriga Aktiebolag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24798-2025</t>
        </is>
      </c>
      <c r="B1090" s="1" t="n">
        <v>45799</v>
      </c>
      <c r="C1090" s="1" t="n">
        <v>45803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10.1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24795-2025</t>
        </is>
      </c>
      <c r="B1091" s="1" t="n">
        <v>45799</v>
      </c>
      <c r="C1091" s="1" t="n">
        <v>45803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24803-2025</t>
        </is>
      </c>
      <c r="B1092" s="1" t="n">
        <v>45799</v>
      </c>
      <c r="C1092" s="1" t="n">
        <v>45803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>
      <c r="A1093" t="inlineStr">
        <is>
          <t>A 25433-2025</t>
        </is>
      </c>
      <c r="B1093" s="1" t="n">
        <v>45800</v>
      </c>
      <c r="C1093" s="1" t="n">
        <v>45803</v>
      </c>
      <c r="D1093" t="inlineStr">
        <is>
          <t>SKÅNE LÄN</t>
        </is>
      </c>
      <c r="E1093" t="inlineStr">
        <is>
          <t>KRISTIANSTAD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2025-05-26T17:30:47Z</dcterms:created>
  <dcterms:modified xmlns:dcterms="http://purl.org/dc/terms/" xmlns:xsi="http://www.w3.org/2001/XMLSchema-instance" xsi:type="dcterms:W3CDTF">2025-05-26T17:30:48Z</dcterms:modified>
</cp:coreProperties>
</file>