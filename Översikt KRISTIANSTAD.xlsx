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46279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46279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46279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46279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46279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46279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46279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46279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46279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46279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46279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46279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46279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46279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46279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46279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46279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46279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46279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46279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46279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46279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46279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46279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46279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46279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46279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46279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46279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46279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46279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46279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46279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46279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46279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46279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46279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46279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46279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46279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46279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46279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46279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46279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46279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46279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46279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46279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46279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46279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46279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46279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Drillsnäppa
Buskskvätta</t>
        </is>
      </c>
      <c r="W66">
        <f>HYPERLINK("https://klasma.github.io/Logging_1290/artfynd/A 15229-2023 artfynd.xlsx", "A 15229-2023")</f>
        <v/>
      </c>
      <c r="X66">
        <f>HYPERLINK("https://klasma.github.io/Logging_1290/kartor/A 15229-2023 karta.png", "A 15229-2023")</f>
        <v/>
      </c>
      <c r="Y66">
        <f>HYPERLINK("https://klasma.github.io/Logging_1290/kartor_geotiff/A 15229-2023 georefererad karta.tif", "A 15229-2023")</f>
        <v/>
      </c>
      <c r="AA66">
        <f>HYPERLINK("https://klasma.github.io/Logging_1290/klagomål/A 15229-2023 FSC-klagomål.docx", "A 15229-2023")</f>
        <v/>
      </c>
      <c r="AB66">
        <f>HYPERLINK("https://klasma.github.io/Logging_1290/klagomålsmail/A 15229-2023 FSC-klagomål mail.docx", "A 15229-2023")</f>
        <v/>
      </c>
      <c r="AC66">
        <f>HYPERLINK("https://klasma.github.io/Logging_1290/tillsyn/A 15229-2023 tillsynsbegäran.docx", "A 15229-2023")</f>
        <v/>
      </c>
      <c r="AD66">
        <f>HYPERLINK("https://klasma.github.io/Logging_1290/tillsynsmail/A 15229-2023 tillsynsbegäran mail.docx", "A 15229-2023")</f>
        <v/>
      </c>
      <c r="AE66">
        <f>HYPERLINK("https://klasma.github.io/Logging_1290/fåglar/A 15229-2023 prioriterade fågelarter.docx", "A 15229-2023")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46279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46279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46279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46279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46279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46279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46279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46279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46279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46279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46279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46279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46279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46279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46279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46279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46279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46279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46279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46279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46279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46279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46279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46279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46279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46279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46279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46279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46279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46279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46279</v>
      </c>
      <c r="F97" t="inlineStr">
        <is>
          <t>SKÅNE LÄN</t>
        </is>
      </c>
      <c r="G97" t="inlineStr">
        <is>
          <t>KRISTIANSTAD</t>
        </is>
      </c>
      <c r="I97" t="n">
        <v>20.2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Öring</t>
        </is>
      </c>
      <c r="W97">
        <f>HYPERLINK("https://klasma.github.io/Logging_1290/artfynd/A 16783-2025 artfynd.xlsx", "A 16783-2025")</f>
        <v/>
      </c>
      <c r="X97">
        <f>HYPERLINK("https://klasma.github.io/Logging_1290/kartor/A 16783-2025 karta.png", "A 16783-2025")</f>
        <v/>
      </c>
      <c r="Y97">
        <f>HYPERLINK("https://klasma.github.io/Logging_1290/kartor_geotiff/A 16783-2025 georefererad karta.tif", "A 16783-2025")</f>
        <v/>
      </c>
      <c r="AA97">
        <f>HYPERLINK("https://klasma.github.io/Logging_1290/klagomål/A 16783-2025 FSC-klagomål.docx", "A 16783-2025")</f>
        <v/>
      </c>
      <c r="AB97">
        <f>HYPERLINK("https://klasma.github.io/Logging_1290/klagomålsmail/A 16783-2025 FSC-klagomål mail.docx", "A 16783-2025")</f>
        <v/>
      </c>
      <c r="AC97">
        <f>HYPERLINK("https://klasma.github.io/Logging_1290/tillsyn/A 16783-2025 tillsynsbegäran.docx", "A 16783-2025")</f>
        <v/>
      </c>
      <c r="AD97">
        <f>HYPERLINK("https://klasma.github.io/Logging_1290/tillsynsmail/A 16783-2025 tillsynsbegäran mail.docx", "A 16783-2025")</f>
        <v/>
      </c>
    </row>
    <row r="98" ht="15" customHeight="1">
      <c r="A98" t="inlineStr">
        <is>
          <t>A 13977-2025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45738</v>
      </c>
      <c r="E98" s="1" t="n">
        <v>46279</v>
      </c>
      <c r="F98" t="inlineStr">
        <is>
          <t>SKÅNE LÄN</t>
        </is>
      </c>
      <c r="G98" t="inlineStr">
        <is>
          <t>KRISTIANSTAD</t>
        </is>
      </c>
      <c r="I98" t="n">
        <v>8.9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Rostfläck</t>
        </is>
      </c>
      <c r="W98">
        <f>HYPERLINK("https://klasma.github.io/Logging_1290/artfynd/A 13977-2025 artfynd.xlsx", "A 13977-2025")</f>
        <v/>
      </c>
      <c r="X98">
        <f>HYPERLINK("https://klasma.github.io/Logging_1290/kartor/A 13977-2025 karta.png", "A 13977-2025")</f>
        <v/>
      </c>
      <c r="Y98">
        <f>HYPERLINK("https://klasma.github.io/Logging_1290/kartor_geotiff/A 13977-2025 georefererad karta.tif", "A 13977-2025")</f>
        <v/>
      </c>
      <c r="AA98">
        <f>HYPERLINK("https://klasma.github.io/Logging_1290/klagomål/A 13977-2025 FSC-klagomål.docx", "A 13977-2025")</f>
        <v/>
      </c>
      <c r="AB98">
        <f>HYPERLINK("https://klasma.github.io/Logging_1290/klagomålsmail/A 13977-2025 FSC-klagomål mail.docx", "A 13977-2025")</f>
        <v/>
      </c>
      <c r="AC98">
        <f>HYPERLINK("https://klasma.github.io/Logging_1290/tillsyn/A 13977-2025 tillsynsbegäran.docx", "A 13977-2025")</f>
        <v/>
      </c>
      <c r="AD98">
        <f>HYPERLINK("https://klasma.github.io/Logging_1290/tillsynsmail/A 13977-2025 tillsynsbegäran mail.docx", "A 13977-2025")</f>
        <v/>
      </c>
    </row>
    <row r="99" ht="15" customHeight="1">
      <c r="A99" t="inlineStr">
        <is>
          <t>A 41004-2022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46279</v>
      </c>
      <c r="F99" t="inlineStr">
        <is>
          <t>SKÅNE LÄN</t>
        </is>
      </c>
      <c r="G99" t="inlineStr">
        <is>
          <t>KRISTIANSTAD</t>
        </is>
      </c>
      <c r="I99" t="n">
        <v>2.4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Skogsbräsma</t>
        </is>
      </c>
      <c r="W99">
        <f>HYPERLINK("https://klasma.github.io/Logging_1290/artfynd/A 41004-2022 artfynd.xlsx", "A 41004-2022")</f>
        <v/>
      </c>
      <c r="X99">
        <f>HYPERLINK("https://klasma.github.io/Logging_1290/kartor/A 41004-2022 karta.png", "A 41004-2022")</f>
        <v/>
      </c>
      <c r="Y99">
        <f>HYPERLINK("https://klasma.github.io/Logging_1290/kartor_geotiff/A 41004-2022 georefererad karta.tif", "A 41004-2022")</f>
        <v/>
      </c>
      <c r="AA99">
        <f>HYPERLINK("https://klasma.github.io/Logging_1290/klagomål/A 41004-2022 FSC-klagomål.docx", "A 41004-2022")</f>
        <v/>
      </c>
      <c r="AB99">
        <f>HYPERLINK("https://klasma.github.io/Logging_1290/klagomålsmail/A 41004-2022 FSC-klagomål mail.docx", "A 41004-2022")</f>
        <v/>
      </c>
      <c r="AC99">
        <f>HYPERLINK("https://klasma.github.io/Logging_1290/tillsyn/A 41004-2022 tillsynsbegäran.docx", "A 41004-2022")</f>
        <v/>
      </c>
      <c r="AD99">
        <f>HYPERLINK("https://klasma.github.io/Logging_1290/tillsynsmail/A 41004-2022 tillsynsbegäran mail.docx", "A 41004-2022")</f>
        <v/>
      </c>
    </row>
    <row r="100" ht="15" customHeight="1">
      <c r="A100" t="inlineStr">
        <is>
          <t>A 32101-2024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46279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Skogsknipprot</t>
        </is>
      </c>
      <c r="W100">
        <f>HYPERLINK("https://klasma.github.io/Logging_1290/artfynd/A 32101-2024 artfynd.xlsx", "A 32101-2024")</f>
        <v/>
      </c>
      <c r="X100">
        <f>HYPERLINK("https://klasma.github.io/Logging_1290/kartor/A 32101-2024 karta.png", "A 32101-2024")</f>
        <v/>
      </c>
      <c r="Y100">
        <f>HYPERLINK("https://klasma.github.io/Logging_1290/kartor_geotiff/A 32101-2024 georefererad karta.tif", "A 32101-2024")</f>
        <v/>
      </c>
      <c r="AA100">
        <f>HYPERLINK("https://klasma.github.io/Logging_1290/klagomål/A 32101-2024 FSC-klagomål.docx", "A 32101-2024")</f>
        <v/>
      </c>
      <c r="AB100">
        <f>HYPERLINK("https://klasma.github.io/Logging_1290/klagomålsmail/A 32101-2024 FSC-klagomål mail.docx", "A 32101-2024")</f>
        <v/>
      </c>
      <c r="AC100">
        <f>HYPERLINK("https://klasma.github.io/Logging_1290/tillsyn/A 32101-2024 tillsynsbegäran.docx", "A 32101-2024")</f>
        <v/>
      </c>
      <c r="AD100">
        <f>HYPERLINK("https://klasma.github.io/Logging_1290/tillsynsmail/A 32101-2024 tillsynsbegäran mail.docx", "A 32101-2024")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46279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46279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46279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28429-2024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45477</v>
      </c>
      <c r="E104" s="1" t="n">
        <v>46279</v>
      </c>
      <c r="F104" t="inlineStr">
        <is>
          <t>SKÅNE LÄN</t>
        </is>
      </c>
      <c r="G104" t="inlineStr">
        <is>
          <t>KRISTIANSTAD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Knölspindel</t>
        </is>
      </c>
      <c r="W104">
        <f>HYPERLINK("https://klasma.github.io/Logging_1290/artfynd/A 28429-2024 artfynd.xlsx", "A 28429-2024")</f>
        <v/>
      </c>
      <c r="X104">
        <f>HYPERLINK("https://klasma.github.io/Logging_1290/kartor/A 28429-2024 karta.png", "A 28429-2024")</f>
        <v/>
      </c>
      <c r="Y104">
        <f>HYPERLINK("https://klasma.github.io/Logging_1290/kartor_geotiff/A 28429-2024 georefererad karta.tif", "A 28429-2024")</f>
        <v/>
      </c>
      <c r="AA104">
        <f>HYPERLINK("https://klasma.github.io/Logging_1290/klagomål/A 28429-2024 FSC-klagomål.docx", "A 28429-2024")</f>
        <v/>
      </c>
      <c r="AB104">
        <f>HYPERLINK("https://klasma.github.io/Logging_1290/klagomålsmail/A 28429-2024 FSC-klagomål mail.docx", "A 28429-2024")</f>
        <v/>
      </c>
      <c r="AC104">
        <f>HYPERLINK("https://klasma.github.io/Logging_1290/tillsyn/A 28429-2024 tillsynsbegäran.docx", "A 28429-2024")</f>
        <v/>
      </c>
      <c r="AD104">
        <f>HYPERLINK("https://klasma.github.io/Logging_1290/tillsynsmail/A 28429-2024 tillsynsbegäran mail.docx", "A 28429-2024")</f>
        <v/>
      </c>
    </row>
    <row r="105" ht="15" customHeight="1">
      <c r="A105" t="inlineStr">
        <is>
          <t>A 53189-2025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46279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HYPERLINK("https://klasma.github.io/Logging_1290/artfynd/A 53189-2025 artfynd.xlsx", "A 53189-2025")</f>
        <v/>
      </c>
      <c r="X105">
        <f>HYPERLINK("https://klasma.github.io/Logging_1290/kartor/A 53189-2025 karta.png", "A 53189-2025")</f>
        <v/>
      </c>
      <c r="Y105">
        <f>HYPERLINK("https://klasma.github.io/Logging_1290/kartor_geotiff/A 53189-2025 georefererad karta.tif", "A 53189-2025")</f>
        <v/>
      </c>
      <c r="AA105">
        <f>HYPERLINK("https://klasma.github.io/Logging_1290/klagomål/A 53189-2025 FSC-klagomål.docx", "A 53189-2025")</f>
        <v/>
      </c>
      <c r="AB105">
        <f>HYPERLINK("https://klasma.github.io/Logging_1290/klagomålsmail/A 53189-2025 FSC-klagomål mail.docx", "A 53189-2025")</f>
        <v/>
      </c>
      <c r="AC105">
        <f>HYPERLINK("https://klasma.github.io/Logging_1290/tillsyn/A 53189-2025 tillsynsbegäran.docx", "A 53189-2025")</f>
        <v/>
      </c>
      <c r="AD105">
        <f>HYPERLINK("https://klasma.github.io/Logging_1290/tillsynsmail/A 53189-2025 tillsynsbegäran mail.docx", "A 53189-2025")</f>
        <v/>
      </c>
    </row>
    <row r="106" ht="15" customHeight="1">
      <c r="A106" t="inlineStr">
        <is>
          <t>A 53182-2025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46279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Entita</t>
        </is>
      </c>
      <c r="W106">
        <f>HYPERLINK("https://klasma.github.io/Logging_1290/artfynd/A 53182-2025 artfynd.xlsx", "A 53182-2025")</f>
        <v/>
      </c>
      <c r="X106">
        <f>HYPERLINK("https://klasma.github.io/Logging_1290/kartor/A 53182-2025 karta.png", "A 53182-2025")</f>
        <v/>
      </c>
      <c r="Y106">
        <f>HYPERLINK("https://klasma.github.io/Logging_1290/kartor_geotiff/A 53182-2025 georefererad karta.tif", "A 53182-2025")</f>
        <v/>
      </c>
      <c r="AA106">
        <f>HYPERLINK("https://klasma.github.io/Logging_1290/klagomål/A 53182-2025 FSC-klagomål.docx", "A 53182-2025")</f>
        <v/>
      </c>
      <c r="AB106">
        <f>HYPERLINK("https://klasma.github.io/Logging_1290/klagomålsmail/A 53182-2025 FSC-klagomål mail.docx", "A 53182-2025")</f>
        <v/>
      </c>
      <c r="AC106">
        <f>HYPERLINK("https://klasma.github.io/Logging_1290/tillsyn/A 53182-2025 tillsynsbegäran.docx", "A 53182-2025")</f>
        <v/>
      </c>
      <c r="AD106">
        <f>HYPERLINK("https://klasma.github.io/Logging_1290/tillsynsmail/A 53182-2025 tillsynsbegäran mail.docx", "A 53182-2025")</f>
        <v/>
      </c>
      <c r="AE106">
        <f>HYPERLINK("https://klasma.github.io/Logging_1290/fåglar/A 53182-2025 prioriterade fågelarter.docx", "A 53182-2025")</f>
        <v/>
      </c>
    </row>
    <row r="107" ht="15" customHeight="1">
      <c r="A107" t="inlineStr">
        <is>
          <t>A 16079-2026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46279</v>
      </c>
      <c r="F107" t="inlineStr">
        <is>
          <t>SKÅNE LÄN</t>
        </is>
      </c>
      <c r="G107" t="inlineStr">
        <is>
          <t>KRISTIANSTAD</t>
        </is>
      </c>
      <c r="I107" t="n">
        <v>13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2</v>
      </c>
      <c r="V107" s="2" t="inlineStr">
        <is>
          <t>Småvänderot</t>
        </is>
      </c>
      <c r="W107">
        <f>HYPERLINK("https://klasma.github.io/Logging_1290/artfynd/A 16079-2026 artfynd.xlsx", "A 16079-2026")</f>
        <v/>
      </c>
      <c r="X107">
        <f>HYPERLINK("https://klasma.github.io/Logging_1290/kartor/A 16079-2026 karta.png", "A 16079-2026")</f>
        <v/>
      </c>
      <c r="Y107">
        <f>HYPERLINK("https://klasma.github.io/Logging_1290/kartor_geotiff/A 16079-2026 georefererad karta.tif", "A 16079-2026")</f>
        <v/>
      </c>
      <c r="AA107">
        <f>HYPERLINK("https://klasma.github.io/Logging_1290/klagomål/A 16079-2026 FSC-klagomål.docx", "A 16079-2026")</f>
        <v/>
      </c>
      <c r="AB107">
        <f>HYPERLINK("https://klasma.github.io/Logging_1290/klagomålsmail/A 16079-2026 FSC-klagomål mail.docx", "A 16079-2026")</f>
        <v/>
      </c>
      <c r="AC107">
        <f>HYPERLINK("https://klasma.github.io/Logging_1290/tillsyn/A 16079-2026 tillsynsbegäran.docx", "A 16079-2026")</f>
        <v/>
      </c>
      <c r="AD107">
        <f>HYPERLINK("https://klasma.github.io/Logging_1290/tillsynsmail/A 16079-2026 tillsynsbegäran mail.docx", "A 16079-2026")</f>
        <v/>
      </c>
    </row>
    <row r="108" ht="15" customHeight="1">
      <c r="A108" t="inlineStr">
        <is>
          <t>A 15105-2023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46279</v>
      </c>
      <c r="F108" t="inlineStr">
        <is>
          <t>SKÅNE LÄN</t>
        </is>
      </c>
      <c r="G108" t="inlineStr">
        <is>
          <t>KRISTIANSTAD</t>
        </is>
      </c>
      <c r="H108" t="inlineStr">
        <is>
          <t>Kyrkan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Liten baronmossa</t>
        </is>
      </c>
      <c r="W108">
        <f>HYPERLINK("https://klasma.github.io/Logging_1290/artfynd/A 15105-2023 artfynd.xlsx", "A 15105-2023")</f>
        <v/>
      </c>
      <c r="X108">
        <f>HYPERLINK("https://klasma.github.io/Logging_1290/kartor/A 15105-2023 karta.png", "A 15105-2023")</f>
        <v/>
      </c>
      <c r="Y108">
        <f>HYPERLINK("https://klasma.github.io/Logging_1290/kartor_geotiff/A 15105-2023 georefererad karta.tif", "A 15105-2023")</f>
        <v/>
      </c>
      <c r="AA108">
        <f>HYPERLINK("https://klasma.github.io/Logging_1290/klagomål/A 15105-2023 FSC-klagomål.docx", "A 15105-2023")</f>
        <v/>
      </c>
      <c r="AB108">
        <f>HYPERLINK("https://klasma.github.io/Logging_1290/klagomålsmail/A 15105-2023 FSC-klagomål mail.docx", "A 15105-2023")</f>
        <v/>
      </c>
      <c r="AC108">
        <f>HYPERLINK("https://klasma.github.io/Logging_1290/tillsyn/A 15105-2023 tillsynsbegäran.docx", "A 15105-2023")</f>
        <v/>
      </c>
      <c r="AD108">
        <f>HYPERLINK("https://klasma.github.io/Logging_1290/tillsynsmail/A 15105-2023 tillsynsbegäran mail.docx", "A 15105-2023")</f>
        <v/>
      </c>
    </row>
    <row r="109" ht="15" customHeight="1">
      <c r="A109" t="inlineStr">
        <is>
          <t>A 58474-2025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46279</v>
      </c>
      <c r="F109" t="inlineStr">
        <is>
          <t>SKÅNE LÄN</t>
        </is>
      </c>
      <c r="G109" t="inlineStr">
        <is>
          <t>KRISTIANSTAD</t>
        </is>
      </c>
      <c r="I109" t="n">
        <v>4.7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Storspov</t>
        </is>
      </c>
      <c r="W109">
        <f>HYPERLINK("https://klasma.github.io/Logging_1290/artfynd/A 58474-2025 artfynd.xlsx", "A 58474-2025")</f>
        <v/>
      </c>
      <c r="X109">
        <f>HYPERLINK("https://klasma.github.io/Logging_1290/kartor/A 58474-2025 karta.png", "A 58474-2025")</f>
        <v/>
      </c>
      <c r="Y109">
        <f>HYPERLINK("https://klasma.github.io/Logging_1290/kartor_geotiff/A 58474-2025 georefererad karta.tif", "A 58474-2025")</f>
        <v/>
      </c>
      <c r="AA109">
        <f>HYPERLINK("https://klasma.github.io/Logging_1290/klagomål/A 58474-2025 FSC-klagomål.docx", "A 58474-2025")</f>
        <v/>
      </c>
      <c r="AB109">
        <f>HYPERLINK("https://klasma.github.io/Logging_1290/klagomålsmail/A 58474-2025 FSC-klagomål mail.docx", "A 58474-2025")</f>
        <v/>
      </c>
      <c r="AC109">
        <f>HYPERLINK("https://klasma.github.io/Logging_1290/tillsyn/A 58474-2025 tillsynsbegäran.docx", "A 58474-2025")</f>
        <v/>
      </c>
      <c r="AD109">
        <f>HYPERLINK("https://klasma.github.io/Logging_1290/tillsynsmail/A 58474-2025 tillsynsbegäran mail.docx", "A 58474-2025")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46279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19704-2026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46279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Desmeknopp</t>
        </is>
      </c>
      <c r="W111">
        <f>HYPERLINK("https://klasma.github.io/Logging_1290/artfynd/A 19704-2026 artfynd.xlsx", "A 19704-2026")</f>
        <v/>
      </c>
      <c r="X111">
        <f>HYPERLINK("https://klasma.github.io/Logging_1290/kartor/A 19704-2026 karta.png", "A 19704-2026")</f>
        <v/>
      </c>
      <c r="Y111">
        <f>HYPERLINK("https://klasma.github.io/Logging_1290/kartor_geotiff/A 19704-2026 georefererad karta.tif", "A 19704-2026")</f>
        <v/>
      </c>
      <c r="AA111">
        <f>HYPERLINK("https://klasma.github.io/Logging_1290/klagomål/A 19704-2026 FSC-klagomål.docx", "A 19704-2026")</f>
        <v/>
      </c>
      <c r="AB111">
        <f>HYPERLINK("https://klasma.github.io/Logging_1290/klagomålsmail/A 19704-2026 FSC-klagomål mail.docx", "A 19704-2026")</f>
        <v/>
      </c>
      <c r="AC111">
        <f>HYPERLINK("https://klasma.github.io/Logging_1290/tillsyn/A 19704-2026 tillsynsbegäran.docx", "A 19704-2026")</f>
        <v/>
      </c>
      <c r="AD111">
        <f>HYPERLINK("https://klasma.github.io/Logging_1290/tillsynsmail/A 19704-2026 tillsynsbegäran mail.docx", "A 19704-2026")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46279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50702-2025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46279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Guldlockmossa</t>
        </is>
      </c>
      <c r="W113">
        <f>HYPERLINK("https://klasma.github.io/Logging_1290/artfynd/A 50702-2025 artfynd.xlsx", "A 50702-2025")</f>
        <v/>
      </c>
      <c r="X113">
        <f>HYPERLINK("https://klasma.github.io/Logging_1290/kartor/A 50702-2025 karta.png", "A 50702-2025")</f>
        <v/>
      </c>
      <c r="Y113">
        <f>HYPERLINK("https://klasma.github.io/Logging_1290/kartor_geotiff/A 50702-2025 georefererad karta.tif", "A 50702-2025")</f>
        <v/>
      </c>
      <c r="AA113">
        <f>HYPERLINK("https://klasma.github.io/Logging_1290/klagomål/A 50702-2025 FSC-klagomål.docx", "A 50702-2025")</f>
        <v/>
      </c>
      <c r="AB113">
        <f>HYPERLINK("https://klasma.github.io/Logging_1290/klagomålsmail/A 50702-2025 FSC-klagomål mail.docx", "A 50702-2025")</f>
        <v/>
      </c>
      <c r="AC113">
        <f>HYPERLINK("https://klasma.github.io/Logging_1290/tillsyn/A 50702-2025 tillsynsbegäran.docx", "A 50702-2025")</f>
        <v/>
      </c>
      <c r="AD113">
        <f>HYPERLINK("https://klasma.github.io/Logging_1290/tillsynsmail/A 50702-2025 tillsynsbegäran mail.docx", "A 50702-2025")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46279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34096-2025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46279</v>
      </c>
      <c r="F115" t="inlineStr">
        <is>
          <t>SKÅNE LÄN</t>
        </is>
      </c>
      <c r="G115" t="inlineStr">
        <is>
          <t>KRISTIANSTAD</t>
        </is>
      </c>
      <c r="I115" t="n">
        <v>6.5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Dunmossa</t>
        </is>
      </c>
      <c r="W115">
        <f>HYPERLINK("https://klasma.github.io/Logging_1290/artfynd/A 34096-2025 artfynd.xlsx", "A 34096-2025")</f>
        <v/>
      </c>
      <c r="X115">
        <f>HYPERLINK("https://klasma.github.io/Logging_1290/kartor/A 34096-2025 karta.png", "A 34096-2025")</f>
        <v/>
      </c>
      <c r="Y115">
        <f>HYPERLINK("https://klasma.github.io/Logging_1290/kartor_geotiff/A 34096-2025 georefererad karta.tif", "A 34096-2025")</f>
        <v/>
      </c>
      <c r="AA115">
        <f>HYPERLINK("https://klasma.github.io/Logging_1290/klagomål/A 34096-2025 FSC-klagomål.docx", "A 34096-2025")</f>
        <v/>
      </c>
      <c r="AB115">
        <f>HYPERLINK("https://klasma.github.io/Logging_1290/klagomålsmail/A 34096-2025 FSC-klagomål mail.docx", "A 34096-2025")</f>
        <v/>
      </c>
      <c r="AC115">
        <f>HYPERLINK("https://klasma.github.io/Logging_1290/tillsyn/A 34096-2025 tillsynsbegäran.docx", "A 34096-2025")</f>
        <v/>
      </c>
      <c r="AD115">
        <f>HYPERLINK("https://klasma.github.io/Logging_1290/tillsynsmail/A 34096-2025 tillsynsbegäran mail.docx", "A 34096-2025")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46279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46279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38440-2024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46279</v>
      </c>
      <c r="F118" t="inlineStr">
        <is>
          <t>SKÅNE LÄN</t>
        </is>
      </c>
      <c r="G118" t="inlineStr">
        <is>
          <t>KRISTIANSTAD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HYPERLINK("https://klasma.github.io/Logging_1290/artfynd/A 38440-2024 artfynd.xlsx", "A 38440-2024")</f>
        <v/>
      </c>
      <c r="X118">
        <f>HYPERLINK("https://klasma.github.io/Logging_1290/kartor/A 38440-2024 karta.png", "A 38440-2024")</f>
        <v/>
      </c>
      <c r="Y118">
        <f>HYPERLINK("https://klasma.github.io/Logging_1290/kartor_geotiff/A 38440-2024 georefererad karta.tif", "A 38440-2024")</f>
        <v/>
      </c>
      <c r="AA118">
        <f>HYPERLINK("https://klasma.github.io/Logging_1290/klagomål/A 38440-2024 FSC-klagomål.docx", "A 38440-2024")</f>
        <v/>
      </c>
      <c r="AB118">
        <f>HYPERLINK("https://klasma.github.io/Logging_1290/klagomålsmail/A 38440-2024 FSC-klagomål mail.docx", "A 38440-2024")</f>
        <v/>
      </c>
      <c r="AC118">
        <f>HYPERLINK("https://klasma.github.io/Logging_1290/tillsyn/A 38440-2024 tillsynsbegäran.docx", "A 38440-2024")</f>
        <v/>
      </c>
      <c r="AD118">
        <f>HYPERLINK("https://klasma.github.io/Logging_1290/tillsynsmail/A 38440-2024 tillsynsbegäran mail.docx", "A 38440-2024")</f>
        <v/>
      </c>
    </row>
    <row r="119" ht="15" customHeight="1">
      <c r="A119" t="inlineStr">
        <is>
          <t>A 17023-2025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46279</v>
      </c>
      <c r="F119" t="inlineStr">
        <is>
          <t>SKÅNE LÄN</t>
        </is>
      </c>
      <c r="G119" t="inlineStr">
        <is>
          <t>KRISTIANSTAD</t>
        </is>
      </c>
      <c r="I119" t="n">
        <v>5.7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Ekskinn</t>
        </is>
      </c>
      <c r="W119">
        <f>HYPERLINK("https://klasma.github.io/Logging_1290/artfynd/A 17023-2025 artfynd.xlsx", "A 17023-2025")</f>
        <v/>
      </c>
      <c r="X119">
        <f>HYPERLINK("https://klasma.github.io/Logging_1290/kartor/A 17023-2025 karta.png", "A 17023-2025")</f>
        <v/>
      </c>
      <c r="Y119">
        <f>HYPERLINK("https://klasma.github.io/Logging_1290/kartor_geotiff/A 17023-2025 georefererad karta.tif", "A 17023-2025")</f>
        <v/>
      </c>
      <c r="AA119">
        <f>HYPERLINK("https://klasma.github.io/Logging_1290/klagomål/A 17023-2025 FSC-klagomål.docx", "A 17023-2025")</f>
        <v/>
      </c>
      <c r="AB119">
        <f>HYPERLINK("https://klasma.github.io/Logging_1290/klagomålsmail/A 17023-2025 FSC-klagomål mail.docx", "A 17023-2025")</f>
        <v/>
      </c>
      <c r="AC119">
        <f>HYPERLINK("https://klasma.github.io/Logging_1290/tillsyn/A 17023-2025 tillsynsbegäran.docx", "A 17023-2025")</f>
        <v/>
      </c>
      <c r="AD119">
        <f>HYPERLINK("https://klasma.github.io/Logging_1290/tillsynsmail/A 17023-2025 tillsynsbegäran mail.docx", "A 17023-2025")</f>
        <v/>
      </c>
    </row>
    <row r="120" ht="15" customHeight="1">
      <c r="A120" t="inlineStr">
        <is>
          <t>A 50699-2025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46279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Guldlockmossa</t>
        </is>
      </c>
      <c r="W120">
        <f>HYPERLINK("https://klasma.github.io/Logging_1290/artfynd/A 50699-2025 artfynd.xlsx", "A 50699-2025")</f>
        <v/>
      </c>
      <c r="X120">
        <f>HYPERLINK("https://klasma.github.io/Logging_1290/kartor/A 50699-2025 karta.png", "A 50699-2025")</f>
        <v/>
      </c>
      <c r="Y120">
        <f>HYPERLINK("https://klasma.github.io/Logging_1290/kartor_geotiff/A 50699-2025 georefererad karta.tif", "A 50699-2025")</f>
        <v/>
      </c>
      <c r="AA120">
        <f>HYPERLINK("https://klasma.github.io/Logging_1290/klagomål/A 50699-2025 FSC-klagomål.docx", "A 50699-2025")</f>
        <v/>
      </c>
      <c r="AB120">
        <f>HYPERLINK("https://klasma.github.io/Logging_1290/klagomålsmail/A 50699-2025 FSC-klagomål mail.docx", "A 50699-2025")</f>
        <v/>
      </c>
      <c r="AC120">
        <f>HYPERLINK("https://klasma.github.io/Logging_1290/tillsyn/A 50699-2025 tillsynsbegäran.docx", "A 50699-2025")</f>
        <v/>
      </c>
      <c r="AD120">
        <f>HYPERLINK("https://klasma.github.io/Logging_1290/tillsynsmail/A 50699-2025 tillsynsbegäran mail.docx", "A 50699-2025")</f>
        <v/>
      </c>
    </row>
    <row r="121" ht="15" customHeight="1">
      <c r="A121" t="inlineStr">
        <is>
          <t>A 21835-2026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46279</v>
      </c>
      <c r="F121" t="inlineStr">
        <is>
          <t>SKÅNE LÄN</t>
        </is>
      </c>
      <c r="G121" t="inlineStr">
        <is>
          <t>KRISTIANSTAD</t>
        </is>
      </c>
      <c r="I121" t="n">
        <v>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Skogsbräsma</t>
        </is>
      </c>
      <c r="W121">
        <f>HYPERLINK("https://klasma.github.io/Logging_1290/artfynd/A 21835-2026 artfynd.xlsx", "A 21835-2026")</f>
        <v/>
      </c>
      <c r="X121">
        <f>HYPERLINK("https://klasma.github.io/Logging_1290/kartor/A 21835-2026 karta.png", "A 21835-2026")</f>
        <v/>
      </c>
      <c r="Y121">
        <f>HYPERLINK("https://klasma.github.io/Logging_1290/kartor_geotiff/A 21835-2026 georefererad karta.tif", "A 21835-2026")</f>
        <v/>
      </c>
      <c r="AA121">
        <f>HYPERLINK("https://klasma.github.io/Logging_1290/klagomål/A 21835-2026 FSC-klagomål.docx", "A 21835-2026")</f>
        <v/>
      </c>
      <c r="AB121">
        <f>HYPERLINK("https://klasma.github.io/Logging_1290/klagomålsmail/A 21835-2026 FSC-klagomål mail.docx", "A 21835-2026")</f>
        <v/>
      </c>
      <c r="AC121">
        <f>HYPERLINK("https://klasma.github.io/Logging_1290/tillsyn/A 21835-2026 tillsynsbegäran.docx", "A 21835-2026")</f>
        <v/>
      </c>
      <c r="AD121">
        <f>HYPERLINK("https://klasma.github.io/Logging_1290/tillsynsmail/A 21835-2026 tillsynsbegäran mail.docx", "A 21835-2026")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46279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46279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46279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46279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46279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46279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46279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46279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46279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30857-2023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46279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Sommarfibbla</t>
        </is>
      </c>
      <c r="W131">
        <f>HYPERLINK("https://klasma.github.io/Logging_1290/artfynd/A 30857-2023 artfynd.xlsx", "A 30857-2023")</f>
        <v/>
      </c>
      <c r="X131">
        <f>HYPERLINK("https://klasma.github.io/Logging_1290/kartor/A 30857-2023 karta.png", "A 30857-2023")</f>
        <v/>
      </c>
      <c r="Y131">
        <f>HYPERLINK("https://klasma.github.io/Logging_1290/kartor_geotiff/A 30857-2023 georefererad karta.tif", "A 30857-2023")</f>
        <v/>
      </c>
      <c r="AA131">
        <f>HYPERLINK("https://klasma.github.io/Logging_1290/klagomål/A 30857-2023 FSC-klagomål.docx", "A 30857-2023")</f>
        <v/>
      </c>
      <c r="AB131">
        <f>HYPERLINK("https://klasma.github.io/Logging_1290/klagomålsmail/A 30857-2023 FSC-klagomål mail.docx", "A 30857-2023")</f>
        <v/>
      </c>
      <c r="AC131">
        <f>HYPERLINK("https://klasma.github.io/Logging_1290/tillsyn/A 30857-2023 tillsynsbegäran.docx", "A 30857-2023")</f>
        <v/>
      </c>
      <c r="AD131">
        <f>HYPERLINK("https://klasma.github.io/Logging_1290/tillsynsmail/A 30857-2023 tillsynsbegäran mail.docx", "A 30857-2023")</f>
        <v/>
      </c>
    </row>
    <row r="132" ht="15" customHeight="1">
      <c r="A132" t="inlineStr">
        <is>
          <t>A 30918-2022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46279</v>
      </c>
      <c r="F132" t="inlineStr">
        <is>
          <t>SKÅNE LÄN</t>
        </is>
      </c>
      <c r="G132" t="inlineStr">
        <is>
          <t>KRISTIANSTAD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30918-2022 artfynd.xlsx", "A 30918-2022")</f>
        <v/>
      </c>
      <c r="X132">
        <f>HYPERLINK("https://klasma.github.io/Logging_1290/kartor/A 30918-2022 karta.png", "A 30918-2022")</f>
        <v/>
      </c>
      <c r="Y132">
        <f>HYPERLINK("https://klasma.github.io/Logging_1290/kartor_geotiff/A 30918-2022 georefererad karta.tif", "A 30918-2022")</f>
        <v/>
      </c>
      <c r="AA132">
        <f>HYPERLINK("https://klasma.github.io/Logging_1290/klagomål/A 30918-2022 FSC-klagomål.docx", "A 30918-2022")</f>
        <v/>
      </c>
      <c r="AB132">
        <f>HYPERLINK("https://klasma.github.io/Logging_1290/klagomålsmail/A 30918-2022 FSC-klagomål mail.docx", "A 30918-2022")</f>
        <v/>
      </c>
      <c r="AC132">
        <f>HYPERLINK("https://klasma.github.io/Logging_1290/tillsyn/A 30918-2022 tillsynsbegäran.docx", "A 30918-2022")</f>
        <v/>
      </c>
      <c r="AD132">
        <f>HYPERLINK("https://klasma.github.io/Logging_1290/tillsynsmail/A 30918-2022 tillsynsbegäran mail.docx", "A 30918-2022")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46279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33362-2023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46279</v>
      </c>
      <c r="F134" t="inlineStr">
        <is>
          <t>SKÅNE LÄN</t>
        </is>
      </c>
      <c r="G134" t="inlineStr">
        <is>
          <t>KRISTIANSTAD</t>
        </is>
      </c>
      <c r="I134" t="n">
        <v>4.9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Rostfläck</t>
        </is>
      </c>
      <c r="W134">
        <f>HYPERLINK("https://klasma.github.io/Logging_1290/artfynd/A 33362-2023 artfynd.xlsx", "A 33362-2023")</f>
        <v/>
      </c>
      <c r="X134">
        <f>HYPERLINK("https://klasma.github.io/Logging_1290/kartor/A 33362-2023 karta.png", "A 33362-2023")</f>
        <v/>
      </c>
      <c r="Y134">
        <f>HYPERLINK("https://klasma.github.io/Logging_1290/kartor_geotiff/A 33362-2023 georefererad karta.tif", "A 33362-2023")</f>
        <v/>
      </c>
      <c r="AA134">
        <f>HYPERLINK("https://klasma.github.io/Logging_1290/klagomål/A 33362-2023 FSC-klagomål.docx", "A 33362-2023")</f>
        <v/>
      </c>
      <c r="AB134">
        <f>HYPERLINK("https://klasma.github.io/Logging_1290/klagomålsmail/A 33362-2023 FSC-klagomål mail.docx", "A 33362-2023")</f>
        <v/>
      </c>
      <c r="AC134">
        <f>HYPERLINK("https://klasma.github.io/Logging_1290/tillsyn/A 33362-2023 tillsynsbegäran.docx", "A 33362-2023")</f>
        <v/>
      </c>
      <c r="AD134">
        <f>HYPERLINK("https://klasma.github.io/Logging_1290/tillsynsmail/A 33362-2023 tillsynsbegäran mail.docx", "A 33362-2023")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46279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52014-2024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46279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Luddfingerört</t>
        </is>
      </c>
      <c r="W136">
        <f>HYPERLINK("https://klasma.github.io/Logging_1290/artfynd/A 52014-2024 artfynd.xlsx", "A 52014-2024")</f>
        <v/>
      </c>
      <c r="X136">
        <f>HYPERLINK("https://klasma.github.io/Logging_1290/kartor/A 52014-2024 karta.png", "A 52014-2024")</f>
        <v/>
      </c>
      <c r="Y136">
        <f>HYPERLINK("https://klasma.github.io/Logging_1290/kartor_geotiff/A 52014-2024 georefererad karta.tif", "A 52014-2024")</f>
        <v/>
      </c>
      <c r="AA136">
        <f>HYPERLINK("https://klasma.github.io/Logging_1290/klagomål/A 52014-2024 FSC-klagomål.docx", "A 52014-2024")</f>
        <v/>
      </c>
      <c r="AB136">
        <f>HYPERLINK("https://klasma.github.io/Logging_1290/klagomålsmail/A 52014-2024 FSC-klagomål mail.docx", "A 52014-2024")</f>
        <v/>
      </c>
      <c r="AC136">
        <f>HYPERLINK("https://klasma.github.io/Logging_1290/tillsyn/A 52014-2024 tillsynsbegäran.docx", "A 52014-2024")</f>
        <v/>
      </c>
      <c r="AD136">
        <f>HYPERLINK("https://klasma.github.io/Logging_1290/tillsynsmail/A 52014-2024 tillsynsbegäran mail.docx", "A 52014-2024")</f>
        <v/>
      </c>
    </row>
    <row r="137" ht="15" customHeight="1">
      <c r="A137" t="inlineStr">
        <is>
          <t>A 15706-2025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46279</v>
      </c>
      <c r="F137" t="inlineStr">
        <is>
          <t>SKÅNE LÄN</t>
        </is>
      </c>
      <c r="G137" t="inlineStr">
        <is>
          <t>KRISTIANSTAD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HYPERLINK("https://klasma.github.io/Logging_1290/artfynd/A 15706-2025 artfynd.xlsx", "A 15706-2025")</f>
        <v/>
      </c>
      <c r="X137">
        <f>HYPERLINK("https://klasma.github.io/Logging_1290/kartor/A 15706-2025 karta.png", "A 15706-2025")</f>
        <v/>
      </c>
      <c r="Y137">
        <f>HYPERLINK("https://klasma.github.io/Logging_1290/kartor_geotiff/A 15706-2025 georefererad karta.tif", "A 15706-2025")</f>
        <v/>
      </c>
      <c r="AA137">
        <f>HYPERLINK("https://klasma.github.io/Logging_1290/klagomål/A 15706-2025 FSC-klagomål.docx", "A 15706-2025")</f>
        <v/>
      </c>
      <c r="AB137">
        <f>HYPERLINK("https://klasma.github.io/Logging_1290/klagomålsmail/A 15706-2025 FSC-klagomål mail.docx", "A 15706-2025")</f>
        <v/>
      </c>
      <c r="AC137">
        <f>HYPERLINK("https://klasma.github.io/Logging_1290/tillsyn/A 15706-2025 tillsynsbegäran.docx", "A 15706-2025")</f>
        <v/>
      </c>
      <c r="AD137">
        <f>HYPERLINK("https://klasma.github.io/Logging_1290/tillsynsmail/A 15706-2025 tillsynsbegäran mail.docx", "A 15706-2025")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46279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46279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46279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46279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46279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46279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46279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46279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46279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46279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46279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46279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46279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46279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46279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46279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46279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46279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46279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46279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46279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46279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46279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46279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46279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46279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46279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46279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46279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46279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46279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46279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46279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46279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46279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46279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46279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46279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46279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46279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46279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46279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46279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46279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46279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46279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46279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46279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46279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46279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46279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46279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46279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46279</v>
      </c>
      <c r="F191" t="inlineStr">
        <is>
          <t>SKÅNE LÄN</t>
        </is>
      </c>
      <c r="G191" t="inlineStr">
        <is>
          <t>KRISTIANSTAD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46279</v>
      </c>
      <c r="F192" t="inlineStr">
        <is>
          <t>SKÅNE LÄN</t>
        </is>
      </c>
      <c r="G192" t="inlineStr">
        <is>
          <t>KRISTIANSTAD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46279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46279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46279</v>
      </c>
      <c r="F195" t="inlineStr">
        <is>
          <t>SKÅNE LÄN</t>
        </is>
      </c>
      <c r="G195" t="inlineStr">
        <is>
          <t>KRISTIANSTAD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46279</v>
      </c>
      <c r="F196" t="inlineStr">
        <is>
          <t>SKÅNE LÄN</t>
        </is>
      </c>
      <c r="G196" t="inlineStr">
        <is>
          <t>KRISTIANSTAD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46279</v>
      </c>
      <c r="F197" t="inlineStr">
        <is>
          <t>SKÅNE LÄN</t>
        </is>
      </c>
      <c r="G197" t="inlineStr">
        <is>
          <t>KRISTIANSTAD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46279</v>
      </c>
      <c r="F198" t="inlineStr">
        <is>
          <t>SKÅNE LÄN</t>
        </is>
      </c>
      <c r="G198" t="inlineStr">
        <is>
          <t>KRISTIANSTAD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46279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46279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46279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46279</v>
      </c>
      <c r="F202" t="inlineStr">
        <is>
          <t>SKÅNE LÄN</t>
        </is>
      </c>
      <c r="G202" t="inlineStr">
        <is>
          <t>KRISTIANSTAD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46279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46279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46279</v>
      </c>
      <c r="F205" t="inlineStr">
        <is>
          <t>SKÅNE LÄN</t>
        </is>
      </c>
      <c r="G205" t="inlineStr">
        <is>
          <t>KRISTIANSTAD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46279</v>
      </c>
      <c r="F206" t="inlineStr">
        <is>
          <t>SKÅNE LÄN</t>
        </is>
      </c>
      <c r="G206" t="inlineStr">
        <is>
          <t>KRISTIANSTAD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46279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46279</v>
      </c>
      <c r="F208" t="inlineStr">
        <is>
          <t>SKÅNE LÄN</t>
        </is>
      </c>
      <c r="G208" t="inlineStr">
        <is>
          <t>KRISTIANSTAD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46279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45416</v>
      </c>
      <c r="E210" s="1" t="n">
        <v>46279</v>
      </c>
      <c r="F210" t="inlineStr">
        <is>
          <t>SKÅNE LÄN</t>
        </is>
      </c>
      <c r="G210" t="inlineStr">
        <is>
          <t>KRISTIANSTAD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46279</v>
      </c>
      <c r="F211" t="inlineStr">
        <is>
          <t>SKÅNE LÄN</t>
        </is>
      </c>
      <c r="G211" t="inlineStr">
        <is>
          <t>KRISTIANSTAD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44847</v>
      </c>
      <c r="E212" s="1" t="n">
        <v>46279</v>
      </c>
      <c r="F212" t="inlineStr">
        <is>
          <t>SKÅNE LÄN</t>
        </is>
      </c>
      <c r="G212" t="inlineStr">
        <is>
          <t>KRISTIANSTAD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46279</v>
      </c>
      <c r="F213" t="inlineStr">
        <is>
          <t>SKÅNE LÄN</t>
        </is>
      </c>
      <c r="G213" t="inlineStr">
        <is>
          <t>KRISTIANSTAD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46279</v>
      </c>
      <c r="F214" t="inlineStr">
        <is>
          <t>SKÅNE LÄN</t>
        </is>
      </c>
      <c r="G214" t="inlineStr">
        <is>
          <t>KRISTIANSTAD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58175-2021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46279</v>
      </c>
      <c r="F215" t="inlineStr">
        <is>
          <t>SKÅNE LÄN</t>
        </is>
      </c>
      <c r="G215" t="inlineStr">
        <is>
          <t>KRISTIANSTAD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46279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46279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46279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15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46279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46279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45465</v>
      </c>
      <c r="E221" s="1" t="n">
        <v>46279</v>
      </c>
      <c r="F221" t="inlineStr">
        <is>
          <t>SKÅNE LÄN</t>
        </is>
      </c>
      <c r="G221" t="inlineStr">
        <is>
          <t>KRISTIANSTAD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46279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46279</v>
      </c>
      <c r="F223" t="inlineStr">
        <is>
          <t>SKÅNE LÄN</t>
        </is>
      </c>
      <c r="G223" t="inlineStr">
        <is>
          <t>KRISTIANSTAD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46279</v>
      </c>
      <c r="F224" t="inlineStr">
        <is>
          <t>SKÅNE LÄN</t>
        </is>
      </c>
      <c r="G224" t="inlineStr">
        <is>
          <t>KRISTIANSTAD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46279</v>
      </c>
      <c r="F225" t="inlineStr">
        <is>
          <t>SKÅNE LÄN</t>
        </is>
      </c>
      <c r="G225" t="inlineStr">
        <is>
          <t>KRISTIANSTAD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46279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45511</v>
      </c>
      <c r="E227" s="1" t="n">
        <v>46279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45303</v>
      </c>
      <c r="E228" s="1" t="n">
        <v>46279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19.7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46279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45737</v>
      </c>
      <c r="E230" s="1" t="n">
        <v>46279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45419</v>
      </c>
      <c r="E231" s="1" t="n">
        <v>46279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46279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44378-2024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45573</v>
      </c>
      <c r="E233" s="1" t="n">
        <v>46279</v>
      </c>
      <c r="F233" t="inlineStr">
        <is>
          <t>SKÅNE LÄN</t>
        </is>
      </c>
      <c r="G233" t="inlineStr">
        <is>
          <t>KRISTIANSTAD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46279</v>
      </c>
      <c r="F234" t="inlineStr">
        <is>
          <t>SKÅNE LÄN</t>
        </is>
      </c>
      <c r="G234" t="inlineStr">
        <is>
          <t>KRISTIANSTAD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46279</v>
      </c>
      <c r="F235" t="inlineStr">
        <is>
          <t>SKÅNE LÄN</t>
        </is>
      </c>
      <c r="G235" t="inlineStr">
        <is>
          <t>KRISTIANSTAD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46279</v>
      </c>
      <c r="F236" t="inlineStr">
        <is>
          <t>SKÅNE LÄN</t>
        </is>
      </c>
      <c r="G236" t="inlineStr">
        <is>
          <t>KRISTIANSTAD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44599</v>
      </c>
      <c r="E237" s="1" t="n">
        <v>46279</v>
      </c>
      <c r="F237" t="inlineStr">
        <is>
          <t>SKÅNE LÄN</t>
        </is>
      </c>
      <c r="G237" t="inlineStr">
        <is>
          <t>KRISTIANSTAD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45120</v>
      </c>
      <c r="E238" s="1" t="n">
        <v>46279</v>
      </c>
      <c r="F238" t="inlineStr">
        <is>
          <t>SKÅNE LÄN</t>
        </is>
      </c>
      <c r="G238" t="inlineStr">
        <is>
          <t>KRISTIANSTAD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46279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46279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46279</v>
      </c>
      <c r="F241" t="inlineStr">
        <is>
          <t>SKÅNE LÄN</t>
        </is>
      </c>
      <c r="G241" t="inlineStr">
        <is>
          <t>KRISTIANSTAD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45577</v>
      </c>
      <c r="E242" s="1" t="n">
        <v>46279</v>
      </c>
      <c r="F242" t="inlineStr">
        <is>
          <t>SKÅNE LÄN</t>
        </is>
      </c>
      <c r="G242" t="inlineStr">
        <is>
          <t>KRISTIANSTAD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46279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46279</v>
      </c>
      <c r="F244" t="inlineStr">
        <is>
          <t>SKÅNE LÄN</t>
        </is>
      </c>
      <c r="G244" t="inlineStr">
        <is>
          <t>KRISTIANSTAD</t>
        </is>
      </c>
      <c r="H244" t="inlineStr">
        <is>
          <t>Kyrkan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33984-2025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45843</v>
      </c>
      <c r="E245" s="1" t="n">
        <v>46279</v>
      </c>
      <c r="F245" t="inlineStr">
        <is>
          <t>SKÅNE LÄN</t>
        </is>
      </c>
      <c r="G245" t="inlineStr">
        <is>
          <t>KRISTIANSTAD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45042</v>
      </c>
      <c r="E246" s="1" t="n">
        <v>46279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46279</v>
      </c>
      <c r="F247" t="inlineStr">
        <is>
          <t>SKÅNE LÄN</t>
        </is>
      </c>
      <c r="G247" t="inlineStr">
        <is>
          <t>KRISTIANSTAD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46279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46279</v>
      </c>
      <c r="F249" t="inlineStr">
        <is>
          <t>SKÅNE LÄN</t>
        </is>
      </c>
      <c r="G249" t="inlineStr">
        <is>
          <t>KRISTIANSTAD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46279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46279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31105-2025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45832</v>
      </c>
      <c r="E252" s="1" t="n">
        <v>46279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46279</v>
      </c>
      <c r="F253" t="inlineStr">
        <is>
          <t>SKÅNE LÄN</t>
        </is>
      </c>
      <c r="G253" t="inlineStr">
        <is>
          <t>KRISTIANSTAD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46279</v>
      </c>
      <c r="F254" t="inlineStr">
        <is>
          <t>SKÅNE LÄN</t>
        </is>
      </c>
      <c r="G254" t="inlineStr">
        <is>
          <t>KRISTIANSTAD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46279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46279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46279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46279</v>
      </c>
      <c r="F258" t="inlineStr">
        <is>
          <t>SKÅNE LÄN</t>
        </is>
      </c>
      <c r="G258" t="inlineStr">
        <is>
          <t>KRISTIANSTAD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46279</v>
      </c>
      <c r="F259" t="inlineStr">
        <is>
          <t>SKÅNE LÄN</t>
        </is>
      </c>
      <c r="G259" t="inlineStr">
        <is>
          <t>KRISTIANSTAD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46279</v>
      </c>
      <c r="F260" t="inlineStr">
        <is>
          <t>SKÅNE LÄN</t>
        </is>
      </c>
      <c r="G260" t="inlineStr">
        <is>
          <t>KRISTIANSTAD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46279</v>
      </c>
      <c r="F261" t="inlineStr">
        <is>
          <t>SKÅNE LÄN</t>
        </is>
      </c>
      <c r="G261" t="inlineStr">
        <is>
          <t>KRISTIANSTAD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46279</v>
      </c>
      <c r="F262" t="inlineStr">
        <is>
          <t>SKÅNE LÄN</t>
        </is>
      </c>
      <c r="G262" t="inlineStr">
        <is>
          <t>KRISTIANSTAD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46279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46279</v>
      </c>
      <c r="F264" t="inlineStr">
        <is>
          <t>SKÅNE LÄN</t>
        </is>
      </c>
      <c r="G264" t="inlineStr">
        <is>
          <t>KRISTIANSTAD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46279</v>
      </c>
      <c r="F265" t="inlineStr">
        <is>
          <t>SKÅNE LÄN</t>
        </is>
      </c>
      <c r="G265" t="inlineStr">
        <is>
          <t>KRISTIANSTAD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46279</v>
      </c>
      <c r="F266" t="inlineStr">
        <is>
          <t>SKÅNE LÄN</t>
        </is>
      </c>
      <c r="G266" t="inlineStr">
        <is>
          <t>KRISTIANSTAD</t>
        </is>
      </c>
      <c r="I266" t="n">
        <v>12.8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46279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45896</v>
      </c>
      <c r="E268" s="1" t="n">
        <v>46279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46279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46279</v>
      </c>
      <c r="F270" t="inlineStr">
        <is>
          <t>SKÅNE LÄN</t>
        </is>
      </c>
      <c r="G270" t="inlineStr">
        <is>
          <t>KRISTIANSTAD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45321</v>
      </c>
      <c r="E271" s="1" t="n">
        <v>46279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46279</v>
      </c>
      <c r="F272" t="inlineStr">
        <is>
          <t>SKÅNE LÄN</t>
        </is>
      </c>
      <c r="G272" t="inlineStr">
        <is>
          <t>KRISTIANSTAD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46279</v>
      </c>
      <c r="F273" t="inlineStr">
        <is>
          <t>SKÅNE LÄN</t>
        </is>
      </c>
      <c r="G273" t="inlineStr">
        <is>
          <t>KRISTIANSTAD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46279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46279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46279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46279</v>
      </c>
      <c r="F277" t="inlineStr">
        <is>
          <t>SKÅNE LÄN</t>
        </is>
      </c>
      <c r="G277" t="inlineStr">
        <is>
          <t>KRISTIANSTAD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46279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46279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46279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46279</v>
      </c>
      <c r="F281" t="inlineStr">
        <is>
          <t>SKÅNE LÄN</t>
        </is>
      </c>
      <c r="G281" t="inlineStr">
        <is>
          <t>KRISTIANSTAD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46279</v>
      </c>
      <c r="F282" t="inlineStr">
        <is>
          <t>SKÅNE LÄN</t>
        </is>
      </c>
      <c r="G282" t="inlineStr">
        <is>
          <t>KRISTIANSTAD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46279</v>
      </c>
      <c r="F283" t="inlineStr">
        <is>
          <t>SKÅNE LÄN</t>
        </is>
      </c>
      <c r="G283" t="inlineStr">
        <is>
          <t>KRISTIANSTAD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46279</v>
      </c>
      <c r="F284" t="inlineStr">
        <is>
          <t>SKÅNE LÄN</t>
        </is>
      </c>
      <c r="G284" t="inlineStr">
        <is>
          <t>KRISTIANSTAD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46279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46279</v>
      </c>
      <c r="F286" t="inlineStr">
        <is>
          <t>SKÅNE LÄN</t>
        </is>
      </c>
      <c r="G286" t="inlineStr">
        <is>
          <t>KRISTIANSTAD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46279</v>
      </c>
      <c r="F287" t="inlineStr">
        <is>
          <t>SKÅNE LÄN</t>
        </is>
      </c>
      <c r="G287" t="inlineStr">
        <is>
          <t>KRISTIANSTAD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46279</v>
      </c>
      <c r="F288" t="inlineStr">
        <is>
          <t>SKÅNE LÄN</t>
        </is>
      </c>
      <c r="G288" t="inlineStr">
        <is>
          <t>KRISTIANSTAD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46279</v>
      </c>
      <c r="F289" t="inlineStr">
        <is>
          <t>SKÅNE LÄN</t>
        </is>
      </c>
      <c r="G289" t="inlineStr">
        <is>
          <t>KRISTIANSTAD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46279</v>
      </c>
      <c r="F290" t="inlineStr">
        <is>
          <t>SKÅNE LÄN</t>
        </is>
      </c>
      <c r="G290" t="inlineStr">
        <is>
          <t>KRISTIANSTAD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46279</v>
      </c>
      <c r="F291" t="inlineStr">
        <is>
          <t>SKÅNE LÄN</t>
        </is>
      </c>
      <c r="G291" t="inlineStr">
        <is>
          <t>KRISTIANSTAD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46279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46279</v>
      </c>
      <c r="F293" t="inlineStr">
        <is>
          <t>SKÅNE LÄN</t>
        </is>
      </c>
      <c r="G293" t="inlineStr">
        <is>
          <t>KRISTIANSTAD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46279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46279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46279</v>
      </c>
      <c r="F296" t="inlineStr">
        <is>
          <t>SKÅNE LÄN</t>
        </is>
      </c>
      <c r="G296" t="inlineStr">
        <is>
          <t>KRISTIANSTAD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45586</v>
      </c>
      <c r="E297" s="1" t="n">
        <v>46279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46279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46279</v>
      </c>
      <c r="F299" t="inlineStr">
        <is>
          <t>SKÅNE LÄN</t>
        </is>
      </c>
      <c r="G299" t="inlineStr">
        <is>
          <t>KRISTIANSTAD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45343</v>
      </c>
      <c r="E300" s="1" t="n">
        <v>46279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46279</v>
      </c>
      <c r="F301" t="inlineStr">
        <is>
          <t>SKÅNE LÄN</t>
        </is>
      </c>
      <c r="G301" t="inlineStr">
        <is>
          <t>KRISTIANSTAD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44634</v>
      </c>
      <c r="E302" s="1" t="n">
        <v>46279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45355</v>
      </c>
      <c r="E303" s="1" t="n">
        <v>46279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46279</v>
      </c>
      <c r="F304" t="inlineStr">
        <is>
          <t>SKÅNE LÄN</t>
        </is>
      </c>
      <c r="G304" t="inlineStr">
        <is>
          <t>KRISTIANSTAD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44712</v>
      </c>
      <c r="E305" s="1" t="n">
        <v>46279</v>
      </c>
      <c r="F305" t="inlineStr">
        <is>
          <t>SKÅNE LÄN</t>
        </is>
      </c>
      <c r="G305" t="inlineStr">
        <is>
          <t>KRISTIANSTAD</t>
        </is>
      </c>
      <c r="H305" t="inlineStr">
        <is>
          <t>Övriga Aktiebolag</t>
        </is>
      </c>
      <c r="I305" t="n">
        <v>19.5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46279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46279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46279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46279</v>
      </c>
      <c r="F309" t="inlineStr">
        <is>
          <t>SKÅNE LÄN</t>
        </is>
      </c>
      <c r="G309" t="inlineStr">
        <is>
          <t>KRISTIANSTAD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46279</v>
      </c>
      <c r="F310" t="inlineStr">
        <is>
          <t>SKÅNE LÄN</t>
        </is>
      </c>
      <c r="G310" t="inlineStr">
        <is>
          <t>KRISTIANSTAD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46279</v>
      </c>
      <c r="F311" t="inlineStr">
        <is>
          <t>SKÅNE LÄN</t>
        </is>
      </c>
      <c r="G311" t="inlineStr">
        <is>
          <t>KRISTIANSTAD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46279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45112</v>
      </c>
      <c r="E313" s="1" t="n">
        <v>46279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46279</v>
      </c>
      <c r="F314" t="inlineStr">
        <is>
          <t>SKÅNE LÄN</t>
        </is>
      </c>
      <c r="G314" t="inlineStr">
        <is>
          <t>KRISTIANSTAD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46279</v>
      </c>
      <c r="F315" t="inlineStr">
        <is>
          <t>SKÅNE LÄN</t>
        </is>
      </c>
      <c r="G315" t="inlineStr">
        <is>
          <t>KRISTIANSTAD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46279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46279</v>
      </c>
      <c r="F317" t="inlineStr">
        <is>
          <t>SKÅNE LÄN</t>
        </is>
      </c>
      <c r="G317" t="inlineStr">
        <is>
          <t>KRISTIANSTAD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46279</v>
      </c>
      <c r="F318" t="inlineStr">
        <is>
          <t>SKÅNE LÄN</t>
        </is>
      </c>
      <c r="G318" t="inlineStr">
        <is>
          <t>KRISTIANSTAD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46279</v>
      </c>
      <c r="F319" t="inlineStr">
        <is>
          <t>SKÅNE LÄN</t>
        </is>
      </c>
      <c r="G319" t="inlineStr">
        <is>
          <t>KRISTIANSTAD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44463</v>
      </c>
      <c r="E320" s="1" t="n">
        <v>46279</v>
      </c>
      <c r="F320" t="inlineStr">
        <is>
          <t>SKÅNE LÄN</t>
        </is>
      </c>
      <c r="G320" t="inlineStr">
        <is>
          <t>KRISTIANSTAD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46279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46279</v>
      </c>
      <c r="F322" t="inlineStr">
        <is>
          <t>SKÅNE LÄN</t>
        </is>
      </c>
      <c r="G322" t="inlineStr">
        <is>
          <t>KRISTIANSTAD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46279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44713</v>
      </c>
      <c r="E324" s="1" t="n">
        <v>46279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46279</v>
      </c>
      <c r="F325" t="inlineStr">
        <is>
          <t>SKÅNE LÄN</t>
        </is>
      </c>
      <c r="G325" t="inlineStr">
        <is>
          <t>KRISTIANSTAD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46279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46279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19.8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46279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46279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45558</v>
      </c>
      <c r="E330" s="1" t="n">
        <v>46279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45558</v>
      </c>
      <c r="E331" s="1" t="n">
        <v>46279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46279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46279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46279</v>
      </c>
      <c r="F334" t="inlineStr">
        <is>
          <t>SKÅNE LÄN</t>
        </is>
      </c>
      <c r="G334" t="inlineStr">
        <is>
          <t>KRISTIANSTAD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46279</v>
      </c>
      <c r="F335" t="inlineStr">
        <is>
          <t>SKÅNE LÄN</t>
        </is>
      </c>
      <c r="G335" t="inlineStr">
        <is>
          <t>KRISTIANSTAD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46279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46279</v>
      </c>
      <c r="F337" t="inlineStr">
        <is>
          <t>SKÅNE LÄN</t>
        </is>
      </c>
      <c r="G337" t="inlineStr">
        <is>
          <t>KRISTIANSTAD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45012</v>
      </c>
      <c r="E338" s="1" t="n">
        <v>46279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46279</v>
      </c>
      <c r="F339" t="inlineStr">
        <is>
          <t>SKÅNE LÄN</t>
        </is>
      </c>
      <c r="G339" t="inlineStr">
        <is>
          <t>KRISTIANSTAD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45077</v>
      </c>
      <c r="E340" s="1" t="n">
        <v>46279</v>
      </c>
      <c r="F340" t="inlineStr">
        <is>
          <t>SKÅNE LÄN</t>
        </is>
      </c>
      <c r="G340" t="inlineStr">
        <is>
          <t>KRISTIANSTAD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46279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46279</v>
      </c>
      <c r="F342" t="inlineStr">
        <is>
          <t>SKÅNE LÄN</t>
        </is>
      </c>
      <c r="G342" t="inlineStr">
        <is>
          <t>KRISTIANSTAD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46279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46279</v>
      </c>
      <c r="F344" t="inlineStr">
        <is>
          <t>SKÅNE LÄN</t>
        </is>
      </c>
      <c r="G344" t="inlineStr">
        <is>
          <t>KRISTIANSTAD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46279</v>
      </c>
      <c r="F345" t="inlineStr">
        <is>
          <t>SKÅNE LÄN</t>
        </is>
      </c>
      <c r="G345" t="inlineStr">
        <is>
          <t>KRISTIANSTAD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46083</v>
      </c>
      <c r="E346" s="1" t="n">
        <v>46279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46279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46279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46279</v>
      </c>
      <c r="F349" t="inlineStr">
        <is>
          <t>SKÅNE LÄN</t>
        </is>
      </c>
      <c r="G349" t="inlineStr">
        <is>
          <t>KRISTIANSTAD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43966-2025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45915</v>
      </c>
      <c r="E350" s="1" t="n">
        <v>46279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46279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46279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46279</v>
      </c>
      <c r="F353" t="inlineStr">
        <is>
          <t>SKÅNE LÄN</t>
        </is>
      </c>
      <c r="G353" t="inlineStr">
        <is>
          <t>KRISTIANSTAD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46279</v>
      </c>
      <c r="F354" t="inlineStr">
        <is>
          <t>SKÅNE LÄN</t>
        </is>
      </c>
      <c r="G354" t="inlineStr">
        <is>
          <t>KRISTIANSTAD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46279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46279</v>
      </c>
      <c r="F356" t="inlineStr">
        <is>
          <t>SKÅNE LÄN</t>
        </is>
      </c>
      <c r="G356" t="inlineStr">
        <is>
          <t>KRISTIANSTAD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46279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46279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46279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45357</v>
      </c>
      <c r="E360" s="1" t="n">
        <v>46279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46279</v>
      </c>
      <c r="F361" t="inlineStr">
        <is>
          <t>SKÅNE LÄN</t>
        </is>
      </c>
      <c r="G361" t="inlineStr">
        <is>
          <t>KRISTIANSTAD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46279</v>
      </c>
      <c r="F362" t="inlineStr">
        <is>
          <t>SKÅNE LÄN</t>
        </is>
      </c>
      <c r="G362" t="inlineStr">
        <is>
          <t>KRISTIANSTAD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46279</v>
      </c>
      <c r="F363" t="inlineStr">
        <is>
          <t>SKÅNE LÄN</t>
        </is>
      </c>
      <c r="G363" t="inlineStr">
        <is>
          <t>KRISTIANSTAD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45668</v>
      </c>
      <c r="E364" s="1" t="n">
        <v>46279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46279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46279</v>
      </c>
      <c r="F366" t="inlineStr">
        <is>
          <t>SKÅNE LÄN</t>
        </is>
      </c>
      <c r="G366" t="inlineStr">
        <is>
          <t>KRISTIANSTAD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46279</v>
      </c>
      <c r="F367" t="inlineStr">
        <is>
          <t>SKÅNE LÄN</t>
        </is>
      </c>
      <c r="G367" t="inlineStr">
        <is>
          <t>KRISTIANSTAD</t>
        </is>
      </c>
      <c r="H367" t="inlineStr">
        <is>
          <t>Kyrkan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46279</v>
      </c>
      <c r="F368" t="inlineStr">
        <is>
          <t>SKÅNE LÄN</t>
        </is>
      </c>
      <c r="G368" t="inlineStr">
        <is>
          <t>KRISTIANSTAD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46279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46279</v>
      </c>
      <c r="F370" t="inlineStr">
        <is>
          <t>SKÅNE LÄN</t>
        </is>
      </c>
      <c r="G370" t="inlineStr">
        <is>
          <t>KRISTIANSTAD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46279</v>
      </c>
      <c r="F371" t="inlineStr">
        <is>
          <t>SKÅNE LÄN</t>
        </is>
      </c>
      <c r="G371" t="inlineStr">
        <is>
          <t>KRISTIANSTAD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46279</v>
      </c>
      <c r="F372" t="inlineStr">
        <is>
          <t>SKÅNE LÄN</t>
        </is>
      </c>
      <c r="G372" t="inlineStr">
        <is>
          <t>KRISTIANSTAD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46279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46279</v>
      </c>
      <c r="F374" t="inlineStr">
        <is>
          <t>SKÅNE LÄN</t>
        </is>
      </c>
      <c r="G374" t="inlineStr">
        <is>
          <t>KRISTIANSTAD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46279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46279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46279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45455</v>
      </c>
      <c r="E378" s="1" t="n">
        <v>46279</v>
      </c>
      <c r="F378" t="inlineStr">
        <is>
          <t>SKÅNE LÄN</t>
        </is>
      </c>
      <c r="G378" t="inlineStr">
        <is>
          <t>KRISTIANSTAD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46279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46279</v>
      </c>
      <c r="F380" t="inlineStr">
        <is>
          <t>SKÅNE LÄN</t>
        </is>
      </c>
      <c r="G380" t="inlineStr">
        <is>
          <t>KRISTIANSTAD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46279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46279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8455-2025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45709</v>
      </c>
      <c r="E383" s="1" t="n">
        <v>46279</v>
      </c>
      <c r="F383" t="inlineStr">
        <is>
          <t>SKÅNE LÄN</t>
        </is>
      </c>
      <c r="G383" t="inlineStr">
        <is>
          <t>KRISTIANSTAD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46279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46279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46279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25671-2023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45089</v>
      </c>
      <c r="E387" s="1" t="n">
        <v>46279</v>
      </c>
      <c r="F387" t="inlineStr">
        <is>
          <t>SKÅNE LÄN</t>
        </is>
      </c>
      <c r="G387" t="inlineStr">
        <is>
          <t>KRISTIANSTAD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46279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45803</v>
      </c>
      <c r="E389" s="1" t="n">
        <v>46279</v>
      </c>
      <c r="F389" t="inlineStr">
        <is>
          <t>SKÅNE LÄN</t>
        </is>
      </c>
      <c r="G389" t="inlineStr">
        <is>
          <t>KRISTIANSTAD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46279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46279</v>
      </c>
      <c r="F391" t="inlineStr">
        <is>
          <t>SKÅNE LÄN</t>
        </is>
      </c>
      <c r="G391" t="inlineStr">
        <is>
          <t>KRISTIANSTAD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46279</v>
      </c>
      <c r="F392" t="inlineStr">
        <is>
          <t>SKÅNE LÄN</t>
        </is>
      </c>
      <c r="G392" t="inlineStr">
        <is>
          <t>KRISTIANSTAD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45247</v>
      </c>
      <c r="E393" s="1" t="n">
        <v>46279</v>
      </c>
      <c r="F393" t="inlineStr">
        <is>
          <t>SKÅNE LÄN</t>
        </is>
      </c>
      <c r="G393" t="inlineStr">
        <is>
          <t>KRISTIANSTAD</t>
        </is>
      </c>
      <c r="I393" t="n">
        <v>11.9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46279</v>
      </c>
      <c r="F394" t="inlineStr">
        <is>
          <t>SKÅNE LÄN</t>
        </is>
      </c>
      <c r="G394" t="inlineStr">
        <is>
          <t>KRISTIANSTAD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46279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46279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46279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46279</v>
      </c>
      <c r="F398" t="inlineStr">
        <is>
          <t>SKÅNE LÄN</t>
        </is>
      </c>
      <c r="G398" t="inlineStr">
        <is>
          <t>KRISTIANSTAD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45334</v>
      </c>
      <c r="E399" s="1" t="n">
        <v>46279</v>
      </c>
      <c r="F399" t="inlineStr">
        <is>
          <t>SKÅNE LÄN</t>
        </is>
      </c>
      <c r="G399" t="inlineStr">
        <is>
          <t>KRISTIANSTAD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46279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46279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46279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45738</v>
      </c>
      <c r="E403" s="1" t="n">
        <v>46279</v>
      </c>
      <c r="F403" t="inlineStr">
        <is>
          <t>SKÅNE LÄN</t>
        </is>
      </c>
      <c r="G403" t="inlineStr">
        <is>
          <t>KRISTIANSTAD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46279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46279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46279</v>
      </c>
      <c r="F406" t="inlineStr">
        <is>
          <t>SKÅNE LÄN</t>
        </is>
      </c>
      <c r="G406" t="inlineStr">
        <is>
          <t>KRISTIANSTAD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46279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44468</v>
      </c>
      <c r="E408" s="1" t="n">
        <v>46279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45083</v>
      </c>
      <c r="E409" s="1" t="n">
        <v>46279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27590-2024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45474</v>
      </c>
      <c r="E410" s="1" t="n">
        <v>46279</v>
      </c>
      <c r="F410" t="inlineStr">
        <is>
          <t>SKÅNE LÄN</t>
        </is>
      </c>
      <c r="G410" t="inlineStr">
        <is>
          <t>KRISTIANSTAD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62066-2022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44918</v>
      </c>
      <c r="E411" s="1" t="n">
        <v>46279</v>
      </c>
      <c r="F411" t="inlineStr">
        <is>
          <t>SKÅNE LÄN</t>
        </is>
      </c>
      <c r="G411" t="inlineStr">
        <is>
          <t>KRISTIANSTAD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46279</v>
      </c>
      <c r="F412" t="inlineStr">
        <is>
          <t>SKÅNE LÄN</t>
        </is>
      </c>
      <c r="G412" t="inlineStr">
        <is>
          <t>KRISTIANSTAD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46279</v>
      </c>
      <c r="F413" t="inlineStr">
        <is>
          <t>SKÅNE LÄN</t>
        </is>
      </c>
      <c r="G413" t="inlineStr">
        <is>
          <t>KRISTIANSTAD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46279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46279</v>
      </c>
      <c r="F415" t="inlineStr">
        <is>
          <t>SKÅNE LÄN</t>
        </is>
      </c>
      <c r="G415" t="inlineStr">
        <is>
          <t>KRISTIANSTAD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46279</v>
      </c>
      <c r="F416" t="inlineStr">
        <is>
          <t>SKÅNE LÄN</t>
        </is>
      </c>
      <c r="G416" t="inlineStr">
        <is>
          <t>KRISTIANSTAD</t>
        </is>
      </c>
      <c r="I416" t="n">
        <v>16.6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45987</v>
      </c>
      <c r="E417" s="1" t="n">
        <v>46279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46279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46279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46279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45226</v>
      </c>
      <c r="E421" s="1" t="n">
        <v>46279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46279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46279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46279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46279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46279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46279</v>
      </c>
      <c r="F427" t="inlineStr">
        <is>
          <t>SKÅNE LÄN</t>
        </is>
      </c>
      <c r="G427" t="inlineStr">
        <is>
          <t>KRISTIANSTAD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45777</v>
      </c>
      <c r="E428" s="1" t="n">
        <v>46279</v>
      </c>
      <c r="F428" t="inlineStr">
        <is>
          <t>SKÅNE LÄN</t>
        </is>
      </c>
      <c r="G428" t="inlineStr">
        <is>
          <t>KRISTIANSTAD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46279</v>
      </c>
      <c r="F429" t="inlineStr">
        <is>
          <t>SKÅNE LÄN</t>
        </is>
      </c>
      <c r="G429" t="inlineStr">
        <is>
          <t>KRISTIANSTAD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46279</v>
      </c>
      <c r="F430" t="inlineStr">
        <is>
          <t>SKÅNE LÄN</t>
        </is>
      </c>
      <c r="G430" t="inlineStr">
        <is>
          <t>KRISTIANSTAD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46279</v>
      </c>
      <c r="F431" t="inlineStr">
        <is>
          <t>SKÅNE LÄN</t>
        </is>
      </c>
      <c r="G431" t="inlineStr">
        <is>
          <t>KRISTIANSTAD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45568</v>
      </c>
      <c r="E432" s="1" t="n">
        <v>46279</v>
      </c>
      <c r="F432" t="inlineStr">
        <is>
          <t>SKÅNE LÄN</t>
        </is>
      </c>
      <c r="G432" t="inlineStr">
        <is>
          <t>KRISTIANSTAD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46001</v>
      </c>
      <c r="E433" s="1" t="n">
        <v>46279</v>
      </c>
      <c r="F433" t="inlineStr">
        <is>
          <t>SKÅNE LÄN</t>
        </is>
      </c>
      <c r="G433" t="inlineStr">
        <is>
          <t>KRISTIANSTAD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46279</v>
      </c>
      <c r="F434" t="inlineStr">
        <is>
          <t>SKÅNE LÄN</t>
        </is>
      </c>
      <c r="G434" t="inlineStr">
        <is>
          <t>KRISTIANSTAD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46279</v>
      </c>
      <c r="F435" t="inlineStr">
        <is>
          <t>SKÅNE LÄN</t>
        </is>
      </c>
      <c r="G435" t="inlineStr">
        <is>
          <t>KRISTIANSTAD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46279</v>
      </c>
      <c r="F436" t="inlineStr">
        <is>
          <t>SKÅNE LÄN</t>
        </is>
      </c>
      <c r="G436" t="inlineStr">
        <is>
          <t>KRISTIANSTAD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46279</v>
      </c>
      <c r="F437" t="inlineStr">
        <is>
          <t>SKÅNE LÄN</t>
        </is>
      </c>
      <c r="G437" t="inlineStr">
        <is>
          <t>KRISTIANSTAD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45493</v>
      </c>
      <c r="E438" s="1" t="n">
        <v>46279</v>
      </c>
      <c r="F438" t="inlineStr">
        <is>
          <t>SKÅNE LÄN</t>
        </is>
      </c>
      <c r="G438" t="inlineStr">
        <is>
          <t>KRISTIANSTAD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62539-2025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46279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46279</v>
      </c>
      <c r="F440" t="inlineStr">
        <is>
          <t>SKÅNE LÄN</t>
        </is>
      </c>
      <c r="G440" t="inlineStr">
        <is>
          <t>KRISTIANSTAD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45738</v>
      </c>
      <c r="E441" s="1" t="n">
        <v>46279</v>
      </c>
      <c r="F441" t="inlineStr">
        <is>
          <t>SKÅNE LÄN</t>
        </is>
      </c>
      <c r="G441" t="inlineStr">
        <is>
          <t>KRISTIANSTAD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46279</v>
      </c>
      <c r="F442" t="inlineStr">
        <is>
          <t>SKÅNE LÄN</t>
        </is>
      </c>
      <c r="G442" t="inlineStr">
        <is>
          <t>KRISTIANSTAD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46279</v>
      </c>
      <c r="F443" t="inlineStr">
        <is>
          <t>SKÅNE LÄN</t>
        </is>
      </c>
      <c r="G443" t="inlineStr">
        <is>
          <t>KRISTIANSTAD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45311</v>
      </c>
      <c r="E444" s="1" t="n">
        <v>46279</v>
      </c>
      <c r="F444" t="inlineStr">
        <is>
          <t>SKÅNE LÄN</t>
        </is>
      </c>
      <c r="G444" t="inlineStr">
        <is>
          <t>KRISTIANSTAD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45307</v>
      </c>
      <c r="E445" s="1" t="n">
        <v>46279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46279</v>
      </c>
      <c r="F446" t="inlineStr">
        <is>
          <t>SKÅNE LÄN</t>
        </is>
      </c>
      <c r="G446" t="inlineStr">
        <is>
          <t>KRISTIANSTAD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46469-2024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45582</v>
      </c>
      <c r="E447" s="1" t="n">
        <v>46279</v>
      </c>
      <c r="F447" t="inlineStr">
        <is>
          <t>SKÅNE LÄN</t>
        </is>
      </c>
      <c r="G447" t="inlineStr">
        <is>
          <t>KRISTIANSTAD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46279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46279</v>
      </c>
      <c r="F449" t="inlineStr">
        <is>
          <t>SKÅNE LÄN</t>
        </is>
      </c>
      <c r="G449" t="inlineStr">
        <is>
          <t>KRISTIANSTAD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45716</v>
      </c>
      <c r="E450" s="1" t="n">
        <v>46279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46279</v>
      </c>
      <c r="F451" t="inlineStr">
        <is>
          <t>SKÅNE LÄN</t>
        </is>
      </c>
      <c r="G451" t="inlineStr">
        <is>
          <t>KRISTIANSTAD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45803</v>
      </c>
      <c r="E452" s="1" t="n">
        <v>46279</v>
      </c>
      <c r="F452" t="inlineStr">
        <is>
          <t>SKÅNE LÄN</t>
        </is>
      </c>
      <c r="G452" t="inlineStr">
        <is>
          <t>KRISTIANSTAD</t>
        </is>
      </c>
      <c r="I452" t="n">
        <v>18.8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44853</v>
      </c>
      <c r="E453" s="1" t="n">
        <v>46279</v>
      </c>
      <c r="F453" t="inlineStr">
        <is>
          <t>SKÅNE LÄN</t>
        </is>
      </c>
      <c r="G453" t="inlineStr">
        <is>
          <t>KRISTIANSTAD</t>
        </is>
      </c>
      <c r="H453" t="inlineStr">
        <is>
          <t>Kyrkan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58269-2022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44894</v>
      </c>
      <c r="E454" s="1" t="n">
        <v>46279</v>
      </c>
      <c r="F454" t="inlineStr">
        <is>
          <t>SKÅNE LÄN</t>
        </is>
      </c>
      <c r="G454" t="inlineStr">
        <is>
          <t>KRISTIANSTAD</t>
        </is>
      </c>
      <c r="I454" t="n">
        <v>14.9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45727</v>
      </c>
      <c r="E455" s="1" t="n">
        <v>46279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46136</v>
      </c>
      <c r="E456" s="1" t="n">
        <v>46279</v>
      </c>
      <c r="F456" t="inlineStr">
        <is>
          <t>SKÅNE LÄN</t>
        </is>
      </c>
      <c r="G456" t="inlineStr">
        <is>
          <t>KRISTIANSTAD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46279</v>
      </c>
      <c r="F457" t="inlineStr">
        <is>
          <t>SKÅNE LÄN</t>
        </is>
      </c>
      <c r="G457" t="inlineStr">
        <is>
          <t>KRISTIANSTAD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46279</v>
      </c>
      <c r="F458" t="inlineStr">
        <is>
          <t>SKÅNE LÄN</t>
        </is>
      </c>
      <c r="G458" t="inlineStr">
        <is>
          <t>KRISTIANSTAD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46279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46279</v>
      </c>
      <c r="F460" t="inlineStr">
        <is>
          <t>SKÅNE LÄN</t>
        </is>
      </c>
      <c r="G460" t="inlineStr">
        <is>
          <t>KRISTIANSTAD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46279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46279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46031</v>
      </c>
      <c r="E463" s="1" t="n">
        <v>46279</v>
      </c>
      <c r="F463" t="inlineStr">
        <is>
          <t>SKÅNE LÄN</t>
        </is>
      </c>
      <c r="G463" t="inlineStr">
        <is>
          <t>KRISTIANSTAD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46279</v>
      </c>
      <c r="F464" t="inlineStr">
        <is>
          <t>SKÅNE LÄN</t>
        </is>
      </c>
      <c r="G464" t="inlineStr">
        <is>
          <t>KRISTIANSTAD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46279</v>
      </c>
      <c r="F465" t="inlineStr">
        <is>
          <t>SKÅNE LÄN</t>
        </is>
      </c>
      <c r="G465" t="inlineStr">
        <is>
          <t>KRISTIANSTAD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45119</v>
      </c>
      <c r="E466" s="1" t="n">
        <v>46279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46279</v>
      </c>
      <c r="F467" t="inlineStr">
        <is>
          <t>SKÅNE LÄN</t>
        </is>
      </c>
      <c r="G467" t="inlineStr">
        <is>
          <t>KRISTIANSTAD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46279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46279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46279</v>
      </c>
      <c r="F470" t="inlineStr">
        <is>
          <t>SKÅNE LÄN</t>
        </is>
      </c>
      <c r="G470" t="inlineStr">
        <is>
          <t>KRISTIANSTAD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46279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46279</v>
      </c>
      <c r="F472" t="inlineStr">
        <is>
          <t>SKÅNE LÄN</t>
        </is>
      </c>
      <c r="G472" t="inlineStr">
        <is>
          <t>KRISTIANSTAD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46279</v>
      </c>
      <c r="F473" t="inlineStr">
        <is>
          <t>SKÅNE LÄN</t>
        </is>
      </c>
      <c r="G473" t="inlineStr">
        <is>
          <t>KRISTIANSTAD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46279</v>
      </c>
      <c r="F474" t="inlineStr">
        <is>
          <t>SKÅNE LÄN</t>
        </is>
      </c>
      <c r="G474" t="inlineStr">
        <is>
          <t>KRISTIANSTAD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45338</v>
      </c>
      <c r="E475" s="1" t="n">
        <v>46279</v>
      </c>
      <c r="F475" t="inlineStr">
        <is>
          <t>SKÅNE LÄN</t>
        </is>
      </c>
      <c r="G475" t="inlineStr">
        <is>
          <t>KRISTIANSTAD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46279</v>
      </c>
      <c r="F476" t="inlineStr">
        <is>
          <t>SKÅNE LÄN</t>
        </is>
      </c>
      <c r="G476" t="inlineStr">
        <is>
          <t>KRISTIANSTAD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46279</v>
      </c>
      <c r="F477" t="inlineStr">
        <is>
          <t>SKÅNE LÄN</t>
        </is>
      </c>
      <c r="G477" t="inlineStr">
        <is>
          <t>KRISTIANSTAD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46279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46279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13070-2023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45002</v>
      </c>
      <c r="E480" s="1" t="n">
        <v>46279</v>
      </c>
      <c r="F480" t="inlineStr">
        <is>
          <t>SKÅNE LÄN</t>
        </is>
      </c>
      <c r="G480" t="inlineStr">
        <is>
          <t>KRISTIANSTAD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46279</v>
      </c>
      <c r="F481" t="inlineStr">
        <is>
          <t>SKÅNE LÄN</t>
        </is>
      </c>
      <c r="G481" t="inlineStr">
        <is>
          <t>KRISTIANSTAD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46279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46279</v>
      </c>
      <c r="F483" t="inlineStr">
        <is>
          <t>SKÅNE LÄN</t>
        </is>
      </c>
      <c r="G483" t="inlineStr">
        <is>
          <t>KRISTIANSTAD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48217-2022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46279</v>
      </c>
      <c r="F484" t="inlineStr">
        <is>
          <t>SKÅNE LÄN</t>
        </is>
      </c>
      <c r="G484" t="inlineStr">
        <is>
          <t>KRISTIANSTAD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45326</v>
      </c>
      <c r="E485" s="1" t="n">
        <v>46279</v>
      </c>
      <c r="F485" t="inlineStr">
        <is>
          <t>SKÅNE LÄN</t>
        </is>
      </c>
      <c r="G485" t="inlineStr">
        <is>
          <t>KRISTIANSTAD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37983-2024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45544</v>
      </c>
      <c r="E486" s="1" t="n">
        <v>46279</v>
      </c>
      <c r="F486" t="inlineStr">
        <is>
          <t>SKÅNE LÄN</t>
        </is>
      </c>
      <c r="G486" t="inlineStr">
        <is>
          <t>KRISTIANSTAD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44824</v>
      </c>
      <c r="E487" s="1" t="n">
        <v>46279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46279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64626-2023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46279</v>
      </c>
      <c r="F489" t="inlineStr">
        <is>
          <t>SKÅNE LÄN</t>
        </is>
      </c>
      <c r="G489" t="inlineStr">
        <is>
          <t>KRISTIANSTAD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72100-2021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44544</v>
      </c>
      <c r="E490" s="1" t="n">
        <v>46279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46279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14471-2024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45394</v>
      </c>
      <c r="E492" s="1" t="n">
        <v>46279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6451-2024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46279</v>
      </c>
      <c r="F493" t="inlineStr">
        <is>
          <t>SKÅNE LÄN</t>
        </is>
      </c>
      <c r="G493" t="inlineStr">
        <is>
          <t>KRISTIANSTAD</t>
        </is>
      </c>
      <c r="I493" t="n">
        <v>15.8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45577</v>
      </c>
      <c r="E494" s="1" t="n">
        <v>46279</v>
      </c>
      <c r="F494" t="inlineStr">
        <is>
          <t>SKÅNE LÄN</t>
        </is>
      </c>
      <c r="G494" t="inlineStr">
        <is>
          <t>KRISTIANSTAD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46279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46057</v>
      </c>
      <c r="E496" s="1" t="n">
        <v>46279</v>
      </c>
      <c r="F496" t="inlineStr">
        <is>
          <t>SKÅNE LÄN</t>
        </is>
      </c>
      <c r="G496" t="inlineStr">
        <is>
          <t>KRISTIANSTAD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46279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46279</v>
      </c>
      <c r="F498" t="inlineStr">
        <is>
          <t>SKÅNE LÄN</t>
        </is>
      </c>
      <c r="G498" t="inlineStr">
        <is>
          <t>KRISTIANSTAD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42248-2023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45180</v>
      </c>
      <c r="E499" s="1" t="n">
        <v>46279</v>
      </c>
      <c r="F499" t="inlineStr">
        <is>
          <t>SKÅNE LÄN</t>
        </is>
      </c>
      <c r="G499" t="inlineStr">
        <is>
          <t>KRISTIANSTAD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45643</v>
      </c>
      <c r="E500" s="1" t="n">
        <v>46279</v>
      </c>
      <c r="F500" t="inlineStr">
        <is>
          <t>SKÅNE LÄN</t>
        </is>
      </c>
      <c r="G500" t="inlineStr">
        <is>
          <t>KRISTIANSTAD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45149</v>
      </c>
      <c r="E501" s="1" t="n">
        <v>46279</v>
      </c>
      <c r="F501" t="inlineStr">
        <is>
          <t>SKÅNE LÄN</t>
        </is>
      </c>
      <c r="G501" t="inlineStr">
        <is>
          <t>KRISTIANSTAD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46279</v>
      </c>
      <c r="F502" t="inlineStr">
        <is>
          <t>SKÅNE LÄN</t>
        </is>
      </c>
      <c r="G502" t="inlineStr">
        <is>
          <t>KRISTIANSTAD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46279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44587</v>
      </c>
      <c r="E504" s="1" t="n">
        <v>46279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20651-2026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46141</v>
      </c>
      <c r="E505" s="1" t="n">
        <v>46279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63931-2023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45278</v>
      </c>
      <c r="E506" s="1" t="n">
        <v>46279</v>
      </c>
      <c r="F506" t="inlineStr">
        <is>
          <t>SKÅNE LÄN</t>
        </is>
      </c>
      <c r="G506" t="inlineStr">
        <is>
          <t>KRISTIANSTAD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46279</v>
      </c>
      <c r="F507" t="inlineStr">
        <is>
          <t>SKÅNE LÄN</t>
        </is>
      </c>
      <c r="G507" t="inlineStr">
        <is>
          <t>KRISTIANSTAD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46279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45127</v>
      </c>
      <c r="E509" s="1" t="n">
        <v>46279</v>
      </c>
      <c r="F509" t="inlineStr">
        <is>
          <t>SKÅNE LÄN</t>
        </is>
      </c>
      <c r="G509" t="inlineStr">
        <is>
          <t>KRISTIANSTAD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46279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46279</v>
      </c>
      <c r="F511" t="inlineStr">
        <is>
          <t>SKÅNE LÄN</t>
        </is>
      </c>
      <c r="G511" t="inlineStr">
        <is>
          <t>KRISTIANSTAD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32814-2023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46279</v>
      </c>
      <c r="F512" t="inlineStr">
        <is>
          <t>SKÅNE LÄN</t>
        </is>
      </c>
      <c r="G512" t="inlineStr">
        <is>
          <t>KRISTIANSTAD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45414</v>
      </c>
      <c r="E513" s="1" t="n">
        <v>46279</v>
      </c>
      <c r="F513" t="inlineStr">
        <is>
          <t>SKÅNE LÄN</t>
        </is>
      </c>
      <c r="G513" t="inlineStr">
        <is>
          <t>KRISTIANSTAD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46279</v>
      </c>
      <c r="F514" t="inlineStr">
        <is>
          <t>SKÅNE LÄN</t>
        </is>
      </c>
      <c r="G514" t="inlineStr">
        <is>
          <t>KRISTIANSTAD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45729</v>
      </c>
      <c r="E515" s="1" t="n">
        <v>46279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46279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46279</v>
      </c>
      <c r="F517" t="inlineStr">
        <is>
          <t>SKÅNE LÄN</t>
        </is>
      </c>
      <c r="G517" t="inlineStr">
        <is>
          <t>KRISTIANSTAD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46279</v>
      </c>
      <c r="F518" t="inlineStr">
        <is>
          <t>SKÅNE LÄN</t>
        </is>
      </c>
      <c r="G518" t="inlineStr">
        <is>
          <t>KRISTIANSTAD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46279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45586</v>
      </c>
      <c r="E520" s="1" t="n">
        <v>46279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46279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38021-2023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45159</v>
      </c>
      <c r="E522" s="1" t="n">
        <v>46279</v>
      </c>
      <c r="F522" t="inlineStr">
        <is>
          <t>SKÅNE LÄN</t>
        </is>
      </c>
      <c r="G522" t="inlineStr">
        <is>
          <t>KRISTIANSTAD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45338</v>
      </c>
      <c r="E523" s="1" t="n">
        <v>46279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10781-2022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46279</v>
      </c>
      <c r="F524" t="inlineStr">
        <is>
          <t>SKÅNE LÄN</t>
        </is>
      </c>
      <c r="G524" t="inlineStr">
        <is>
          <t>KRISTIANSTAD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44363-2024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45573</v>
      </c>
      <c r="E525" s="1" t="n">
        <v>46279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46279</v>
      </c>
      <c r="F526" t="inlineStr">
        <is>
          <t>SKÅNE LÄN</t>
        </is>
      </c>
      <c r="G526" t="inlineStr">
        <is>
          <t>KRISTIANSTAD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45727</v>
      </c>
      <c r="E527" s="1" t="n">
        <v>46279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46279</v>
      </c>
      <c r="F528" t="inlineStr">
        <is>
          <t>SKÅNE LÄN</t>
        </is>
      </c>
      <c r="G528" t="inlineStr">
        <is>
          <t>KRISTIANSTAD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46279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46279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45723</v>
      </c>
      <c r="E531" s="1" t="n">
        <v>46279</v>
      </c>
      <c r="F531" t="inlineStr">
        <is>
          <t>SKÅNE LÄN</t>
        </is>
      </c>
      <c r="G531" t="inlineStr">
        <is>
          <t>KRISTIANSTAD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46279</v>
      </c>
      <c r="F532" t="inlineStr">
        <is>
          <t>SKÅNE LÄN</t>
        </is>
      </c>
      <c r="G532" t="inlineStr">
        <is>
          <t>KRISTIANSTAD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45165</v>
      </c>
      <c r="E533" s="1" t="n">
        <v>46279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2472-2022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44579</v>
      </c>
      <c r="E534" s="1" t="n">
        <v>46279</v>
      </c>
      <c r="F534" t="inlineStr">
        <is>
          <t>SKÅNE LÄN</t>
        </is>
      </c>
      <c r="G534" t="inlineStr">
        <is>
          <t>KRISTIANSTAD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45453</v>
      </c>
      <c r="E535" s="1" t="n">
        <v>46279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46279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46279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46279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36907-2025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46279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41023-2025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45898</v>
      </c>
      <c r="E540" s="1" t="n">
        <v>46279</v>
      </c>
      <c r="F540" t="inlineStr">
        <is>
          <t>SKÅNE LÄN</t>
        </is>
      </c>
      <c r="G540" t="inlineStr">
        <is>
          <t>KRISTIANSTAD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45665</v>
      </c>
      <c r="E541" s="1" t="n">
        <v>46279</v>
      </c>
      <c r="F541" t="inlineStr">
        <is>
          <t>SKÅNE LÄN</t>
        </is>
      </c>
      <c r="G541" t="inlineStr">
        <is>
          <t>KRISTIANSTAD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46279</v>
      </c>
      <c r="F542" t="inlineStr">
        <is>
          <t>SKÅNE LÄN</t>
        </is>
      </c>
      <c r="G542" t="inlineStr">
        <is>
          <t>KRISTIANSTAD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46279</v>
      </c>
      <c r="F543" t="inlineStr">
        <is>
          <t>SKÅNE LÄN</t>
        </is>
      </c>
      <c r="G543" t="inlineStr">
        <is>
          <t>KRISTIANSTAD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45083</v>
      </c>
      <c r="E544" s="1" t="n">
        <v>46279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25839-2023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46279</v>
      </c>
      <c r="F545" t="inlineStr">
        <is>
          <t>SKÅNE LÄN</t>
        </is>
      </c>
      <c r="G545" t="inlineStr">
        <is>
          <t>KRISTIANSTAD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46279</v>
      </c>
      <c r="F546" t="inlineStr">
        <is>
          <t>SKÅNE LÄN</t>
        </is>
      </c>
      <c r="G546" t="inlineStr">
        <is>
          <t>KRISTIANSTAD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46279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46279</v>
      </c>
      <c r="F548" t="inlineStr">
        <is>
          <t>SKÅNE LÄN</t>
        </is>
      </c>
      <c r="G548" t="inlineStr">
        <is>
          <t>KRISTIANSTAD</t>
        </is>
      </c>
      <c r="I548" t="n">
        <v>7.6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46279</v>
      </c>
      <c r="F549" t="inlineStr">
        <is>
          <t>SKÅNE LÄN</t>
        </is>
      </c>
      <c r="G549" t="inlineStr">
        <is>
          <t>KRISTIANSTAD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46279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45132</v>
      </c>
      <c r="E551" s="1" t="n">
        <v>46279</v>
      </c>
      <c r="F551" t="inlineStr">
        <is>
          <t>SKÅNE LÄN</t>
        </is>
      </c>
      <c r="G551" t="inlineStr">
        <is>
          <t>KRISTIANSTAD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45415</v>
      </c>
      <c r="E552" s="1" t="n">
        <v>46279</v>
      </c>
      <c r="F552" t="inlineStr">
        <is>
          <t>SKÅNE LÄN</t>
        </is>
      </c>
      <c r="G552" t="inlineStr">
        <is>
          <t>KRISTIANSTAD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38121-2025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46279</v>
      </c>
      <c r="F553" t="inlineStr">
        <is>
          <t>SKÅNE LÄN</t>
        </is>
      </c>
      <c r="G553" t="inlineStr">
        <is>
          <t>KRISTIANSTAD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45763</v>
      </c>
      <c r="E554" s="1" t="n">
        <v>46279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6597-2025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45700</v>
      </c>
      <c r="E555" s="1" t="n">
        <v>46279</v>
      </c>
      <c r="F555" t="inlineStr">
        <is>
          <t>SKÅNE LÄN</t>
        </is>
      </c>
      <c r="G555" t="inlineStr">
        <is>
          <t>KRISTIANSTAD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45579</v>
      </c>
      <c r="E556" s="1" t="n">
        <v>46279</v>
      </c>
      <c r="F556" t="inlineStr">
        <is>
          <t>SKÅNE LÄN</t>
        </is>
      </c>
      <c r="G556" t="inlineStr">
        <is>
          <t>KRISTIANSTAD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46279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46793-2025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45926</v>
      </c>
      <c r="E558" s="1" t="n">
        <v>46279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44655</v>
      </c>
      <c r="E559" s="1" t="n">
        <v>46279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45387</v>
      </c>
      <c r="E560" s="1" t="n">
        <v>46279</v>
      </c>
      <c r="F560" t="inlineStr">
        <is>
          <t>SKÅNE LÄN</t>
        </is>
      </c>
      <c r="G560" t="inlineStr">
        <is>
          <t>KRISTIANSTAD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46279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44729</v>
      </c>
      <c r="E562" s="1" t="n">
        <v>46279</v>
      </c>
      <c r="F562" t="inlineStr">
        <is>
          <t>SKÅNE LÄN</t>
        </is>
      </c>
      <c r="G562" t="inlineStr">
        <is>
          <t>KRISTIANSTAD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46279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46279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46279</v>
      </c>
      <c r="F565" t="inlineStr">
        <is>
          <t>SKÅNE LÄN</t>
        </is>
      </c>
      <c r="G565" t="inlineStr">
        <is>
          <t>KRISTIANSTAD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49233-2022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44858</v>
      </c>
      <c r="E566" s="1" t="n">
        <v>46279</v>
      </c>
      <c r="F566" t="inlineStr">
        <is>
          <t>SKÅNE LÄN</t>
        </is>
      </c>
      <c r="G566" t="inlineStr">
        <is>
          <t>KRISTIANSTAD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46279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46279</v>
      </c>
      <c r="F568" t="inlineStr">
        <is>
          <t>SKÅNE LÄN</t>
        </is>
      </c>
      <c r="G568" t="inlineStr">
        <is>
          <t>KRISTIANSTAD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38778-2022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44816</v>
      </c>
      <c r="E569" s="1" t="n">
        <v>46279</v>
      </c>
      <c r="F569" t="inlineStr">
        <is>
          <t>SKÅNE LÄN</t>
        </is>
      </c>
      <c r="G569" t="inlineStr">
        <is>
          <t>KRISTIANSTAD</t>
        </is>
      </c>
      <c r="I569" t="n">
        <v>17.1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41069-2023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45173</v>
      </c>
      <c r="E570" s="1" t="n">
        <v>46279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45300</v>
      </c>
      <c r="E571" s="1" t="n">
        <v>46279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46279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46279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46279</v>
      </c>
      <c r="F574" t="inlineStr">
        <is>
          <t>SKÅNE LÄN</t>
        </is>
      </c>
      <c r="G574" t="inlineStr">
        <is>
          <t>KRISTIANSTAD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4610-2024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46279</v>
      </c>
      <c r="F575" t="inlineStr">
        <is>
          <t>SKÅNE LÄN</t>
        </is>
      </c>
      <c r="G575" t="inlineStr">
        <is>
          <t>KRISTIANSTAD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46279</v>
      </c>
      <c r="F576" t="inlineStr">
        <is>
          <t>SKÅNE LÄN</t>
        </is>
      </c>
      <c r="G576" t="inlineStr">
        <is>
          <t>KRISTIANSTAD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45338</v>
      </c>
      <c r="E577" s="1" t="n">
        <v>46279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46279</v>
      </c>
      <c r="F578" t="inlineStr">
        <is>
          <t>SKÅNE LÄN</t>
        </is>
      </c>
      <c r="G578" t="inlineStr">
        <is>
          <t>KRISTIANSTAD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46279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46279</v>
      </c>
      <c r="F580" t="inlineStr">
        <is>
          <t>SKÅNE LÄN</t>
        </is>
      </c>
      <c r="G580" t="inlineStr">
        <is>
          <t>KRISTIANSTAD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44855</v>
      </c>
      <c r="E581" s="1" t="n">
        <v>46279</v>
      </c>
      <c r="F581" t="inlineStr">
        <is>
          <t>SKÅNE LÄN</t>
        </is>
      </c>
      <c r="G581" t="inlineStr">
        <is>
          <t>KRISTIANSTAD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46279</v>
      </c>
      <c r="F582" t="inlineStr">
        <is>
          <t>SKÅNE LÄN</t>
        </is>
      </c>
      <c r="G582" t="inlineStr">
        <is>
          <t>KRISTIANSTAD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46279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45902</v>
      </c>
      <c r="E584" s="1" t="n">
        <v>46279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44961</v>
      </c>
      <c r="E585" s="1" t="n">
        <v>46279</v>
      </c>
      <c r="F585" t="inlineStr">
        <is>
          <t>SKÅNE LÄN</t>
        </is>
      </c>
      <c r="G585" t="inlineStr">
        <is>
          <t>KRISTIANSTAD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46279</v>
      </c>
      <c r="F586" t="inlineStr">
        <is>
          <t>SKÅNE LÄN</t>
        </is>
      </c>
      <c r="G586" t="inlineStr">
        <is>
          <t>KRISTIANSTAD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46279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46279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61198-2021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46279</v>
      </c>
      <c r="F589" t="inlineStr">
        <is>
          <t>SKÅNE LÄN</t>
        </is>
      </c>
      <c r="G589" t="inlineStr">
        <is>
          <t>KRISTIANSTAD</t>
        </is>
      </c>
      <c r="I589" t="n">
        <v>13.8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46279</v>
      </c>
      <c r="F590" t="inlineStr">
        <is>
          <t>SKÅNE LÄN</t>
        </is>
      </c>
      <c r="G590" t="inlineStr">
        <is>
          <t>KRISTIANSTAD</t>
        </is>
      </c>
      <c r="I590" t="n">
        <v>11.1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62350-2023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45267</v>
      </c>
      <c r="E591" s="1" t="n">
        <v>46279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46279</v>
      </c>
      <c r="F592" t="inlineStr">
        <is>
          <t>SKÅNE LÄN</t>
        </is>
      </c>
      <c r="G592" t="inlineStr">
        <is>
          <t>KRISTIANSTAD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45668</v>
      </c>
      <c r="E593" s="1" t="n">
        <v>46279</v>
      </c>
      <c r="F593" t="inlineStr">
        <is>
          <t>SKÅNE LÄN</t>
        </is>
      </c>
      <c r="G593" t="inlineStr">
        <is>
          <t>KRISTIANSTAD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46279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46279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46279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45405</v>
      </c>
      <c r="E597" s="1" t="n">
        <v>46279</v>
      </c>
      <c r="F597" t="inlineStr">
        <is>
          <t>SKÅNE LÄN</t>
        </is>
      </c>
      <c r="G597" t="inlineStr">
        <is>
          <t>KRISTIANSTAD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46279</v>
      </c>
      <c r="F598" t="inlineStr">
        <is>
          <t>SKÅNE LÄN</t>
        </is>
      </c>
      <c r="G598" t="inlineStr">
        <is>
          <t>KRISTIANSTAD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46279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46279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45652</v>
      </c>
      <c r="E601" s="1" t="n">
        <v>46279</v>
      </c>
      <c r="F601" t="inlineStr">
        <is>
          <t>SKÅNE LÄN</t>
        </is>
      </c>
      <c r="G601" t="inlineStr">
        <is>
          <t>KRISTIANSTAD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45712</v>
      </c>
      <c r="E602" s="1" t="n">
        <v>46279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46279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65097-2021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44513</v>
      </c>
      <c r="E604" s="1" t="n">
        <v>46279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63561-2023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45274</v>
      </c>
      <c r="E605" s="1" t="n">
        <v>46279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46279</v>
      </c>
      <c r="F606" t="inlineStr">
        <is>
          <t>SKÅNE LÄN</t>
        </is>
      </c>
      <c r="G606" t="inlineStr">
        <is>
          <t>KRISTIANSTAD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46279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46279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46279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44601</v>
      </c>
      <c r="E610" s="1" t="n">
        <v>46279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46279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46279</v>
      </c>
      <c r="F612" t="inlineStr">
        <is>
          <t>SKÅNE LÄN</t>
        </is>
      </c>
      <c r="G612" t="inlineStr">
        <is>
          <t>KRISTIANSTAD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22815-2023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45072</v>
      </c>
      <c r="E613" s="1" t="n">
        <v>46279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47652-2023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45198</v>
      </c>
      <c r="E614" s="1" t="n">
        <v>46279</v>
      </c>
      <c r="F614" t="inlineStr">
        <is>
          <t>SKÅNE LÄN</t>
        </is>
      </c>
      <c r="G614" t="inlineStr">
        <is>
          <t>KRISTIANSTAD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45233</v>
      </c>
      <c r="E615" s="1" t="n">
        <v>46279</v>
      </c>
      <c r="F615" t="inlineStr">
        <is>
          <t>SKÅNE LÄN</t>
        </is>
      </c>
      <c r="G615" t="inlineStr">
        <is>
          <t>KRISTIANSTAD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45233</v>
      </c>
      <c r="E616" s="1" t="n">
        <v>46279</v>
      </c>
      <c r="F616" t="inlineStr">
        <is>
          <t>SKÅNE LÄN</t>
        </is>
      </c>
      <c r="G616" t="inlineStr">
        <is>
          <t>KRISTIANSTAD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46279</v>
      </c>
      <c r="F617" t="inlineStr">
        <is>
          <t>SKÅNE LÄN</t>
        </is>
      </c>
      <c r="G617" t="inlineStr">
        <is>
          <t>KRISTIANSTAD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45331</v>
      </c>
      <c r="E618" s="1" t="n">
        <v>46279</v>
      </c>
      <c r="F618" t="inlineStr">
        <is>
          <t>SKÅNE LÄN</t>
        </is>
      </c>
      <c r="G618" t="inlineStr">
        <is>
          <t>KRISTIANSTAD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46279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27979-2024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45476</v>
      </c>
      <c r="E620" s="1" t="n">
        <v>46279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44858</v>
      </c>
      <c r="E621" s="1" t="n">
        <v>46279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44572</v>
      </c>
      <c r="E622" s="1" t="n">
        <v>46279</v>
      </c>
      <c r="F622" t="inlineStr">
        <is>
          <t>SKÅNE LÄN</t>
        </is>
      </c>
      <c r="G622" t="inlineStr">
        <is>
          <t>KRISTIANSTAD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25450-2022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46279</v>
      </c>
      <c r="F623" t="inlineStr">
        <is>
          <t>SKÅNE LÄN</t>
        </is>
      </c>
      <c r="G623" t="inlineStr">
        <is>
          <t>KRISTIANSTAD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44743</v>
      </c>
      <c r="E624" s="1" t="n">
        <v>46279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44767</v>
      </c>
      <c r="E625" s="1" t="n">
        <v>46279</v>
      </c>
      <c r="F625" t="inlineStr">
        <is>
          <t>SKÅNE LÄN</t>
        </is>
      </c>
      <c r="G625" t="inlineStr">
        <is>
          <t>KRISTIANSTAD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53299-2023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45229</v>
      </c>
      <c r="E626" s="1" t="n">
        <v>46279</v>
      </c>
      <c r="F626" t="inlineStr">
        <is>
          <t>SKÅNE LÄN</t>
        </is>
      </c>
      <c r="G626" t="inlineStr">
        <is>
          <t>KRISTIANSTAD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53466-2022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44879</v>
      </c>
      <c r="E627" s="1" t="n">
        <v>46279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46250</v>
      </c>
      <c r="E628" s="1" t="n">
        <v>46279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9794-2023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44984</v>
      </c>
      <c r="E629" s="1" t="n">
        <v>46279</v>
      </c>
      <c r="F629" t="inlineStr">
        <is>
          <t>SKÅNE LÄN</t>
        </is>
      </c>
      <c r="G629" t="inlineStr">
        <is>
          <t>KRISTIANSTAD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46279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62156-2022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46279</v>
      </c>
      <c r="F631" t="inlineStr">
        <is>
          <t>SKÅNE LÄN</t>
        </is>
      </c>
      <c r="G631" t="inlineStr">
        <is>
          <t>KRISTIANSTAD</t>
        </is>
      </c>
      <c r="H631" t="inlineStr">
        <is>
          <t>Kyrkan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25764-2024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45465</v>
      </c>
      <c r="E632" s="1" t="n">
        <v>46279</v>
      </c>
      <c r="F632" t="inlineStr">
        <is>
          <t>SKÅNE LÄN</t>
        </is>
      </c>
      <c r="G632" t="inlineStr">
        <is>
          <t>KRISTIANSTAD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45496</v>
      </c>
      <c r="E633" s="1" t="n">
        <v>46279</v>
      </c>
      <c r="F633" t="inlineStr">
        <is>
          <t>SKÅNE LÄN</t>
        </is>
      </c>
      <c r="G633" t="inlineStr">
        <is>
          <t>KRISTIANSTAD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46250</v>
      </c>
      <c r="E634" s="1" t="n">
        <v>46279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52064-2024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45608</v>
      </c>
      <c r="E635" s="1" t="n">
        <v>46279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18735-2024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46279</v>
      </c>
      <c r="F636" t="inlineStr">
        <is>
          <t>SKÅNE LÄN</t>
        </is>
      </c>
      <c r="G636" t="inlineStr">
        <is>
          <t>KRISTIANSTAD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26827-2024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46279</v>
      </c>
      <c r="F637" t="inlineStr">
        <is>
          <t>SKÅNE LÄN</t>
        </is>
      </c>
      <c r="G637" t="inlineStr">
        <is>
          <t>KRISTIANSTAD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53982-2022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44876</v>
      </c>
      <c r="E638" s="1" t="n">
        <v>46279</v>
      </c>
      <c r="F638" t="inlineStr">
        <is>
          <t>SKÅNE LÄN</t>
        </is>
      </c>
      <c r="G638" t="inlineStr">
        <is>
          <t>KRISTIANSTAD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18146-2022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44684</v>
      </c>
      <c r="E639" s="1" t="n">
        <v>46279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11067-2022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46279</v>
      </c>
      <c r="F640" t="inlineStr">
        <is>
          <t>SKÅNE LÄN</t>
        </is>
      </c>
      <c r="G640" t="inlineStr">
        <is>
          <t>KRISTIANSTAD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34293-2026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46279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46279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34159-2026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46253</v>
      </c>
      <c r="E643" s="1" t="n">
        <v>46279</v>
      </c>
      <c r="F643" t="inlineStr">
        <is>
          <t>SKÅNE LÄN</t>
        </is>
      </c>
      <c r="G643" t="inlineStr">
        <is>
          <t>KRISTIANSTAD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45755</v>
      </c>
      <c r="E644" s="1" t="n">
        <v>46279</v>
      </c>
      <c r="F644" t="inlineStr">
        <is>
          <t>SKÅNE LÄN</t>
        </is>
      </c>
      <c r="G644" t="inlineStr">
        <is>
          <t>KRISTIANSTAD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45664</v>
      </c>
      <c r="E645" s="1" t="n">
        <v>46279</v>
      </c>
      <c r="F645" t="inlineStr">
        <is>
          <t>SKÅNE LÄN</t>
        </is>
      </c>
      <c r="G645" t="inlineStr">
        <is>
          <t>KRISTIANSTAD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34291-2026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46253</v>
      </c>
      <c r="E646" s="1" t="n">
        <v>46279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44923</v>
      </c>
      <c r="E647" s="1" t="n">
        <v>46279</v>
      </c>
      <c r="F647" t="inlineStr">
        <is>
          <t>SKÅNE LÄN</t>
        </is>
      </c>
      <c r="G647" t="inlineStr">
        <is>
          <t>KRISTIANSTAD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46279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46279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46279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46279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46214</v>
      </c>
      <c r="E652" s="1" t="n">
        <v>46279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44645</v>
      </c>
      <c r="E653" s="1" t="n">
        <v>46279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46212</v>
      </c>
      <c r="E654" s="1" t="n">
        <v>46279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46212</v>
      </c>
      <c r="E655" s="1" t="n">
        <v>46279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46279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46279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24947-2023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45085</v>
      </c>
      <c r="E658" s="1" t="n">
        <v>46279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45049</v>
      </c>
      <c r="E659" s="1" t="n">
        <v>46279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46279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31219-2026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46217</v>
      </c>
      <c r="E661" s="1" t="n">
        <v>46279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11010-2024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45370</v>
      </c>
      <c r="E662" s="1" t="n">
        <v>46279</v>
      </c>
      <c r="F662" t="inlineStr">
        <is>
          <t>SKÅNE LÄN</t>
        </is>
      </c>
      <c r="G662" t="inlineStr">
        <is>
          <t>KRISTIANSTAD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45370</v>
      </c>
      <c r="E663" s="1" t="n">
        <v>46279</v>
      </c>
      <c r="F663" t="inlineStr">
        <is>
          <t>SKÅNE LÄN</t>
        </is>
      </c>
      <c r="G663" t="inlineStr">
        <is>
          <t>KRISTIANSTAD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46260</v>
      </c>
      <c r="E664" s="1" t="n">
        <v>46279</v>
      </c>
      <c r="F664" t="inlineStr">
        <is>
          <t>SKÅNE LÄN</t>
        </is>
      </c>
      <c r="G664" t="inlineStr">
        <is>
          <t>KRISTIANSTAD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46256</v>
      </c>
      <c r="E665" s="1" t="n">
        <v>46279</v>
      </c>
      <c r="F665" t="inlineStr">
        <is>
          <t>SKÅNE LÄN</t>
        </is>
      </c>
      <c r="G665" t="inlineStr">
        <is>
          <t>KRISTIANSTAD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46279</v>
      </c>
      <c r="F666" t="inlineStr">
        <is>
          <t>SKÅNE LÄN</t>
        </is>
      </c>
      <c r="G666" t="inlineStr">
        <is>
          <t>KRISTIANSTAD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35026-2023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45144</v>
      </c>
      <c r="E667" s="1" t="n">
        <v>46279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46279</v>
      </c>
      <c r="F668" t="inlineStr">
        <is>
          <t>SKÅNE LÄN</t>
        </is>
      </c>
      <c r="G668" t="inlineStr">
        <is>
          <t>KRISTIANSTAD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33752-2024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46279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44945</v>
      </c>
      <c r="E670" s="1" t="n">
        <v>46279</v>
      </c>
      <c r="F670" t="inlineStr">
        <is>
          <t>SKÅNE LÄN</t>
        </is>
      </c>
      <c r="G670" t="inlineStr">
        <is>
          <t>KRISTIANSTAD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44963</v>
      </c>
      <c r="E671" s="1" t="n">
        <v>46279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45526</v>
      </c>
      <c r="E672" s="1" t="n">
        <v>46279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46279</v>
      </c>
      <c r="F673" t="inlineStr">
        <is>
          <t>SKÅNE LÄN</t>
        </is>
      </c>
      <c r="G673" t="inlineStr">
        <is>
          <t>KRISTIANSTAD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31292-2026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46218</v>
      </c>
      <c r="E674" s="1" t="n">
        <v>46279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45247</v>
      </c>
      <c r="E675" s="1" t="n">
        <v>46279</v>
      </c>
      <c r="F675" t="inlineStr">
        <is>
          <t>SKÅNE LÄN</t>
        </is>
      </c>
      <c r="G675" t="inlineStr">
        <is>
          <t>KRISTIANSTAD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46279</v>
      </c>
      <c r="F676" t="inlineStr">
        <is>
          <t>SKÅNE LÄN</t>
        </is>
      </c>
      <c r="G676" t="inlineStr">
        <is>
          <t>KRISTIANSTAD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45116</v>
      </c>
      <c r="E677" s="1" t="n">
        <v>46279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46095-2023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45190</v>
      </c>
      <c r="E678" s="1" t="n">
        <v>46279</v>
      </c>
      <c r="F678" t="inlineStr">
        <is>
          <t>SKÅNE LÄN</t>
        </is>
      </c>
      <c r="G678" t="inlineStr">
        <is>
          <t>KRISTIANSTAD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44984</v>
      </c>
      <c r="E679" s="1" t="n">
        <v>46279</v>
      </c>
      <c r="F679" t="inlineStr">
        <is>
          <t>SKÅNE LÄN</t>
        </is>
      </c>
      <c r="G679" t="inlineStr">
        <is>
          <t>KRISTIANSTAD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31486-2026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46223</v>
      </c>
      <c r="E680" s="1" t="n">
        <v>46279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46222</v>
      </c>
      <c r="E681" s="1" t="n">
        <v>46279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44579-2023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45189</v>
      </c>
      <c r="E682" s="1" t="n">
        <v>46279</v>
      </c>
      <c r="F682" t="inlineStr">
        <is>
          <t>SKÅNE LÄN</t>
        </is>
      </c>
      <c r="G682" t="inlineStr">
        <is>
          <t>KRISTIANSTAD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32714-2023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46279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45506</v>
      </c>
      <c r="E684" s="1" t="n">
        <v>46279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45306</v>
      </c>
      <c r="E685" s="1" t="n">
        <v>46279</v>
      </c>
      <c r="F685" t="inlineStr">
        <is>
          <t>SKÅNE LÄN</t>
        </is>
      </c>
      <c r="G685" t="inlineStr">
        <is>
          <t>KRISTIANSTAD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46279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45019</v>
      </c>
      <c r="E687" s="1" t="n">
        <v>46279</v>
      </c>
      <c r="F687" t="inlineStr">
        <is>
          <t>SKÅNE LÄN</t>
        </is>
      </c>
      <c r="G687" t="inlineStr">
        <is>
          <t>KRISTIANSTAD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46279</v>
      </c>
      <c r="F688" t="inlineStr">
        <is>
          <t>SKÅNE LÄN</t>
        </is>
      </c>
      <c r="G688" t="inlineStr">
        <is>
          <t>KRISTIANSTAD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46279</v>
      </c>
      <c r="F689" t="inlineStr">
        <is>
          <t>SKÅNE LÄN</t>
        </is>
      </c>
      <c r="G689" t="inlineStr">
        <is>
          <t>KRISTIANSTAD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46271</v>
      </c>
      <c r="E690" s="1" t="n">
        <v>46279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46279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44933</v>
      </c>
      <c r="E692" s="1" t="n">
        <v>46279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46523-2023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46279</v>
      </c>
      <c r="F693" t="inlineStr">
        <is>
          <t>SKÅNE LÄN</t>
        </is>
      </c>
      <c r="G693" t="inlineStr">
        <is>
          <t>KRISTIANSTAD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46271</v>
      </c>
      <c r="E694" s="1" t="n">
        <v>46279</v>
      </c>
      <c r="F694" t="inlineStr">
        <is>
          <t>SKÅNE LÄN</t>
        </is>
      </c>
      <c r="G694" t="inlineStr">
        <is>
          <t>KRISTIANSTAD</t>
        </is>
      </c>
      <c r="H694" t="inlineStr">
        <is>
          <t>Övriga Aktiebolag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45149</v>
      </c>
      <c r="E695" s="1" t="n">
        <v>46279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36632-2026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46271</v>
      </c>
      <c r="E696" s="1" t="n">
        <v>46279</v>
      </c>
      <c r="F696" t="inlineStr">
        <is>
          <t>SKÅNE LÄN</t>
        </is>
      </c>
      <c r="G696" t="inlineStr">
        <is>
          <t>KRISTIANSTAD</t>
        </is>
      </c>
      <c r="H696" t="inlineStr">
        <is>
          <t>Övriga Aktiebolag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36633-2026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46271</v>
      </c>
      <c r="E697" s="1" t="n">
        <v>46279</v>
      </c>
      <c r="F697" t="inlineStr">
        <is>
          <t>SKÅNE LÄN</t>
        </is>
      </c>
      <c r="G697" t="inlineStr">
        <is>
          <t>KRISTIANSTAD</t>
        </is>
      </c>
      <c r="H697" t="inlineStr">
        <is>
          <t>Övriga Aktiebolag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46279</v>
      </c>
      <c r="F698" t="inlineStr">
        <is>
          <t>SKÅNE LÄN</t>
        </is>
      </c>
      <c r="G698" t="inlineStr">
        <is>
          <t>KRISTIANSTAD</t>
        </is>
      </c>
      <c r="H698" t="inlineStr">
        <is>
          <t>Kyrkan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61701-2024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45648</v>
      </c>
      <c r="E699" s="1" t="n">
        <v>46279</v>
      </c>
      <c r="F699" t="inlineStr">
        <is>
          <t>SKÅNE LÄN</t>
        </is>
      </c>
      <c r="G699" t="inlineStr">
        <is>
          <t>KRISTIANSTAD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46279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25803-2024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45467</v>
      </c>
      <c r="E701" s="1" t="n">
        <v>46279</v>
      </c>
      <c r="F701" t="inlineStr">
        <is>
          <t>SKÅNE LÄN</t>
        </is>
      </c>
      <c r="G701" t="inlineStr">
        <is>
          <t>KRISTIANSTAD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31374-2022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46279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50516-2022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44866</v>
      </c>
      <c r="E703" s="1" t="n">
        <v>46279</v>
      </c>
      <c r="F703" t="inlineStr">
        <is>
          <t>SKÅNE LÄN</t>
        </is>
      </c>
      <c r="G703" t="inlineStr">
        <is>
          <t>KRISTIANSTAD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5623-2024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45334</v>
      </c>
      <c r="E704" s="1" t="n">
        <v>46279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19997-2026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46135</v>
      </c>
      <c r="E705" s="1" t="n">
        <v>46279</v>
      </c>
      <c r="F705" t="inlineStr">
        <is>
          <t>SKÅNE LÄN</t>
        </is>
      </c>
      <c r="G705" t="inlineStr">
        <is>
          <t>KRISTIANSTAD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46279</v>
      </c>
      <c r="F706" t="inlineStr">
        <is>
          <t>SKÅNE LÄN</t>
        </is>
      </c>
      <c r="G706" t="inlineStr">
        <is>
          <t>KRISTIANSTAD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36833-2026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46272</v>
      </c>
      <c r="E707" s="1" t="n">
        <v>46279</v>
      </c>
      <c r="F707" t="inlineStr">
        <is>
          <t>SKÅNE LÄN</t>
        </is>
      </c>
      <c r="G707" t="inlineStr">
        <is>
          <t>KRISTIANSTAD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13954-2025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45737</v>
      </c>
      <c r="E708" s="1" t="n">
        <v>46279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46272</v>
      </c>
      <c r="E709" s="1" t="n">
        <v>46279</v>
      </c>
      <c r="F709" t="inlineStr">
        <is>
          <t>SKÅNE LÄN</t>
        </is>
      </c>
      <c r="G709" t="inlineStr">
        <is>
          <t>KRISTIANSTAD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46272</v>
      </c>
      <c r="E710" s="1" t="n">
        <v>46279</v>
      </c>
      <c r="F710" t="inlineStr">
        <is>
          <t>SKÅNE LÄN</t>
        </is>
      </c>
      <c r="G710" t="inlineStr">
        <is>
          <t>KRISTIANSTAD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46279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28442-2024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45477</v>
      </c>
      <c r="E712" s="1" t="n">
        <v>46279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46279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46279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45000</v>
      </c>
      <c r="E715" s="1" t="n">
        <v>46279</v>
      </c>
      <c r="F715" t="inlineStr">
        <is>
          <t>SKÅNE LÄN</t>
        </is>
      </c>
      <c r="G715" t="inlineStr">
        <is>
          <t>KRISTIANSTAD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60997-2024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46279</v>
      </c>
      <c r="F716" t="inlineStr">
        <is>
          <t>SKÅNE LÄN</t>
        </is>
      </c>
      <c r="G716" t="inlineStr">
        <is>
          <t>KRISTIANSTAD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40145-2024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45554</v>
      </c>
      <c r="E717" s="1" t="n">
        <v>46279</v>
      </c>
      <c r="F717" t="inlineStr">
        <is>
          <t>SKÅNE LÄN</t>
        </is>
      </c>
      <c r="G717" t="inlineStr">
        <is>
          <t>KRISTIANSTAD</t>
        </is>
      </c>
      <c r="I717" t="n">
        <v>7.5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7018-2024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46279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30220-2024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45490</v>
      </c>
      <c r="E719" s="1" t="n">
        <v>46279</v>
      </c>
      <c r="F719" t="inlineStr">
        <is>
          <t>SKÅNE LÄN</t>
        </is>
      </c>
      <c r="G719" t="inlineStr">
        <is>
          <t>KRISTIANSTAD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45554</v>
      </c>
      <c r="E720" s="1" t="n">
        <v>46279</v>
      </c>
      <c r="F720" t="inlineStr">
        <is>
          <t>SKÅNE LÄN</t>
        </is>
      </c>
      <c r="G720" t="inlineStr">
        <is>
          <t>KRISTIANSTAD</t>
        </is>
      </c>
      <c r="I720" t="n">
        <v>12.6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46279</v>
      </c>
      <c r="F721" t="inlineStr">
        <is>
          <t>SKÅNE LÄN</t>
        </is>
      </c>
      <c r="G721" t="inlineStr">
        <is>
          <t>KRISTIANSTAD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46279</v>
      </c>
      <c r="F722" t="inlineStr">
        <is>
          <t>SKÅNE LÄN</t>
        </is>
      </c>
      <c r="G722" t="inlineStr">
        <is>
          <t>KRISTIANSTAD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45134</v>
      </c>
      <c r="E723" s="1" t="n">
        <v>46279</v>
      </c>
      <c r="F723" t="inlineStr">
        <is>
          <t>SKÅNE LÄN</t>
        </is>
      </c>
      <c r="G723" t="inlineStr">
        <is>
          <t>KRISTIANSTAD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46279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37570-2026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46276</v>
      </c>
      <c r="E725" s="1" t="n">
        <v>46279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46279</v>
      </c>
      <c r="F726" t="inlineStr">
        <is>
          <t>SKÅNE LÄN</t>
        </is>
      </c>
      <c r="G726" t="inlineStr">
        <is>
          <t>KRISTIANSTAD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46279</v>
      </c>
      <c r="F727" t="inlineStr">
        <is>
          <t>SKÅNE LÄN</t>
        </is>
      </c>
      <c r="G727" t="inlineStr">
        <is>
          <t>KRISTIANSTAD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46279</v>
      </c>
      <c r="F728" t="inlineStr">
        <is>
          <t>SKÅNE LÄN</t>
        </is>
      </c>
      <c r="G728" t="inlineStr">
        <is>
          <t>KRISTIANSTAD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37999-2024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45544</v>
      </c>
      <c r="E729" s="1" t="n">
        <v>46279</v>
      </c>
      <c r="F729" t="inlineStr">
        <is>
          <t>SKÅNE LÄN</t>
        </is>
      </c>
      <c r="G729" t="inlineStr">
        <is>
          <t>KRISTIANSTAD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12134-2024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45377</v>
      </c>
      <c r="E730" s="1" t="n">
        <v>46279</v>
      </c>
      <c r="F730" t="inlineStr">
        <is>
          <t>SKÅNE LÄN</t>
        </is>
      </c>
      <c r="G730" t="inlineStr">
        <is>
          <t>KRISTIANSTAD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37571-2026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46276</v>
      </c>
      <c r="E731" s="1" t="n">
        <v>46279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46276</v>
      </c>
      <c r="E732" s="1" t="n">
        <v>46279</v>
      </c>
      <c r="F732" t="inlineStr">
        <is>
          <t>SKÅNE LÄN</t>
        </is>
      </c>
      <c r="G732" t="inlineStr">
        <is>
          <t>KRISTIANSTAD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10062-2024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45364</v>
      </c>
      <c r="E733" s="1" t="n">
        <v>46279</v>
      </c>
      <c r="F733" t="inlineStr">
        <is>
          <t>SKÅNE LÄN</t>
        </is>
      </c>
      <c r="G733" t="inlineStr">
        <is>
          <t>KRISTIANSTAD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46279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45776</v>
      </c>
      <c r="E735" s="1" t="n">
        <v>46279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45443</v>
      </c>
      <c r="E736" s="1" t="n">
        <v>46279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46279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52176-2023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46279</v>
      </c>
      <c r="F738" t="inlineStr">
        <is>
          <t>SKÅNE LÄN</t>
        </is>
      </c>
      <c r="G738" t="inlineStr">
        <is>
          <t>KRISTIANSTAD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9002-2024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46279</v>
      </c>
      <c r="F739" t="inlineStr">
        <is>
          <t>SKÅNE LÄN</t>
        </is>
      </c>
      <c r="G739" t="inlineStr">
        <is>
          <t>KRISTIANSTAD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55961-2023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45233</v>
      </c>
      <c r="E740" s="1" t="n">
        <v>46279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45414</v>
      </c>
      <c r="E741" s="1" t="n">
        <v>46279</v>
      </c>
      <c r="F741" t="inlineStr">
        <is>
          <t>SKÅNE LÄN</t>
        </is>
      </c>
      <c r="G741" t="inlineStr">
        <is>
          <t>KRISTIANSTAD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46279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45574</v>
      </c>
      <c r="E743" s="1" t="n">
        <v>46279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45700</v>
      </c>
      <c r="E744" s="1" t="n">
        <v>46279</v>
      </c>
      <c r="F744" t="inlineStr">
        <is>
          <t>SKÅNE LÄN</t>
        </is>
      </c>
      <c r="G744" t="inlineStr">
        <is>
          <t>KRISTIANSTAD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46279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43321-2023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45183</v>
      </c>
      <c r="E746" s="1" t="n">
        <v>46279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46279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45498</v>
      </c>
      <c r="E748" s="1" t="n">
        <v>46279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45797</v>
      </c>
      <c r="E749" s="1" t="n">
        <v>46279</v>
      </c>
      <c r="F749" t="inlineStr">
        <is>
          <t>SKÅNE LÄN</t>
        </is>
      </c>
      <c r="G749" t="inlineStr">
        <is>
          <t>KRISTIANSTAD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46279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46279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46279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45648</v>
      </c>
      <c r="E753" s="1" t="n">
        <v>46279</v>
      </c>
      <c r="F753" t="inlineStr">
        <is>
          <t>SKÅNE LÄN</t>
        </is>
      </c>
      <c r="G753" t="inlineStr">
        <is>
          <t>KRISTIANSTAD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46279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45804</v>
      </c>
      <c r="E755" s="1" t="n">
        <v>46279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25433-2025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46279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46279</v>
      </c>
      <c r="F757" t="inlineStr">
        <is>
          <t>SKÅNE LÄN</t>
        </is>
      </c>
      <c r="G757" t="inlineStr">
        <is>
          <t>KRISTIANSTAD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45396</v>
      </c>
      <c r="E758" s="1" t="n">
        <v>46279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26804-2025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45810</v>
      </c>
      <c r="E759" s="1" t="n">
        <v>46279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45810</v>
      </c>
      <c r="E760" s="1" t="n">
        <v>46279</v>
      </c>
      <c r="F760" t="inlineStr">
        <is>
          <t>SKÅNE LÄN</t>
        </is>
      </c>
      <c r="G760" t="inlineStr">
        <is>
          <t>KRISTIANSTAD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45420</v>
      </c>
      <c r="E761" s="1" t="n">
        <v>46279</v>
      </c>
      <c r="F761" t="inlineStr">
        <is>
          <t>SKÅNE LÄN</t>
        </is>
      </c>
      <c r="G761" t="inlineStr">
        <is>
          <t>KRISTIANSTAD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70705-2021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44537</v>
      </c>
      <c r="E762" s="1" t="n">
        <v>46279</v>
      </c>
      <c r="F762" t="inlineStr">
        <is>
          <t>SKÅNE LÄN</t>
        </is>
      </c>
      <c r="G762" t="inlineStr">
        <is>
          <t>KRISTIANSTAD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46279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2146-2022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44676</v>
      </c>
      <c r="E764" s="1" t="n">
        <v>46279</v>
      </c>
      <c r="F764" t="inlineStr">
        <is>
          <t>SKÅNE LÄN</t>
        </is>
      </c>
      <c r="G764" t="inlineStr">
        <is>
          <t>KRISTIANSTAD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46279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46279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46279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46279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6790-2021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44459</v>
      </c>
      <c r="E769" s="1" t="n">
        <v>46279</v>
      </c>
      <c r="F769" t="inlineStr">
        <is>
          <t>SKÅNE LÄN</t>
        </is>
      </c>
      <c r="G769" t="inlineStr">
        <is>
          <t>KRISTIANSTAD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46279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46279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46279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46279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46279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46279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46279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46279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46279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46279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46279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46279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46279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46279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46279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46279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46279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46279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46279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46279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46279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46279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46279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46279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46279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46279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2026-09-14T02:18:34Z</dcterms:created>
  <dcterms:modified xmlns:dcterms="http://purl.org/dc/terms/" xmlns:xsi="http://www.w3.org/2001/XMLSchema-instance" xsi:type="dcterms:W3CDTF">2026-09-14T02:18:34Z</dcterms:modified>
</cp:coreProperties>
</file>