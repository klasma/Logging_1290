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121</v>
      </c>
      <c r="U2" t="n">
        <v>19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46307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46307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46307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46307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46307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46307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46307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46307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46307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46307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46307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46307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46307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46307</v>
      </c>
      <c r="F20" t="inlineStr">
        <is>
          <t>SKÅNE LÄN</t>
        </is>
      </c>
      <c r="G20" t="inlineStr">
        <is>
          <t>KRISTIANSTAD</t>
        </is>
      </c>
      <c r="H20" t="inlineStr">
        <is>
          <t>Övriga Aktiebolag</t>
        </is>
      </c>
      <c r="I20" t="n">
        <v>3.1</v>
      </c>
      <c r="J20" t="n">
        <v>0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3</v>
      </c>
      <c r="V20" s="2" t="inlineStr">
        <is>
          <t>Fyrflikig jordstjärna
Stenticka
Stor tratticka
Liten stinksvamp
Rutbläcksvamp
Glansfläck</t>
        </is>
      </c>
      <c r="W20">
        <f>HYPERLINK("https://klasma.github.io/Logging_1290/artfynd/A 1415-2024 artfynd.xlsx", "A 1415-2024")</f>
        <v/>
      </c>
      <c r="X20">
        <f>HYPERLINK("https://klasma.github.io/Logging_1290/kartor/A 1415-2024 karta.png", "A 1415-2024")</f>
        <v/>
      </c>
      <c r="Y20">
        <f>HYPERLINK("https://klasma.github.io/Logging_1290/kartor_geotiff/A 1415-2024 georefererad karta.tif", "A 1415-2024")</f>
        <v/>
      </c>
      <c r="AA20">
        <f>HYPERLINK("https://klasma.github.io/Logging_1290/klagomål/A 1415-2024 FSC-klagomål.docx", "A 1415-2024")</f>
        <v/>
      </c>
      <c r="AB20">
        <f>HYPERLINK("https://klasma.github.io/Logging_1290/klagomålsmail/A 1415-2024 FSC-klagomål mail.docx", "A 1415-2024")</f>
        <v/>
      </c>
      <c r="AC20">
        <f>HYPERLINK("https://klasma.github.io/Logging_1290/tillsyn/A 1415-2024 tillsynsbegäran.docx", "A 1415-2024")</f>
        <v/>
      </c>
      <c r="AD20">
        <f>HYPERLINK("https://klasma.github.io/Logging_1290/tillsynsmail/A 1415-2024 tillsynsbegäran mail.docx", "A 1415-2024")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46307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46307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46307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46307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46307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46307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46307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46307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46307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46307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46307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46307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46307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46307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46307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46307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46307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46307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46307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46307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46307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46307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46307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46307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46307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46307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46307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46307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46307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46307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46307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46307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46307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46307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46307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11720-2025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46307</v>
      </c>
      <c r="F58" t="inlineStr">
        <is>
          <t>SKÅNE LÄN</t>
        </is>
      </c>
      <c r="G58" t="inlineStr">
        <is>
          <t>KRISTIANSTAD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Igelkottsröksvamp
Åkergroda</t>
        </is>
      </c>
      <c r="W58">
        <f>HYPERLINK("https://klasma.github.io/Logging_1290/artfynd/A 11720-2025 artfynd.xlsx", "A 11720-2025")</f>
        <v/>
      </c>
      <c r="X58">
        <f>HYPERLINK("https://klasma.github.io/Logging_1290/kartor/A 11720-2025 karta.png", "A 11720-2025")</f>
        <v/>
      </c>
      <c r="Y58">
        <f>HYPERLINK("https://klasma.github.io/Logging_1290/kartor_geotiff/A 11720-2025 georefererad karta.tif", "A 11720-2025")</f>
        <v/>
      </c>
      <c r="AA58">
        <f>HYPERLINK("https://klasma.github.io/Logging_1290/klagomål/A 11720-2025 FSC-klagomål.docx", "A 11720-2025")</f>
        <v/>
      </c>
      <c r="AB58">
        <f>HYPERLINK("https://klasma.github.io/Logging_1290/klagomålsmail/A 11720-2025 FSC-klagomål mail.docx", "A 11720-2025")</f>
        <v/>
      </c>
      <c r="AC58">
        <f>HYPERLINK("https://klasma.github.io/Logging_1290/tillsyn/A 11720-2025 tillsynsbegäran.docx", "A 11720-2025")</f>
        <v/>
      </c>
      <c r="AD58">
        <f>HYPERLINK("https://klasma.github.io/Logging_1290/tillsynsmail/A 11720-2025 tillsynsbegäran mail.docx", "A 11720-2025")</f>
        <v/>
      </c>
    </row>
    <row r="59" ht="15" customHeight="1">
      <c r="A59" t="inlineStr">
        <is>
          <t>A 1418-2024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46307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Gropticka
Stenticka</t>
        </is>
      </c>
      <c r="W59">
        <f>HYPERLINK("https://klasma.github.io/Logging_1290/artfynd/A 1418-2024 artfynd.xlsx", "A 1418-2024")</f>
        <v/>
      </c>
      <c r="X59">
        <f>HYPERLINK("https://klasma.github.io/Logging_1290/kartor/A 1418-2024 karta.png", "A 1418-2024")</f>
        <v/>
      </c>
      <c r="Y59">
        <f>HYPERLINK("https://klasma.github.io/Logging_1290/kartor_geotiff/A 1418-2024 georefererad karta.tif", "A 1418-2024")</f>
        <v/>
      </c>
      <c r="AA59">
        <f>HYPERLINK("https://klasma.github.io/Logging_1290/klagomål/A 1418-2024 FSC-klagomål.docx", "A 1418-2024")</f>
        <v/>
      </c>
      <c r="AB59">
        <f>HYPERLINK("https://klasma.github.io/Logging_1290/klagomålsmail/A 1418-2024 FSC-klagomål mail.docx", "A 1418-2024")</f>
        <v/>
      </c>
      <c r="AC59">
        <f>HYPERLINK("https://klasma.github.io/Logging_1290/tillsyn/A 1418-2024 tillsynsbegäran.docx", "A 1418-2024")</f>
        <v/>
      </c>
      <c r="AD59">
        <f>HYPERLINK("https://klasma.github.io/Logging_1290/tillsynsmail/A 1418-2024 tillsynsbegäran mail.docx", "A 1418-2024")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46307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46307</v>
      </c>
      <c r="F61" t="inlineStr">
        <is>
          <t>SKÅNE LÄN</t>
        </is>
      </c>
      <c r="G61" t="inlineStr">
        <is>
          <t>KRISTIANSTAD</t>
        </is>
      </c>
      <c r="I61" t="n">
        <v>2.6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2</v>
      </c>
      <c r="V61" s="2" t="inlineStr">
        <is>
          <t>Småvänderot
Större vattensalamander</t>
        </is>
      </c>
      <c r="W61">
        <f>HYPERLINK("https://klasma.github.io/Logging_1290/artfynd/A 30842-2022 artfynd.xlsx", "A 30842-2022")</f>
        <v/>
      </c>
      <c r="X61">
        <f>HYPERLINK("https://klasma.github.io/Logging_1290/kartor/A 30842-2022 karta.png", "A 30842-2022")</f>
        <v/>
      </c>
      <c r="Y61">
        <f>HYPERLINK("https://klasma.github.io/Logging_1290/kartor_geotiff/A 30842-2022 georefererad karta.tif", "A 30842-2022")</f>
        <v/>
      </c>
      <c r="AA61">
        <f>HYPERLINK("https://klasma.github.io/Logging_1290/klagomål/A 30842-2022 FSC-klagomål.docx", "A 30842-2022")</f>
        <v/>
      </c>
      <c r="AB61">
        <f>HYPERLINK("https://klasma.github.io/Logging_1290/klagomålsmail/A 30842-2022 FSC-klagomål mail.docx", "A 30842-2022")</f>
        <v/>
      </c>
      <c r="AC61">
        <f>HYPERLINK("https://klasma.github.io/Logging_1290/tillsyn/A 30842-2022 tillsynsbegäran.docx", "A 30842-2022")</f>
        <v/>
      </c>
      <c r="AD61">
        <f>HYPERLINK("https://klasma.github.io/Logging_1290/tillsynsmail/A 30842-2022 tillsynsbegäran mail.docx", "A 30842-2022")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46307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755-2025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45665</v>
      </c>
      <c r="E63" s="1" t="n">
        <v>46307</v>
      </c>
      <c r="F63" t="inlineStr">
        <is>
          <t>SKÅNE LÄN</t>
        </is>
      </c>
      <c r="G63" t="inlineStr">
        <is>
          <t>KRISTIANSTAD</t>
        </is>
      </c>
      <c r="I63" t="n">
        <v>1.9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Rosa lundlav
Stiftklotterlav</t>
        </is>
      </c>
      <c r="W63">
        <f>HYPERLINK("https://klasma.github.io/Logging_1290/artfynd/A 755-2025 artfynd.xlsx", "A 755-2025")</f>
        <v/>
      </c>
      <c r="X63">
        <f>HYPERLINK("https://klasma.github.io/Logging_1290/kartor/A 755-2025 karta.png", "A 755-2025")</f>
        <v/>
      </c>
      <c r="Y63">
        <f>HYPERLINK("https://klasma.github.io/Logging_1290/kartor_geotiff/A 755-2025 georefererad karta.tif", "A 755-2025")</f>
        <v/>
      </c>
      <c r="AA63">
        <f>HYPERLINK("https://klasma.github.io/Logging_1290/klagomål/A 755-2025 FSC-klagomål.docx", "A 755-2025")</f>
        <v/>
      </c>
      <c r="AB63">
        <f>HYPERLINK("https://klasma.github.io/Logging_1290/klagomålsmail/A 755-2025 FSC-klagomål mail.docx", "A 755-2025")</f>
        <v/>
      </c>
      <c r="AC63">
        <f>HYPERLINK("https://klasma.github.io/Logging_1290/tillsyn/A 755-2025 tillsynsbegäran.docx", "A 755-2025")</f>
        <v/>
      </c>
      <c r="AD63">
        <f>HYPERLINK("https://klasma.github.io/Logging_1290/tillsynsmail/A 755-2025 tillsynsbegäran mail.docx", "A 755-2025")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46307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46307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46307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46307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46307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46307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46307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Kransrams
Stor häxört</t>
        </is>
      </c>
      <c r="W70">
        <f>HYPERLINK("https://klasma.github.io/Logging_1290/artfynd/A 2888-2024 artfynd.xlsx", "A 2888-2024")</f>
        <v/>
      </c>
      <c r="X70">
        <f>HYPERLINK("https://klasma.github.io/Logging_1290/kartor/A 2888-2024 karta.png", "A 2888-2024")</f>
        <v/>
      </c>
      <c r="Y70">
        <f>HYPERLINK("https://klasma.github.io/Logging_1290/kartor_geotiff/A 2888-2024 georefererad karta.tif", "A 2888-2024")</f>
        <v/>
      </c>
      <c r="AA70">
        <f>HYPERLINK("https://klasma.github.io/Logging_1290/klagomål/A 2888-2024 FSC-klagomål.docx", "A 2888-2024")</f>
        <v/>
      </c>
      <c r="AB70">
        <f>HYPERLINK("https://klasma.github.io/Logging_1290/klagomålsmail/A 2888-2024 FSC-klagomål mail.docx", "A 2888-2024")</f>
        <v/>
      </c>
      <c r="AC70">
        <f>HYPERLINK("https://klasma.github.io/Logging_1290/tillsyn/A 2888-2024 tillsynsbegäran.docx", "A 2888-2024")</f>
        <v/>
      </c>
      <c r="AD70">
        <f>HYPERLINK("https://klasma.github.io/Logging_1290/tillsynsmail/A 2888-2024 tillsynsbegäran mail.docx", "A 2888-2024")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46307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46307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46307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46307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Slåttergubbe
Grönvit nattviol</t>
        </is>
      </c>
      <c r="W74">
        <f>HYPERLINK("https://klasma.github.io/Logging_1290/artfynd/A 50151-2025 artfynd.xlsx", "A 50151-2025")</f>
        <v/>
      </c>
      <c r="X74">
        <f>HYPERLINK("https://klasma.github.io/Logging_1290/kartor/A 50151-2025 karta.png", "A 50151-2025")</f>
        <v/>
      </c>
      <c r="Y74">
        <f>HYPERLINK("https://klasma.github.io/Logging_1290/kartor_geotiff/A 50151-2025 georefererad karta.tif", "A 50151-2025")</f>
        <v/>
      </c>
      <c r="AA74">
        <f>HYPERLINK("https://klasma.github.io/Logging_1290/klagomål/A 50151-2025 FSC-klagomål.docx", "A 50151-2025")</f>
        <v/>
      </c>
      <c r="AB74">
        <f>HYPERLINK("https://klasma.github.io/Logging_1290/klagomålsmail/A 50151-2025 FSC-klagomål mail.docx", "A 50151-2025")</f>
        <v/>
      </c>
      <c r="AC74">
        <f>HYPERLINK("https://klasma.github.io/Logging_1290/tillsyn/A 50151-2025 tillsynsbegäran.docx", "A 50151-2025")</f>
        <v/>
      </c>
      <c r="AD74">
        <f>HYPERLINK("https://klasma.github.io/Logging_1290/tillsynsmail/A 50151-2025 tillsynsbegäran mail.docx", "A 50151-2025")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46307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46307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42097-2026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46304</v>
      </c>
      <c r="E77" s="1" t="n">
        <v>46307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Kråka
Kungsfågel</t>
        </is>
      </c>
      <c r="W77">
        <f>HYPERLINK("https://klasma.github.io/Logging_1290/artfynd/A 42097-2026 artfynd.xlsx", "A 42097-2026")</f>
        <v/>
      </c>
      <c r="X77">
        <f>HYPERLINK("https://klasma.github.io/Logging_1290/kartor/A 42097-2026 karta.png", "A 42097-2026")</f>
        <v/>
      </c>
      <c r="Y77">
        <f>HYPERLINK("https://klasma.github.io/Logging_1290/kartor_geotiff/A 42097-2026 georefererad karta.tif", "A 42097-2026")</f>
        <v/>
      </c>
      <c r="AA77">
        <f>HYPERLINK("https://klasma.github.io/Logging_1290/klagomål/A 42097-2026 FSC-klagomål.docx", "A 42097-2026")</f>
        <v/>
      </c>
      <c r="AB77">
        <f>HYPERLINK("https://klasma.github.io/Logging_1290/klagomålsmail/A 42097-2026 FSC-klagomål mail.docx", "A 42097-2026")</f>
        <v/>
      </c>
      <c r="AC77">
        <f>HYPERLINK("https://klasma.github.io/Logging_1290/tillsyn/A 42097-2026 tillsynsbegäran.docx", "A 42097-2026")</f>
        <v/>
      </c>
      <c r="AD77">
        <f>HYPERLINK("https://klasma.github.io/Logging_1290/tillsynsmail/A 42097-2026 tillsynsbegäran mail.docx", "A 42097-2026")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46307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46307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46307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46307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33362-2023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45128</v>
      </c>
      <c r="E82" s="1" t="n">
        <v>46307</v>
      </c>
      <c r="F82" t="inlineStr">
        <is>
          <t>SKÅNE LÄN</t>
        </is>
      </c>
      <c r="G82" t="inlineStr">
        <is>
          <t>KRISTIANSTAD</t>
        </is>
      </c>
      <c r="I82" t="n">
        <v>4.9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HYPERLINK("https://klasma.github.io/Logging_1290/artfynd/A 33362-2023 artfynd.xlsx", "A 33362-2023")</f>
        <v/>
      </c>
      <c r="X82">
        <f>HYPERLINK("https://klasma.github.io/Logging_1290/kartor/A 33362-2023 karta.png", "A 33362-2023")</f>
        <v/>
      </c>
      <c r="Y82">
        <f>HYPERLINK("https://klasma.github.io/Logging_1290/kartor_geotiff/A 33362-2023 georefererad karta.tif", "A 33362-2023")</f>
        <v/>
      </c>
      <c r="AA82">
        <f>HYPERLINK("https://klasma.github.io/Logging_1290/klagomål/A 33362-2023 FSC-klagomål.docx", "A 33362-2023")</f>
        <v/>
      </c>
      <c r="AB82">
        <f>HYPERLINK("https://klasma.github.io/Logging_1290/klagomålsmail/A 33362-2023 FSC-klagomål mail.docx", "A 33362-2023")</f>
        <v/>
      </c>
      <c r="AC82">
        <f>HYPERLINK("https://klasma.github.io/Logging_1290/tillsyn/A 33362-2023 tillsynsbegäran.docx", "A 33362-2023")</f>
        <v/>
      </c>
      <c r="AD82">
        <f>HYPERLINK("https://klasma.github.io/Logging_1290/tillsynsmail/A 33362-2023 tillsynsbegäran mail.docx", "A 33362-2023")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46307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7054-2024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46307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Törnskata</t>
        </is>
      </c>
      <c r="W84">
        <f>HYPERLINK("https://klasma.github.io/Logging_1290/artfynd/A 7054-2024 artfynd.xlsx", "A 7054-2024")</f>
        <v/>
      </c>
      <c r="X84">
        <f>HYPERLINK("https://klasma.github.io/Logging_1290/kartor/A 7054-2024 karta.png", "A 7054-2024")</f>
        <v/>
      </c>
      <c r="Y84">
        <f>HYPERLINK("https://klasma.github.io/Logging_1290/kartor_geotiff/A 7054-2024 georefererad karta.tif", "A 7054-2024")</f>
        <v/>
      </c>
      <c r="AA84">
        <f>HYPERLINK("https://klasma.github.io/Logging_1290/klagomål/A 7054-2024 FSC-klagomål.docx", "A 7054-2024")</f>
        <v/>
      </c>
      <c r="AB84">
        <f>HYPERLINK("https://klasma.github.io/Logging_1290/klagomålsmail/A 7054-2024 FSC-klagomål mail.docx", "A 7054-2024")</f>
        <v/>
      </c>
      <c r="AC84">
        <f>HYPERLINK("https://klasma.github.io/Logging_1290/tillsyn/A 7054-2024 tillsynsbegäran.docx", "A 7054-2024")</f>
        <v/>
      </c>
      <c r="AD84">
        <f>HYPERLINK("https://klasma.github.io/Logging_1290/tillsynsmail/A 7054-2024 tillsynsbegäran mail.docx", "A 7054-2024")</f>
        <v/>
      </c>
      <c r="AE84">
        <f>HYPERLINK("https://klasma.github.io/Logging_1290/fåglar/A 7054-2024 prioriterade fågelarter.docx", "A 7054-2024")</f>
        <v/>
      </c>
    </row>
    <row r="85" ht="15" customHeight="1">
      <c r="A85" t="inlineStr">
        <is>
          <t>A 58003-2023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46307</v>
      </c>
      <c r="F85" t="inlineStr">
        <is>
          <t>SKÅNE LÄN</t>
        </is>
      </c>
      <c r="G85" t="inlineStr">
        <is>
          <t>KRISTIANSTAD</t>
        </is>
      </c>
      <c r="I85" t="n">
        <v>2.6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Ekskinn</t>
        </is>
      </c>
      <c r="W85">
        <f>HYPERLINK("https://klasma.github.io/Logging_1290/artfynd/A 58003-2023 artfynd.xlsx", "A 58003-2023")</f>
        <v/>
      </c>
      <c r="X85">
        <f>HYPERLINK("https://klasma.github.io/Logging_1290/kartor/A 58003-2023 karta.png", "A 58003-2023")</f>
        <v/>
      </c>
      <c r="Y85">
        <f>HYPERLINK("https://klasma.github.io/Logging_1290/kartor_geotiff/A 58003-2023 georefererad karta.tif", "A 58003-2023")</f>
        <v/>
      </c>
      <c r="AA85">
        <f>HYPERLINK("https://klasma.github.io/Logging_1290/klagomål/A 58003-2023 FSC-klagomål.docx", "A 58003-2023")</f>
        <v/>
      </c>
      <c r="AB85">
        <f>HYPERLINK("https://klasma.github.io/Logging_1290/klagomålsmail/A 58003-2023 FSC-klagomål mail.docx", "A 58003-2023")</f>
        <v/>
      </c>
      <c r="AC85">
        <f>HYPERLINK("https://klasma.github.io/Logging_1290/tillsyn/A 58003-2023 tillsynsbegäran.docx", "A 58003-2023")</f>
        <v/>
      </c>
      <c r="AD85">
        <f>HYPERLINK("https://klasma.github.io/Logging_1290/tillsynsmail/A 58003-2023 tillsynsbegäran mail.docx", "A 58003-2023")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46307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46307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46307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46307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46307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46307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46307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15706-2025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46307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HYPERLINK("https://klasma.github.io/Logging_1290/artfynd/A 15706-2025 artfynd.xlsx", "A 15706-2025")</f>
        <v/>
      </c>
      <c r="X93">
        <f>HYPERLINK("https://klasma.github.io/Logging_1290/kartor/A 15706-2025 karta.png", "A 15706-2025")</f>
        <v/>
      </c>
      <c r="Y93">
        <f>HYPERLINK("https://klasma.github.io/Logging_1290/kartor_geotiff/A 15706-2025 georefererad karta.tif", "A 15706-2025")</f>
        <v/>
      </c>
      <c r="AA93">
        <f>HYPERLINK("https://klasma.github.io/Logging_1290/klagomål/A 15706-2025 FSC-klagomål.docx", "A 15706-2025")</f>
        <v/>
      </c>
      <c r="AB93">
        <f>HYPERLINK("https://klasma.github.io/Logging_1290/klagomålsmail/A 15706-2025 FSC-klagomål mail.docx", "A 15706-2025")</f>
        <v/>
      </c>
      <c r="AC93">
        <f>HYPERLINK("https://klasma.github.io/Logging_1290/tillsyn/A 15706-2025 tillsynsbegäran.docx", "A 15706-2025")</f>
        <v/>
      </c>
      <c r="AD93">
        <f>HYPERLINK("https://klasma.github.io/Logging_1290/tillsynsmail/A 15706-2025 tillsynsbegäran mail.docx", "A 15706-2025")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46307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28425-2024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46307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Missne</t>
        </is>
      </c>
      <c r="W95">
        <f>HYPERLINK("https://klasma.github.io/Logging_1290/artfynd/A 28425-2024 artfynd.xlsx", "A 28425-2024")</f>
        <v/>
      </c>
      <c r="X95">
        <f>HYPERLINK("https://klasma.github.io/Logging_1290/kartor/A 28425-2024 karta.png", "A 28425-2024")</f>
        <v/>
      </c>
      <c r="Y95">
        <f>HYPERLINK("https://klasma.github.io/Logging_1290/kartor_geotiff/A 28425-2024 georefererad karta.tif", "A 28425-2024")</f>
        <v/>
      </c>
      <c r="AA95">
        <f>HYPERLINK("https://klasma.github.io/Logging_1290/klagomål/A 28425-2024 FSC-klagomål.docx", "A 28425-2024")</f>
        <v/>
      </c>
      <c r="AB95">
        <f>HYPERLINK("https://klasma.github.io/Logging_1290/klagomålsmail/A 28425-2024 FSC-klagomål mail.docx", "A 28425-2024")</f>
        <v/>
      </c>
      <c r="AC95">
        <f>HYPERLINK("https://klasma.github.io/Logging_1290/tillsyn/A 28425-2024 tillsynsbegäran.docx", "A 28425-2024")</f>
        <v/>
      </c>
      <c r="AD95">
        <f>HYPERLINK("https://klasma.github.io/Logging_1290/tillsynsmail/A 28425-2024 tillsynsbegäran mail.docx", "A 28425-2024")</f>
        <v/>
      </c>
    </row>
    <row r="96" ht="15" customHeight="1">
      <c r="A96" t="inlineStr">
        <is>
          <t>A 52012-2024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46307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52012-2024 artfynd.xlsx", "A 52012-2024")</f>
        <v/>
      </c>
      <c r="X96">
        <f>HYPERLINK("https://klasma.github.io/Logging_1290/kartor/A 52012-2024 karta.png", "A 52012-2024")</f>
        <v/>
      </c>
      <c r="Y96">
        <f>HYPERLINK("https://klasma.github.io/Logging_1290/kartor_geotiff/A 52012-2024 georefererad karta.tif", "A 52012-2024")</f>
        <v/>
      </c>
      <c r="AA96">
        <f>HYPERLINK("https://klasma.github.io/Logging_1290/klagomål/A 52012-2024 FSC-klagomål.docx", "A 52012-2024")</f>
        <v/>
      </c>
      <c r="AB96">
        <f>HYPERLINK("https://klasma.github.io/Logging_1290/klagomålsmail/A 52012-2024 FSC-klagomål mail.docx", "A 52012-2024")</f>
        <v/>
      </c>
      <c r="AC96">
        <f>HYPERLINK("https://klasma.github.io/Logging_1290/tillsyn/A 52012-2024 tillsynsbegäran.docx", "A 52012-2024")</f>
        <v/>
      </c>
      <c r="AD96">
        <f>HYPERLINK("https://klasma.github.io/Logging_1290/tillsynsmail/A 52012-2024 tillsynsbegäran mail.docx", "A 52012-2024")</f>
        <v/>
      </c>
    </row>
    <row r="97" ht="15" customHeight="1">
      <c r="A97" t="inlineStr">
        <is>
          <t>A 14232-2023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46307</v>
      </c>
      <c r="F97" t="inlineStr">
        <is>
          <t>SKÅNE LÄN</t>
        </is>
      </c>
      <c r="G97" t="inlineStr">
        <is>
          <t>KRISTIANSTAD</t>
        </is>
      </c>
      <c r="I97" t="n">
        <v>7.1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Gullviva</t>
        </is>
      </c>
      <c r="W97">
        <f>HYPERLINK("https://klasma.github.io/Logging_1290/artfynd/A 14232-2023 artfynd.xlsx", "A 14232-2023")</f>
        <v/>
      </c>
      <c r="X97">
        <f>HYPERLINK("https://klasma.github.io/Logging_1290/kartor/A 14232-2023 karta.png", "A 14232-2023")</f>
        <v/>
      </c>
      <c r="Y97">
        <f>HYPERLINK("https://klasma.github.io/Logging_1290/kartor_geotiff/A 14232-2023 georefererad karta.tif", "A 14232-2023")</f>
        <v/>
      </c>
      <c r="AA97">
        <f>HYPERLINK("https://klasma.github.io/Logging_1290/klagomål/A 14232-2023 FSC-klagomål.docx", "A 14232-2023")</f>
        <v/>
      </c>
      <c r="AB97">
        <f>HYPERLINK("https://klasma.github.io/Logging_1290/klagomålsmail/A 14232-2023 FSC-klagomål mail.docx", "A 14232-2023")</f>
        <v/>
      </c>
      <c r="AC97">
        <f>HYPERLINK("https://klasma.github.io/Logging_1290/tillsyn/A 14232-2023 tillsynsbegäran.docx", "A 14232-2023")</f>
        <v/>
      </c>
      <c r="AD97">
        <f>HYPERLINK("https://klasma.github.io/Logging_1290/tillsynsmail/A 14232-2023 tillsynsbegäran mail.docx", "A 14232-2023")</f>
        <v/>
      </c>
    </row>
    <row r="98" ht="15" customHeight="1">
      <c r="A98" t="inlineStr">
        <is>
          <t>A 22272-2024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45446</v>
      </c>
      <c r="E98" s="1" t="n">
        <v>46307</v>
      </c>
      <c r="F98" t="inlineStr">
        <is>
          <t>SKÅNE LÄN</t>
        </is>
      </c>
      <c r="G98" t="inlineStr">
        <is>
          <t>KRISTIANSTAD</t>
        </is>
      </c>
      <c r="I98" t="n">
        <v>5.7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Dubbelnycklar</t>
        </is>
      </c>
      <c r="W98">
        <f>HYPERLINK("https://klasma.github.io/Logging_1290/artfynd/A 22272-2024 artfynd.xlsx", "A 22272-2024")</f>
        <v/>
      </c>
      <c r="X98">
        <f>HYPERLINK("https://klasma.github.io/Logging_1290/kartor/A 22272-2024 karta.png", "A 22272-2024")</f>
        <v/>
      </c>
      <c r="Y98">
        <f>HYPERLINK("https://klasma.github.io/Logging_1290/kartor_geotiff/A 22272-2024 georefererad karta.tif", "A 22272-2024")</f>
        <v/>
      </c>
      <c r="AA98">
        <f>HYPERLINK("https://klasma.github.io/Logging_1290/klagomål/A 22272-2024 FSC-klagomål.docx", "A 22272-2024")</f>
        <v/>
      </c>
      <c r="AB98">
        <f>HYPERLINK("https://klasma.github.io/Logging_1290/klagomålsmail/A 22272-2024 FSC-klagomål mail.docx", "A 22272-2024")</f>
        <v/>
      </c>
      <c r="AC98">
        <f>HYPERLINK("https://klasma.github.io/Logging_1290/tillsyn/A 22272-2024 tillsynsbegäran.docx", "A 22272-2024")</f>
        <v/>
      </c>
      <c r="AD98">
        <f>HYPERLINK("https://klasma.github.io/Logging_1290/tillsynsmail/A 22272-2024 tillsynsbegäran mail.docx", "A 22272-2024")</f>
        <v/>
      </c>
    </row>
    <row r="99" ht="15" customHeight="1">
      <c r="A99" t="inlineStr">
        <is>
          <t>A 40668-2024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46307</v>
      </c>
      <c r="F99" t="inlineStr">
        <is>
          <t>SKÅNE LÄN</t>
        </is>
      </c>
      <c r="G99" t="inlineStr">
        <is>
          <t>KRISTIANSTAD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HYPERLINK("https://klasma.github.io/Logging_1290/artfynd/A 40668-2024 artfynd.xlsx", "A 40668-2024")</f>
        <v/>
      </c>
      <c r="X99">
        <f>HYPERLINK("https://klasma.github.io/Logging_1290/kartor/A 40668-2024 karta.png", "A 40668-2024")</f>
        <v/>
      </c>
      <c r="Y99">
        <f>HYPERLINK("https://klasma.github.io/Logging_1290/kartor_geotiff/A 40668-2024 georefererad karta.tif", "A 40668-2024")</f>
        <v/>
      </c>
      <c r="AA99">
        <f>HYPERLINK("https://klasma.github.io/Logging_1290/klagomål/A 40668-2024 FSC-klagomål.docx", "A 40668-2024")</f>
        <v/>
      </c>
      <c r="AB99">
        <f>HYPERLINK("https://klasma.github.io/Logging_1290/klagomålsmail/A 40668-2024 FSC-klagomål mail.docx", "A 40668-2024")</f>
        <v/>
      </c>
      <c r="AC99">
        <f>HYPERLINK("https://klasma.github.io/Logging_1290/tillsyn/A 40668-2024 tillsynsbegäran.docx", "A 40668-2024")</f>
        <v/>
      </c>
      <c r="AD99">
        <f>HYPERLINK("https://klasma.github.io/Logging_1290/tillsynsmail/A 40668-2024 tillsynsbegäran mail.docx", "A 40668-2024")</f>
        <v/>
      </c>
      <c r="AE99">
        <f>HYPERLINK("https://klasma.github.io/Logging_1290/fåglar/A 40668-2024 prioriterade fågelarter.docx", "A 40668-2024")</f>
        <v/>
      </c>
    </row>
    <row r="100" ht="15" customHeight="1">
      <c r="A100" t="inlineStr">
        <is>
          <t>A 38440-2024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46307</v>
      </c>
      <c r="F100" t="inlineStr">
        <is>
          <t>SKÅNE LÄN</t>
        </is>
      </c>
      <c r="G100" t="inlineStr">
        <is>
          <t>KRISTIANSTAD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Igelkott</t>
        </is>
      </c>
      <c r="W100">
        <f>HYPERLINK("https://klasma.github.io/Logging_1290/artfynd/A 38440-2024 artfynd.xlsx", "A 38440-2024")</f>
        <v/>
      </c>
      <c r="X100">
        <f>HYPERLINK("https://klasma.github.io/Logging_1290/kartor/A 38440-2024 karta.png", "A 38440-2024")</f>
        <v/>
      </c>
      <c r="Y100">
        <f>HYPERLINK("https://klasma.github.io/Logging_1290/kartor_geotiff/A 38440-2024 georefererad karta.tif", "A 38440-2024")</f>
        <v/>
      </c>
      <c r="AA100">
        <f>HYPERLINK("https://klasma.github.io/Logging_1290/klagomål/A 38440-2024 FSC-klagomål.docx", "A 38440-2024")</f>
        <v/>
      </c>
      <c r="AB100">
        <f>HYPERLINK("https://klasma.github.io/Logging_1290/klagomålsmail/A 38440-2024 FSC-klagomål mail.docx", "A 38440-2024")</f>
        <v/>
      </c>
      <c r="AC100">
        <f>HYPERLINK("https://klasma.github.io/Logging_1290/tillsyn/A 38440-2024 tillsynsbegäran.docx", "A 38440-2024")</f>
        <v/>
      </c>
      <c r="AD100">
        <f>HYPERLINK("https://klasma.github.io/Logging_1290/tillsynsmail/A 38440-2024 tillsynsbegäran mail.docx", "A 38440-2024")</f>
        <v/>
      </c>
    </row>
    <row r="101" ht="15" customHeight="1">
      <c r="A101" t="inlineStr">
        <is>
          <t>A 17023-2025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46307</v>
      </c>
      <c r="F101" t="inlineStr">
        <is>
          <t>SKÅNE LÄN</t>
        </is>
      </c>
      <c r="G101" t="inlineStr">
        <is>
          <t>KRISTIANSTAD</t>
        </is>
      </c>
      <c r="I101" t="n">
        <v>5.7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Ekskinn</t>
        </is>
      </c>
      <c r="W101">
        <f>HYPERLINK("https://klasma.github.io/Logging_1290/artfynd/A 17023-2025 artfynd.xlsx", "A 17023-2025")</f>
        <v/>
      </c>
      <c r="X101">
        <f>HYPERLINK("https://klasma.github.io/Logging_1290/kartor/A 17023-2025 karta.png", "A 17023-2025")</f>
        <v/>
      </c>
      <c r="Y101">
        <f>HYPERLINK("https://klasma.github.io/Logging_1290/kartor_geotiff/A 17023-2025 georefererad karta.tif", "A 17023-2025")</f>
        <v/>
      </c>
      <c r="AA101">
        <f>HYPERLINK("https://klasma.github.io/Logging_1290/klagomål/A 17023-2025 FSC-klagomål.docx", "A 17023-2025")</f>
        <v/>
      </c>
      <c r="AB101">
        <f>HYPERLINK("https://klasma.github.io/Logging_1290/klagomålsmail/A 17023-2025 FSC-klagomål mail.docx", "A 17023-2025")</f>
        <v/>
      </c>
      <c r="AC101">
        <f>HYPERLINK("https://klasma.github.io/Logging_1290/tillsyn/A 17023-2025 tillsynsbegäran.docx", "A 17023-2025")</f>
        <v/>
      </c>
      <c r="AD101">
        <f>HYPERLINK("https://klasma.github.io/Logging_1290/tillsynsmail/A 17023-2025 tillsynsbegäran mail.docx", "A 17023-2025")</f>
        <v/>
      </c>
    </row>
    <row r="102" ht="15" customHeight="1">
      <c r="A102" t="inlineStr">
        <is>
          <t>A 45495-2024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45577</v>
      </c>
      <c r="E102" s="1" t="n">
        <v>46307</v>
      </c>
      <c r="F102" t="inlineStr">
        <is>
          <t>SKÅNE LÄN</t>
        </is>
      </c>
      <c r="G102" t="inlineStr">
        <is>
          <t>KRISTIANSTAD</t>
        </is>
      </c>
      <c r="I102" t="n">
        <v>9.1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Koralltaggsvamp</t>
        </is>
      </c>
      <c r="W102">
        <f>HYPERLINK("https://klasma.github.io/Logging_1290/artfynd/A 45495-2024 artfynd.xlsx", "A 45495-2024")</f>
        <v/>
      </c>
      <c r="X102">
        <f>HYPERLINK("https://klasma.github.io/Logging_1290/kartor/A 45495-2024 karta.png", "A 45495-2024")</f>
        <v/>
      </c>
      <c r="Y102">
        <f>HYPERLINK("https://klasma.github.io/Logging_1290/kartor_geotiff/A 45495-2024 georefererad karta.tif", "A 45495-2024")</f>
        <v/>
      </c>
      <c r="AA102">
        <f>HYPERLINK("https://klasma.github.io/Logging_1290/klagomål/A 45495-2024 FSC-klagomål.docx", "A 45495-2024")</f>
        <v/>
      </c>
      <c r="AB102">
        <f>HYPERLINK("https://klasma.github.io/Logging_1290/klagomålsmail/A 45495-2024 FSC-klagomål mail.docx", "A 45495-2024")</f>
        <v/>
      </c>
      <c r="AC102">
        <f>HYPERLINK("https://klasma.github.io/Logging_1290/tillsyn/A 45495-2024 tillsynsbegäran.docx", "A 45495-2024")</f>
        <v/>
      </c>
      <c r="AD102">
        <f>HYPERLINK("https://klasma.github.io/Logging_1290/tillsynsmail/A 45495-2024 tillsynsbegäran mail.docx", "A 45495-2024")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46307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46307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46307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8208-2023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46307</v>
      </c>
      <c r="F106" t="inlineStr">
        <is>
          <t>SKÅNE LÄN</t>
        </is>
      </c>
      <c r="G106" t="inlineStr">
        <is>
          <t>KRISTIANSTAD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Flodpärlmussla</t>
        </is>
      </c>
      <c r="W106">
        <f>HYPERLINK("https://klasma.github.io/Logging_1290/artfynd/A 8208-2023 artfynd.xlsx", "A 8208-2023")</f>
        <v/>
      </c>
      <c r="X106">
        <f>HYPERLINK("https://klasma.github.io/Logging_1290/kartor/A 8208-2023 karta.png", "A 8208-2023")</f>
        <v/>
      </c>
      <c r="Y106">
        <f>HYPERLINK("https://klasma.github.io/Logging_1290/kartor_geotiff/A 8208-2023 georefererad karta.tif", "A 8208-2023")</f>
        <v/>
      </c>
      <c r="AA106">
        <f>HYPERLINK("https://klasma.github.io/Logging_1290/klagomål/A 8208-2023 FSC-klagomål.docx", "A 8208-2023")</f>
        <v/>
      </c>
      <c r="AB106">
        <f>HYPERLINK("https://klasma.github.io/Logging_1290/klagomålsmail/A 8208-2023 FSC-klagomål mail.docx", "A 8208-2023")</f>
        <v/>
      </c>
      <c r="AC106">
        <f>HYPERLINK("https://klasma.github.io/Logging_1290/tillsyn/A 8208-2023 tillsynsbegäran.docx", "A 8208-2023")</f>
        <v/>
      </c>
      <c r="AD106">
        <f>HYPERLINK("https://klasma.github.io/Logging_1290/tillsynsmail/A 8208-2023 tillsynsbegäran mail.docx", "A 8208-2023")</f>
        <v/>
      </c>
    </row>
    <row r="107" ht="15" customHeight="1">
      <c r="A107" t="inlineStr">
        <is>
          <t>A 27956-2022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46307</v>
      </c>
      <c r="F107" t="inlineStr">
        <is>
          <t>SKÅNE LÄN</t>
        </is>
      </c>
      <c r="G107" t="inlineStr">
        <is>
          <t>KRISTIANSTAD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Kärrviol</t>
        </is>
      </c>
      <c r="W107">
        <f>HYPERLINK("https://klasma.github.io/Logging_1290/artfynd/A 27956-2022 artfynd.xlsx", "A 27956-2022")</f>
        <v/>
      </c>
      <c r="X107">
        <f>HYPERLINK("https://klasma.github.io/Logging_1290/kartor/A 27956-2022 karta.png", "A 27956-2022")</f>
        <v/>
      </c>
      <c r="Y107">
        <f>HYPERLINK("https://klasma.github.io/Logging_1290/kartor_geotiff/A 27956-2022 georefererad karta.tif", "A 27956-2022")</f>
        <v/>
      </c>
      <c r="AA107">
        <f>HYPERLINK("https://klasma.github.io/Logging_1290/klagomål/A 27956-2022 FSC-klagomål.docx", "A 27956-2022")</f>
        <v/>
      </c>
      <c r="AB107">
        <f>HYPERLINK("https://klasma.github.io/Logging_1290/klagomålsmail/A 27956-2022 FSC-klagomål mail.docx", "A 27956-2022")</f>
        <v/>
      </c>
      <c r="AC107">
        <f>HYPERLINK("https://klasma.github.io/Logging_1290/tillsyn/A 27956-2022 tillsynsbegäran.docx", "A 27956-2022")</f>
        <v/>
      </c>
      <c r="AD107">
        <f>HYPERLINK("https://klasma.github.io/Logging_1290/tillsynsmail/A 27956-2022 tillsynsbegäran mail.docx", "A 27956-2022")</f>
        <v/>
      </c>
    </row>
    <row r="108" ht="15" customHeight="1">
      <c r="A108" t="inlineStr">
        <is>
          <t>A 13977-2025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45738</v>
      </c>
      <c r="E108" s="1" t="n">
        <v>46307</v>
      </c>
      <c r="F108" t="inlineStr">
        <is>
          <t>SKÅNE LÄN</t>
        </is>
      </c>
      <c r="G108" t="inlineStr">
        <is>
          <t>KRISTIANSTAD</t>
        </is>
      </c>
      <c r="I108" t="n">
        <v>8.9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Rostfläck</t>
        </is>
      </c>
      <c r="W108">
        <f>HYPERLINK("https://klasma.github.io/Logging_1290/artfynd/A 13977-2025 artfynd.xlsx", "A 13977-2025")</f>
        <v/>
      </c>
      <c r="X108">
        <f>HYPERLINK("https://klasma.github.io/Logging_1290/kartor/A 13977-2025 karta.png", "A 13977-2025")</f>
        <v/>
      </c>
      <c r="Y108">
        <f>HYPERLINK("https://klasma.github.io/Logging_1290/kartor_geotiff/A 13977-2025 georefererad karta.tif", "A 13977-2025")</f>
        <v/>
      </c>
      <c r="AA108">
        <f>HYPERLINK("https://klasma.github.io/Logging_1290/klagomål/A 13977-2025 FSC-klagomål.docx", "A 13977-2025")</f>
        <v/>
      </c>
      <c r="AB108">
        <f>HYPERLINK("https://klasma.github.io/Logging_1290/klagomålsmail/A 13977-2025 FSC-klagomål mail.docx", "A 13977-2025")</f>
        <v/>
      </c>
      <c r="AC108">
        <f>HYPERLINK("https://klasma.github.io/Logging_1290/tillsyn/A 13977-2025 tillsynsbegäran.docx", "A 13977-2025")</f>
        <v/>
      </c>
      <c r="AD108">
        <f>HYPERLINK("https://klasma.github.io/Logging_1290/tillsynsmail/A 13977-2025 tillsynsbegäran mail.docx", "A 13977-2025")</f>
        <v/>
      </c>
    </row>
    <row r="109" ht="15" customHeight="1">
      <c r="A109" t="inlineStr">
        <is>
          <t>A 49428-2025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46307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Större vattensalamander</t>
        </is>
      </c>
      <c r="W109">
        <f>HYPERLINK("https://klasma.github.io/Logging_1290/artfynd/A 49428-2025 artfynd.xlsx", "A 49428-2025")</f>
        <v/>
      </c>
      <c r="X109">
        <f>HYPERLINK("https://klasma.github.io/Logging_1290/kartor/A 49428-2025 karta.png", "A 49428-2025")</f>
        <v/>
      </c>
      <c r="Y109">
        <f>HYPERLINK("https://klasma.github.io/Logging_1290/kartor_geotiff/A 49428-2025 georefererad karta.tif", "A 49428-2025")</f>
        <v/>
      </c>
      <c r="AA109">
        <f>HYPERLINK("https://klasma.github.io/Logging_1290/klagomål/A 49428-2025 FSC-klagomål.docx", "A 49428-2025")</f>
        <v/>
      </c>
      <c r="AB109">
        <f>HYPERLINK("https://klasma.github.io/Logging_1290/klagomålsmail/A 49428-2025 FSC-klagomål mail.docx", "A 49428-2025")</f>
        <v/>
      </c>
      <c r="AC109">
        <f>HYPERLINK("https://klasma.github.io/Logging_1290/tillsyn/A 49428-2025 tillsynsbegäran.docx", "A 49428-2025")</f>
        <v/>
      </c>
      <c r="AD109">
        <f>HYPERLINK("https://klasma.github.io/Logging_1290/tillsynsmail/A 49428-2025 tillsynsbegäran mail.docx", "A 49428-2025")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46307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41004-2022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46307</v>
      </c>
      <c r="F111" t="inlineStr">
        <is>
          <t>SKÅNE LÄN</t>
        </is>
      </c>
      <c r="G111" t="inlineStr">
        <is>
          <t>KRISTIANSTAD</t>
        </is>
      </c>
      <c r="I111" t="n">
        <v>2.4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Skogsbräsma</t>
        </is>
      </c>
      <c r="W111">
        <f>HYPERLINK("https://klasma.github.io/Logging_1290/artfynd/A 41004-2022 artfynd.xlsx", "A 41004-2022")</f>
        <v/>
      </c>
      <c r="X111">
        <f>HYPERLINK("https://klasma.github.io/Logging_1290/kartor/A 41004-2022 karta.png", "A 41004-2022")</f>
        <v/>
      </c>
      <c r="Y111">
        <f>HYPERLINK("https://klasma.github.io/Logging_1290/kartor_geotiff/A 41004-2022 georefererad karta.tif", "A 41004-2022")</f>
        <v/>
      </c>
      <c r="AA111">
        <f>HYPERLINK("https://klasma.github.io/Logging_1290/klagomål/A 41004-2022 FSC-klagomål.docx", "A 41004-2022")</f>
        <v/>
      </c>
      <c r="AB111">
        <f>HYPERLINK("https://klasma.github.io/Logging_1290/klagomålsmail/A 41004-2022 FSC-klagomål mail.docx", "A 41004-2022")</f>
        <v/>
      </c>
      <c r="AC111">
        <f>HYPERLINK("https://klasma.github.io/Logging_1290/tillsyn/A 41004-2022 tillsynsbegäran.docx", "A 41004-2022")</f>
        <v/>
      </c>
      <c r="AD111">
        <f>HYPERLINK("https://klasma.github.io/Logging_1290/tillsynsmail/A 41004-2022 tillsynsbegäran mail.docx", "A 41004-2022")</f>
        <v/>
      </c>
    </row>
    <row r="112" ht="15" customHeight="1">
      <c r="A112" t="inlineStr">
        <is>
          <t>A 53189-2025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46307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HYPERLINK("https://klasma.github.io/Logging_1290/artfynd/A 53189-2025 artfynd.xlsx", "A 53189-2025")</f>
        <v/>
      </c>
      <c r="X112">
        <f>HYPERLINK("https://klasma.github.io/Logging_1290/kartor/A 53189-2025 karta.png", "A 53189-2025")</f>
        <v/>
      </c>
      <c r="Y112">
        <f>HYPERLINK("https://klasma.github.io/Logging_1290/kartor_geotiff/A 53189-2025 georefererad karta.tif", "A 53189-2025")</f>
        <v/>
      </c>
      <c r="AA112">
        <f>HYPERLINK("https://klasma.github.io/Logging_1290/klagomål/A 53189-2025 FSC-klagomål.docx", "A 53189-2025")</f>
        <v/>
      </c>
      <c r="AB112">
        <f>HYPERLINK("https://klasma.github.io/Logging_1290/klagomålsmail/A 53189-2025 FSC-klagomål mail.docx", "A 53189-2025")</f>
        <v/>
      </c>
      <c r="AC112">
        <f>HYPERLINK("https://klasma.github.io/Logging_1290/tillsyn/A 53189-2025 tillsynsbegäran.docx", "A 53189-2025")</f>
        <v/>
      </c>
      <c r="AD112">
        <f>HYPERLINK("https://klasma.github.io/Logging_1290/tillsynsmail/A 53189-2025 tillsynsbegäran mail.docx", "A 53189-2025")</f>
        <v/>
      </c>
    </row>
    <row r="113" ht="15" customHeight="1">
      <c r="A113" t="inlineStr">
        <is>
          <t>A 53182-2025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46307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Entita</t>
        </is>
      </c>
      <c r="W113">
        <f>HYPERLINK("https://klasma.github.io/Logging_1290/artfynd/A 53182-2025 artfynd.xlsx", "A 53182-2025")</f>
        <v/>
      </c>
      <c r="X113">
        <f>HYPERLINK("https://klasma.github.io/Logging_1290/kartor/A 53182-2025 karta.png", "A 53182-2025")</f>
        <v/>
      </c>
      <c r="Y113">
        <f>HYPERLINK("https://klasma.github.io/Logging_1290/kartor_geotiff/A 53182-2025 georefererad karta.tif", "A 53182-2025")</f>
        <v/>
      </c>
      <c r="AA113">
        <f>HYPERLINK("https://klasma.github.io/Logging_1290/klagomål/A 53182-2025 FSC-klagomål.docx", "A 53182-2025")</f>
        <v/>
      </c>
      <c r="AB113">
        <f>HYPERLINK("https://klasma.github.io/Logging_1290/klagomålsmail/A 53182-2025 FSC-klagomål mail.docx", "A 53182-2025")</f>
        <v/>
      </c>
      <c r="AC113">
        <f>HYPERLINK("https://klasma.github.io/Logging_1290/tillsyn/A 53182-2025 tillsynsbegäran.docx", "A 53182-2025")</f>
        <v/>
      </c>
      <c r="AD113">
        <f>HYPERLINK("https://klasma.github.io/Logging_1290/tillsynsmail/A 53182-2025 tillsynsbegäran mail.docx", "A 53182-2025")</f>
        <v/>
      </c>
      <c r="AE113">
        <f>HYPERLINK("https://klasma.github.io/Logging_1290/fåglar/A 53182-2025 prioriterade fågelarter.docx", "A 53182-2025")</f>
        <v/>
      </c>
    </row>
    <row r="114" ht="15" customHeight="1">
      <c r="A114" t="inlineStr">
        <is>
          <t>A 32219-2025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46307</v>
      </c>
      <c r="F114" t="inlineStr">
        <is>
          <t>SKÅNE LÄN</t>
        </is>
      </c>
      <c r="G114" t="inlineStr">
        <is>
          <t>KRISTIANSTAD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Ägretthäger</t>
        </is>
      </c>
      <c r="W114">
        <f>HYPERLINK("https://klasma.github.io/Logging_1290/artfynd/A 32219-2025 artfynd.xlsx", "A 32219-2025")</f>
        <v/>
      </c>
      <c r="X114">
        <f>HYPERLINK("https://klasma.github.io/Logging_1290/kartor/A 32219-2025 karta.png", "A 32219-2025")</f>
        <v/>
      </c>
      <c r="Y114">
        <f>HYPERLINK("https://klasma.github.io/Logging_1290/kartor_geotiff/A 32219-2025 georefererad karta.tif", "A 32219-2025")</f>
        <v/>
      </c>
      <c r="AA114">
        <f>HYPERLINK("https://klasma.github.io/Logging_1290/klagomål/A 32219-2025 FSC-klagomål.docx", "A 32219-2025")</f>
        <v/>
      </c>
      <c r="AB114">
        <f>HYPERLINK("https://klasma.github.io/Logging_1290/klagomålsmail/A 32219-2025 FSC-klagomål mail.docx", "A 32219-2025")</f>
        <v/>
      </c>
      <c r="AC114">
        <f>HYPERLINK("https://klasma.github.io/Logging_1290/tillsyn/A 32219-2025 tillsynsbegäran.docx", "A 32219-2025")</f>
        <v/>
      </c>
      <c r="AD114">
        <f>HYPERLINK("https://klasma.github.io/Logging_1290/tillsynsmail/A 32219-2025 tillsynsbegäran mail.docx", "A 32219-2025")</f>
        <v/>
      </c>
      <c r="AE114">
        <f>HYPERLINK("https://klasma.github.io/Logging_1290/fåglar/A 32219-2025 prioriterade fågelarter.docx", "A 32219-2025")</f>
        <v/>
      </c>
    </row>
    <row r="115" ht="15" customHeight="1">
      <c r="A115" t="inlineStr">
        <is>
          <t>A 16783-2025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46307</v>
      </c>
      <c r="F115" t="inlineStr">
        <is>
          <t>SKÅNE LÄN</t>
        </is>
      </c>
      <c r="G115" t="inlineStr">
        <is>
          <t>KRISTIANSTAD</t>
        </is>
      </c>
      <c r="I115" t="n">
        <v>20.2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Öring</t>
        </is>
      </c>
      <c r="W115">
        <f>HYPERLINK("https://klasma.github.io/Logging_1290/artfynd/A 16783-2025 artfynd.xlsx", "A 16783-2025")</f>
        <v/>
      </c>
      <c r="X115">
        <f>HYPERLINK("https://klasma.github.io/Logging_1290/kartor/A 16783-2025 karta.png", "A 16783-2025")</f>
        <v/>
      </c>
      <c r="Y115">
        <f>HYPERLINK("https://klasma.github.io/Logging_1290/kartor_geotiff/A 16783-2025 georefererad karta.tif", "A 16783-2025")</f>
        <v/>
      </c>
      <c r="AA115">
        <f>HYPERLINK("https://klasma.github.io/Logging_1290/klagomål/A 16783-2025 FSC-klagomål.docx", "A 16783-2025")</f>
        <v/>
      </c>
      <c r="AB115">
        <f>HYPERLINK("https://klasma.github.io/Logging_1290/klagomålsmail/A 16783-2025 FSC-klagomål mail.docx", "A 16783-2025")</f>
        <v/>
      </c>
      <c r="AC115">
        <f>HYPERLINK("https://klasma.github.io/Logging_1290/tillsyn/A 16783-2025 tillsynsbegäran.docx", "A 16783-2025")</f>
        <v/>
      </c>
      <c r="AD115">
        <f>HYPERLINK("https://klasma.github.io/Logging_1290/tillsynsmail/A 16783-2025 tillsynsbegäran mail.docx", "A 16783-2025")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46307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4615-2024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46307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Skogslysing</t>
        </is>
      </c>
      <c r="W117">
        <f>HYPERLINK("https://klasma.github.io/Logging_1290/artfynd/A 4615-2024 artfynd.xlsx", "A 4615-2024")</f>
        <v/>
      </c>
      <c r="X117">
        <f>HYPERLINK("https://klasma.github.io/Logging_1290/kartor/A 4615-2024 karta.png", "A 4615-2024")</f>
        <v/>
      </c>
      <c r="Y117">
        <f>HYPERLINK("https://klasma.github.io/Logging_1290/kartor_geotiff/A 4615-2024 georefererad karta.tif", "A 4615-2024")</f>
        <v/>
      </c>
      <c r="AA117">
        <f>HYPERLINK("https://klasma.github.io/Logging_1290/klagomål/A 4615-2024 FSC-klagomål.docx", "A 4615-2024")</f>
        <v/>
      </c>
      <c r="AB117">
        <f>HYPERLINK("https://klasma.github.io/Logging_1290/klagomålsmail/A 4615-2024 FSC-klagomål mail.docx", "A 4615-2024")</f>
        <v/>
      </c>
      <c r="AC117">
        <f>HYPERLINK("https://klasma.github.io/Logging_1290/tillsyn/A 4615-2024 tillsynsbegäran.docx", "A 4615-2024")</f>
        <v/>
      </c>
      <c r="AD117">
        <f>HYPERLINK("https://klasma.github.io/Logging_1290/tillsynsmail/A 4615-2024 tillsynsbegäran mail.docx", "A 4615-2024")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46307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1188-2024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46307</v>
      </c>
      <c r="F119" t="inlineStr">
        <is>
          <t>SKÅNE LÄN</t>
        </is>
      </c>
      <c r="G119" t="inlineStr">
        <is>
          <t>KRISTIANSTAD</t>
        </is>
      </c>
      <c r="I119" t="n">
        <v>6.1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Backsippa</t>
        </is>
      </c>
      <c r="W119">
        <f>HYPERLINK("https://klasma.github.io/Logging_1290/artfynd/A 1188-2024 artfynd.xlsx", "A 1188-2024")</f>
        <v/>
      </c>
      <c r="X119">
        <f>HYPERLINK("https://klasma.github.io/Logging_1290/kartor/A 1188-2024 karta.png", "A 1188-2024")</f>
        <v/>
      </c>
      <c r="Y119">
        <f>HYPERLINK("https://klasma.github.io/Logging_1290/kartor_geotiff/A 1188-2024 georefererad karta.tif", "A 1188-2024")</f>
        <v/>
      </c>
      <c r="AA119">
        <f>HYPERLINK("https://klasma.github.io/Logging_1290/klagomål/A 1188-2024 FSC-klagomål.docx", "A 1188-2024")</f>
        <v/>
      </c>
      <c r="AB119">
        <f>HYPERLINK("https://klasma.github.io/Logging_1290/klagomålsmail/A 1188-2024 FSC-klagomål mail.docx", "A 1188-2024")</f>
        <v/>
      </c>
      <c r="AC119">
        <f>HYPERLINK("https://klasma.github.io/Logging_1290/tillsyn/A 1188-2024 tillsynsbegäran.docx", "A 1188-2024")</f>
        <v/>
      </c>
      <c r="AD119">
        <f>HYPERLINK("https://klasma.github.io/Logging_1290/tillsynsmail/A 1188-2024 tillsynsbegäran mail.docx", "A 1188-2024")</f>
        <v/>
      </c>
    </row>
    <row r="120" ht="15" customHeight="1">
      <c r="A120" t="inlineStr">
        <is>
          <t>A 28429-2024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45477</v>
      </c>
      <c r="E120" s="1" t="n">
        <v>46307</v>
      </c>
      <c r="F120" t="inlineStr">
        <is>
          <t>SKÅNE LÄN</t>
        </is>
      </c>
      <c r="G120" t="inlineStr">
        <is>
          <t>KRISTIANSTAD</t>
        </is>
      </c>
      <c r="I120" t="n">
        <v>0.4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Knölspindel</t>
        </is>
      </c>
      <c r="W120">
        <f>HYPERLINK("https://klasma.github.io/Logging_1290/artfynd/A 28429-2024 artfynd.xlsx", "A 28429-2024")</f>
        <v/>
      </c>
      <c r="X120">
        <f>HYPERLINK("https://klasma.github.io/Logging_1290/kartor/A 28429-2024 karta.png", "A 28429-2024")</f>
        <v/>
      </c>
      <c r="Y120">
        <f>HYPERLINK("https://klasma.github.io/Logging_1290/kartor_geotiff/A 28429-2024 georefererad karta.tif", "A 28429-2024")</f>
        <v/>
      </c>
      <c r="AA120">
        <f>HYPERLINK("https://klasma.github.io/Logging_1290/klagomål/A 28429-2024 FSC-klagomål.docx", "A 28429-2024")</f>
        <v/>
      </c>
      <c r="AB120">
        <f>HYPERLINK("https://klasma.github.io/Logging_1290/klagomålsmail/A 28429-2024 FSC-klagomål mail.docx", "A 28429-2024")</f>
        <v/>
      </c>
      <c r="AC120">
        <f>HYPERLINK("https://klasma.github.io/Logging_1290/tillsyn/A 28429-2024 tillsynsbegäran.docx", "A 28429-2024")</f>
        <v/>
      </c>
      <c r="AD120">
        <f>HYPERLINK("https://klasma.github.io/Logging_1290/tillsynsmail/A 28429-2024 tillsynsbegäran mail.docx", "A 28429-2024")</f>
        <v/>
      </c>
    </row>
    <row r="121" ht="15" customHeight="1">
      <c r="A121" t="inlineStr">
        <is>
          <t>A 30925-2022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46307</v>
      </c>
      <c r="F121" t="inlineStr">
        <is>
          <t>SKÅNE LÄN</t>
        </is>
      </c>
      <c r="G121" t="inlineStr">
        <is>
          <t>KRISTIANSTAD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30925-2022 artfynd.xlsx", "A 30925-2022")</f>
        <v/>
      </c>
      <c r="X121">
        <f>HYPERLINK("https://klasma.github.io/Logging_1290/kartor/A 30925-2022 karta.png", "A 30925-2022")</f>
        <v/>
      </c>
      <c r="Y121">
        <f>HYPERLINK("https://klasma.github.io/Logging_1290/kartor_geotiff/A 30925-2022 georefererad karta.tif", "A 30925-2022")</f>
        <v/>
      </c>
      <c r="AA121">
        <f>HYPERLINK("https://klasma.github.io/Logging_1290/klagomål/A 30925-2022 FSC-klagomål.docx", "A 30925-2022")</f>
        <v/>
      </c>
      <c r="AB121">
        <f>HYPERLINK("https://klasma.github.io/Logging_1290/klagomålsmail/A 30925-2022 FSC-klagomål mail.docx", "A 30925-2022")</f>
        <v/>
      </c>
      <c r="AC121">
        <f>HYPERLINK("https://klasma.github.io/Logging_1290/tillsyn/A 30925-2022 tillsynsbegäran.docx", "A 30925-2022")</f>
        <v/>
      </c>
      <c r="AD121">
        <f>HYPERLINK("https://klasma.github.io/Logging_1290/tillsynsmail/A 30925-2022 tillsynsbegäran mail.docx", "A 30925-2022")</f>
        <v/>
      </c>
    </row>
    <row r="122" ht="15" customHeight="1">
      <c r="A122" t="inlineStr">
        <is>
          <t>A 32101-2024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45511</v>
      </c>
      <c r="E122" s="1" t="n">
        <v>46307</v>
      </c>
      <c r="F122" t="inlineStr">
        <is>
          <t>SKÅNE LÄN</t>
        </is>
      </c>
      <c r="G122" t="inlineStr">
        <is>
          <t>KRISTIANSTAD</t>
        </is>
      </c>
      <c r="I122" t="n">
        <v>6.6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Skogsknipprot</t>
        </is>
      </c>
      <c r="W122">
        <f>HYPERLINK("https://klasma.github.io/Logging_1290/artfynd/A 32101-2024 artfynd.xlsx", "A 32101-2024")</f>
        <v/>
      </c>
      <c r="X122">
        <f>HYPERLINK("https://klasma.github.io/Logging_1290/kartor/A 32101-2024 karta.png", "A 32101-2024")</f>
        <v/>
      </c>
      <c r="Y122">
        <f>HYPERLINK("https://klasma.github.io/Logging_1290/kartor_geotiff/A 32101-2024 georefererad karta.tif", "A 32101-2024")</f>
        <v/>
      </c>
      <c r="AA122">
        <f>HYPERLINK("https://klasma.github.io/Logging_1290/klagomål/A 32101-2024 FSC-klagomål.docx", "A 32101-2024")</f>
        <v/>
      </c>
      <c r="AB122">
        <f>HYPERLINK("https://klasma.github.io/Logging_1290/klagomålsmail/A 32101-2024 FSC-klagomål mail.docx", "A 32101-2024")</f>
        <v/>
      </c>
      <c r="AC122">
        <f>HYPERLINK("https://klasma.github.io/Logging_1290/tillsyn/A 32101-2024 tillsynsbegäran.docx", "A 32101-2024")</f>
        <v/>
      </c>
      <c r="AD122">
        <f>HYPERLINK("https://klasma.github.io/Logging_1290/tillsynsmail/A 32101-2024 tillsynsbegäran mail.docx", "A 32101-2024")</f>
        <v/>
      </c>
    </row>
    <row r="123" ht="15" customHeight="1">
      <c r="A123" t="inlineStr">
        <is>
          <t>A 58474-2025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46307</v>
      </c>
      <c r="F123" t="inlineStr">
        <is>
          <t>SKÅNE LÄN</t>
        </is>
      </c>
      <c r="G123" t="inlineStr">
        <is>
          <t>KRISTIANSTAD</t>
        </is>
      </c>
      <c r="I123" t="n">
        <v>4.7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Storspov</t>
        </is>
      </c>
      <c r="W123">
        <f>HYPERLINK("https://klasma.github.io/Logging_1290/artfynd/A 58474-2025 artfynd.xlsx", "A 58474-2025")</f>
        <v/>
      </c>
      <c r="X123">
        <f>HYPERLINK("https://klasma.github.io/Logging_1290/kartor/A 58474-2025 karta.png", "A 58474-2025")</f>
        <v/>
      </c>
      <c r="Y123">
        <f>HYPERLINK("https://klasma.github.io/Logging_1290/kartor_geotiff/A 58474-2025 georefererad karta.tif", "A 58474-2025")</f>
        <v/>
      </c>
      <c r="AA123">
        <f>HYPERLINK("https://klasma.github.io/Logging_1290/klagomål/A 58474-2025 FSC-klagomål.docx", "A 58474-2025")</f>
        <v/>
      </c>
      <c r="AB123">
        <f>HYPERLINK("https://klasma.github.io/Logging_1290/klagomålsmail/A 58474-2025 FSC-klagomål mail.docx", "A 58474-2025")</f>
        <v/>
      </c>
      <c r="AC123">
        <f>HYPERLINK("https://klasma.github.io/Logging_1290/tillsyn/A 58474-2025 tillsynsbegäran.docx", "A 58474-2025")</f>
        <v/>
      </c>
      <c r="AD123">
        <f>HYPERLINK("https://klasma.github.io/Logging_1290/tillsynsmail/A 58474-2025 tillsynsbegäran mail.docx", "A 58474-2025")</f>
        <v/>
      </c>
    </row>
    <row r="124" ht="15" customHeight="1">
      <c r="A124" t="inlineStr">
        <is>
          <t>A 15105-2023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45015</v>
      </c>
      <c r="E124" s="1" t="n">
        <v>46307</v>
      </c>
      <c r="F124" t="inlineStr">
        <is>
          <t>SKÅNE LÄN</t>
        </is>
      </c>
      <c r="G124" t="inlineStr">
        <is>
          <t>KRISTIANSTAD</t>
        </is>
      </c>
      <c r="H124" t="inlineStr">
        <is>
          <t>Kyrkan</t>
        </is>
      </c>
      <c r="I124" t="n">
        <v>3.2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Liten baronmossa</t>
        </is>
      </c>
      <c r="W124">
        <f>HYPERLINK("https://klasma.github.io/Logging_1290/artfynd/A 15105-2023 artfynd.xlsx", "A 15105-2023")</f>
        <v/>
      </c>
      <c r="X124">
        <f>HYPERLINK("https://klasma.github.io/Logging_1290/kartor/A 15105-2023 karta.png", "A 15105-2023")</f>
        <v/>
      </c>
      <c r="Y124">
        <f>HYPERLINK("https://klasma.github.io/Logging_1290/kartor_geotiff/A 15105-2023 georefererad karta.tif", "A 15105-2023")</f>
        <v/>
      </c>
      <c r="AA124">
        <f>HYPERLINK("https://klasma.github.io/Logging_1290/klagomål/A 15105-2023 FSC-klagomål.docx", "A 15105-2023")</f>
        <v/>
      </c>
      <c r="AB124">
        <f>HYPERLINK("https://klasma.github.io/Logging_1290/klagomålsmail/A 15105-2023 FSC-klagomål mail.docx", "A 15105-2023")</f>
        <v/>
      </c>
      <c r="AC124">
        <f>HYPERLINK("https://klasma.github.io/Logging_1290/tillsyn/A 15105-2023 tillsynsbegäran.docx", "A 15105-2023")</f>
        <v/>
      </c>
      <c r="AD124">
        <f>HYPERLINK("https://klasma.github.io/Logging_1290/tillsynsmail/A 15105-2023 tillsynsbegäran mail.docx", "A 15105-2023")</f>
        <v/>
      </c>
    </row>
    <row r="125" ht="15" customHeight="1">
      <c r="A125" t="inlineStr">
        <is>
          <t>A 16079-2026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46307</v>
      </c>
      <c r="F125" t="inlineStr">
        <is>
          <t>SKÅNE LÄN</t>
        </is>
      </c>
      <c r="G125" t="inlineStr">
        <is>
          <t>KRISTIANSTAD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t="n">
        <v>2</v>
      </c>
      <c r="V125" s="2" t="inlineStr">
        <is>
          <t>Småvänderot</t>
        </is>
      </c>
      <c r="W125">
        <f>HYPERLINK("https://klasma.github.io/Logging_1290/artfynd/A 16079-2026 artfynd.xlsx", "A 16079-2026")</f>
        <v/>
      </c>
      <c r="X125">
        <f>HYPERLINK("https://klasma.github.io/Logging_1290/kartor/A 16079-2026 karta.png", "A 16079-2026")</f>
        <v/>
      </c>
      <c r="Y125">
        <f>HYPERLINK("https://klasma.github.io/Logging_1290/kartor_geotiff/A 16079-2026 georefererad karta.tif", "A 16079-2026")</f>
        <v/>
      </c>
      <c r="AA125">
        <f>HYPERLINK("https://klasma.github.io/Logging_1290/klagomål/A 16079-2026 FSC-klagomål.docx", "A 16079-2026")</f>
        <v/>
      </c>
      <c r="AB125">
        <f>HYPERLINK("https://klasma.github.io/Logging_1290/klagomålsmail/A 16079-2026 FSC-klagomål mail.docx", "A 16079-2026")</f>
        <v/>
      </c>
      <c r="AC125">
        <f>HYPERLINK("https://klasma.github.io/Logging_1290/tillsyn/A 16079-2026 tillsynsbegäran.docx", "A 16079-2026")</f>
        <v/>
      </c>
      <c r="AD125">
        <f>HYPERLINK("https://klasma.github.io/Logging_1290/tillsynsmail/A 16079-2026 tillsynsbegäran mail.docx", "A 16079-2026")</f>
        <v/>
      </c>
    </row>
    <row r="126" ht="15" customHeight="1">
      <c r="A126" t="inlineStr">
        <is>
          <t>A 60006-2025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46307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4.8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Ekoxe</t>
        </is>
      </c>
      <c r="W126">
        <f>HYPERLINK("https://klasma.github.io/Logging_1290/artfynd/A 60006-2025 artfynd.xlsx", "A 60006-2025")</f>
        <v/>
      </c>
      <c r="X126">
        <f>HYPERLINK("https://klasma.github.io/Logging_1290/kartor/A 60006-2025 karta.png", "A 60006-2025")</f>
        <v/>
      </c>
      <c r="Y126">
        <f>HYPERLINK("https://klasma.github.io/Logging_1290/kartor_geotiff/A 60006-2025 georefererad karta.tif", "A 60006-2025")</f>
        <v/>
      </c>
      <c r="AA126">
        <f>HYPERLINK("https://klasma.github.io/Logging_1290/klagomål/A 60006-2025 FSC-klagomål.docx", "A 60006-2025")</f>
        <v/>
      </c>
      <c r="AB126">
        <f>HYPERLINK("https://klasma.github.io/Logging_1290/klagomålsmail/A 60006-2025 FSC-klagomål mail.docx", "A 60006-2025")</f>
        <v/>
      </c>
      <c r="AC126">
        <f>HYPERLINK("https://klasma.github.io/Logging_1290/tillsyn/A 60006-2025 tillsynsbegäran.docx", "A 60006-2025")</f>
        <v/>
      </c>
      <c r="AD126">
        <f>HYPERLINK("https://klasma.github.io/Logging_1290/tillsynsmail/A 60006-2025 tillsynsbegäran mail.docx", "A 60006-2025")</f>
        <v/>
      </c>
    </row>
    <row r="127" ht="15" customHeight="1">
      <c r="A127" t="inlineStr">
        <is>
          <t>A 19704-2026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46307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Desmeknopp</t>
        </is>
      </c>
      <c r="W127">
        <f>HYPERLINK("https://klasma.github.io/Logging_1290/artfynd/A 19704-2026 artfynd.xlsx", "A 19704-2026")</f>
        <v/>
      </c>
      <c r="X127">
        <f>HYPERLINK("https://klasma.github.io/Logging_1290/kartor/A 19704-2026 karta.png", "A 19704-2026")</f>
        <v/>
      </c>
      <c r="Y127">
        <f>HYPERLINK("https://klasma.github.io/Logging_1290/kartor_geotiff/A 19704-2026 georefererad karta.tif", "A 19704-2026")</f>
        <v/>
      </c>
      <c r="AA127">
        <f>HYPERLINK("https://klasma.github.io/Logging_1290/klagomål/A 19704-2026 FSC-klagomål.docx", "A 19704-2026")</f>
        <v/>
      </c>
      <c r="AB127">
        <f>HYPERLINK("https://klasma.github.io/Logging_1290/klagomålsmail/A 19704-2026 FSC-klagomål mail.docx", "A 19704-2026")</f>
        <v/>
      </c>
      <c r="AC127">
        <f>HYPERLINK("https://klasma.github.io/Logging_1290/tillsyn/A 19704-2026 tillsynsbegäran.docx", "A 19704-2026")</f>
        <v/>
      </c>
      <c r="AD127">
        <f>HYPERLINK("https://klasma.github.io/Logging_1290/tillsynsmail/A 19704-2026 tillsynsbegäran mail.docx", "A 19704-2026")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46307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46307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31400-2025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46307</v>
      </c>
      <c r="F130" t="inlineStr">
        <is>
          <t>SKÅNE LÄN</t>
        </is>
      </c>
      <c r="G130" t="inlineStr">
        <is>
          <t>KRISTIANSTAD</t>
        </is>
      </c>
      <c r="I130" t="n">
        <v>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Lopplummer (aggregat)</t>
        </is>
      </c>
      <c r="W130">
        <f>HYPERLINK("https://klasma.github.io/Logging_1290/artfynd/A 31400-2025 artfynd.xlsx", "A 31400-2025")</f>
        <v/>
      </c>
      <c r="X130">
        <f>HYPERLINK("https://klasma.github.io/Logging_1290/kartor/A 31400-2025 karta.png", "A 31400-2025")</f>
        <v/>
      </c>
      <c r="Y130">
        <f>HYPERLINK("https://klasma.github.io/Logging_1290/kartor_geotiff/A 31400-2025 georefererad karta.tif", "A 31400-2025")</f>
        <v/>
      </c>
      <c r="AA130">
        <f>HYPERLINK("https://klasma.github.io/Logging_1290/klagomål/A 31400-2025 FSC-klagomål.docx", "A 31400-2025")</f>
        <v/>
      </c>
      <c r="AB130">
        <f>HYPERLINK("https://klasma.github.io/Logging_1290/klagomålsmail/A 31400-2025 FSC-klagomål mail.docx", "A 31400-2025")</f>
        <v/>
      </c>
      <c r="AC130">
        <f>HYPERLINK("https://klasma.github.io/Logging_1290/tillsyn/A 31400-2025 tillsynsbegäran.docx", "A 31400-2025")</f>
        <v/>
      </c>
      <c r="AD130">
        <f>HYPERLINK("https://klasma.github.io/Logging_1290/tillsynsmail/A 31400-2025 tillsynsbegäran mail.docx", "A 31400-2025")</f>
        <v/>
      </c>
    </row>
    <row r="131" ht="15" customHeight="1">
      <c r="A131" t="inlineStr">
        <is>
          <t>A 50702-2025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46307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Guldlockmossa</t>
        </is>
      </c>
      <c r="W131">
        <f>HYPERLINK("https://klasma.github.io/Logging_1290/artfynd/A 50702-2025 artfynd.xlsx", "A 50702-2025")</f>
        <v/>
      </c>
      <c r="X131">
        <f>HYPERLINK("https://klasma.github.io/Logging_1290/kartor/A 50702-2025 karta.png", "A 50702-2025")</f>
        <v/>
      </c>
      <c r="Y131">
        <f>HYPERLINK("https://klasma.github.io/Logging_1290/kartor_geotiff/A 50702-2025 georefererad karta.tif", "A 50702-2025")</f>
        <v/>
      </c>
      <c r="AA131">
        <f>HYPERLINK("https://klasma.github.io/Logging_1290/klagomål/A 50702-2025 FSC-klagomål.docx", "A 50702-2025")</f>
        <v/>
      </c>
      <c r="AB131">
        <f>HYPERLINK("https://klasma.github.io/Logging_1290/klagomålsmail/A 50702-2025 FSC-klagomål mail.docx", "A 50702-2025")</f>
        <v/>
      </c>
      <c r="AC131">
        <f>HYPERLINK("https://klasma.github.io/Logging_1290/tillsyn/A 50702-2025 tillsynsbegäran.docx", "A 50702-2025")</f>
        <v/>
      </c>
      <c r="AD131">
        <f>HYPERLINK("https://klasma.github.io/Logging_1290/tillsynsmail/A 50702-2025 tillsynsbegäran mail.docx", "A 50702-2025")</f>
        <v/>
      </c>
    </row>
    <row r="132" ht="15" customHeight="1">
      <c r="A132" t="inlineStr">
        <is>
          <t>A 34096-2025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46307</v>
      </c>
      <c r="F132" t="inlineStr">
        <is>
          <t>SKÅNE LÄN</t>
        </is>
      </c>
      <c r="G132" t="inlineStr">
        <is>
          <t>KRISTIANSTAD</t>
        </is>
      </c>
      <c r="I132" t="n">
        <v>6.5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Dunmossa</t>
        </is>
      </c>
      <c r="W132">
        <f>HYPERLINK("https://klasma.github.io/Logging_1290/artfynd/A 34096-2025 artfynd.xlsx", "A 34096-2025")</f>
        <v/>
      </c>
      <c r="X132">
        <f>HYPERLINK("https://klasma.github.io/Logging_1290/kartor/A 34096-2025 karta.png", "A 34096-2025")</f>
        <v/>
      </c>
      <c r="Y132">
        <f>HYPERLINK("https://klasma.github.io/Logging_1290/kartor_geotiff/A 34096-2025 georefererad karta.tif", "A 34096-2025")</f>
        <v/>
      </c>
      <c r="AA132">
        <f>HYPERLINK("https://klasma.github.io/Logging_1290/klagomål/A 34096-2025 FSC-klagomål.docx", "A 34096-2025")</f>
        <v/>
      </c>
      <c r="AB132">
        <f>HYPERLINK("https://klasma.github.io/Logging_1290/klagomålsmail/A 34096-2025 FSC-klagomål mail.docx", "A 34096-2025")</f>
        <v/>
      </c>
      <c r="AC132">
        <f>HYPERLINK("https://klasma.github.io/Logging_1290/tillsyn/A 34096-2025 tillsynsbegäran.docx", "A 34096-2025")</f>
        <v/>
      </c>
      <c r="AD132">
        <f>HYPERLINK("https://klasma.github.io/Logging_1290/tillsynsmail/A 34096-2025 tillsynsbegäran mail.docx", "A 34096-2025")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46307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Guldlockmossa</t>
        </is>
      </c>
      <c r="W133">
        <f>HYPERLINK("https://klasma.github.io/Logging_1290/artfynd/A 50699-2025 artfynd.xlsx", "A 50699-2025")</f>
        <v/>
      </c>
      <c r="X133">
        <f>HYPERLINK("https://klasma.github.io/Logging_1290/kartor/A 50699-2025 karta.png", "A 50699-2025")</f>
        <v/>
      </c>
      <c r="Y133">
        <f>HYPERLINK("https://klasma.github.io/Logging_1290/kartor_geotiff/A 50699-2025 georefererad karta.tif", "A 50699-2025")</f>
        <v/>
      </c>
      <c r="AA133">
        <f>HYPERLINK("https://klasma.github.io/Logging_1290/klagomål/A 50699-2025 FSC-klagomål.docx", "A 50699-2025")</f>
        <v/>
      </c>
      <c r="AB133">
        <f>HYPERLINK("https://klasma.github.io/Logging_1290/klagomålsmail/A 50699-2025 FSC-klagomål mail.docx", "A 50699-2025")</f>
        <v/>
      </c>
      <c r="AC133">
        <f>HYPERLINK("https://klasma.github.io/Logging_1290/tillsyn/A 50699-2025 tillsynsbegäran.docx", "A 50699-2025")</f>
        <v/>
      </c>
      <c r="AD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46307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21835-2026 artfynd.xlsx", "A 21835-2026")</f>
        <v/>
      </c>
      <c r="X134">
        <f>HYPERLINK("https://klasma.github.io/Logging_1290/kartor/A 21835-2026 karta.png", "A 21835-2026")</f>
        <v/>
      </c>
      <c r="Y134">
        <f>HYPERLINK("https://klasma.github.io/Logging_1290/kartor_geotiff/A 21835-2026 georefererad karta.tif", "A 21835-2026")</f>
        <v/>
      </c>
      <c r="AA134">
        <f>HYPERLINK("https://klasma.github.io/Logging_1290/klagomål/A 21835-2026 FSC-klagomål.docx", "A 21835-2026")</f>
        <v/>
      </c>
      <c r="AB134">
        <f>HYPERLINK("https://klasma.github.io/Logging_1290/klagomålsmail/A 21835-2026 FSC-klagomål mail.docx", "A 21835-2026")</f>
        <v/>
      </c>
      <c r="AC134">
        <f>HYPERLINK("https://klasma.github.io/Logging_1290/tillsyn/A 21835-2026 tillsynsbegäran.docx", "A 21835-2026")</f>
        <v/>
      </c>
      <c r="AD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46307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33883-2025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46307</v>
      </c>
      <c r="F136" t="inlineStr">
        <is>
          <t>SKÅNE LÄN</t>
        </is>
      </c>
      <c r="G136" t="inlineStr">
        <is>
          <t>KRISTIANSTAD</t>
        </is>
      </c>
      <c r="I136" t="n">
        <v>2.3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Stor häxört</t>
        </is>
      </c>
      <c r="W136">
        <f>HYPERLINK("https://klasma.github.io/Logging_1290/artfynd/A 33883-2025 artfynd.xlsx", "A 33883-2025")</f>
        <v/>
      </c>
      <c r="X136">
        <f>HYPERLINK("https://klasma.github.io/Logging_1290/kartor/A 33883-2025 karta.png", "A 33883-2025")</f>
        <v/>
      </c>
      <c r="Y136">
        <f>HYPERLINK("https://klasma.github.io/Logging_1290/kartor_geotiff/A 33883-2025 georefererad karta.tif", "A 33883-2025")</f>
        <v/>
      </c>
      <c r="AA136">
        <f>HYPERLINK("https://klasma.github.io/Logging_1290/klagomål/A 33883-2025 FSC-klagomål.docx", "A 33883-2025")</f>
        <v/>
      </c>
      <c r="AB136">
        <f>HYPERLINK("https://klasma.github.io/Logging_1290/klagomålsmail/A 33883-2025 FSC-klagomål mail.docx", "A 33883-2025")</f>
        <v/>
      </c>
      <c r="AC136">
        <f>HYPERLINK("https://klasma.github.io/Logging_1290/tillsyn/A 33883-2025 tillsynsbegäran.docx", "A 33883-2025")</f>
        <v/>
      </c>
      <c r="AD136">
        <f>HYPERLINK("https://klasma.github.io/Logging_1290/tillsynsmail/A 33883-2025 tillsynsbegäran mail.docx", "A 33883-2025")</f>
        <v/>
      </c>
    </row>
    <row r="137" ht="15" customHeight="1">
      <c r="A137" t="inlineStr">
        <is>
          <t>A 27462-2026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46307</v>
      </c>
      <c r="F137" t="inlineStr">
        <is>
          <t>SKÅNE LÄN</t>
        </is>
      </c>
      <c r="G137" t="inlineStr">
        <is>
          <t>KRISTIANSTAD</t>
        </is>
      </c>
      <c r="I137" t="n">
        <v>9.1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Skuggsprötmossa</t>
        </is>
      </c>
      <c r="W137">
        <f>HYPERLINK("https://klasma.github.io/Logging_1290/artfynd/A 27462-2026 artfynd.xlsx", "A 27462-2026")</f>
        <v/>
      </c>
      <c r="X137">
        <f>HYPERLINK("https://klasma.github.io/Logging_1290/kartor/A 27462-2026 karta.png", "A 27462-2026")</f>
        <v/>
      </c>
      <c r="Y137">
        <f>HYPERLINK("https://klasma.github.io/Logging_1290/kartor_geotiff/A 27462-2026 georefererad karta.tif", "A 27462-2026")</f>
        <v/>
      </c>
      <c r="AA137">
        <f>HYPERLINK("https://klasma.github.io/Logging_1290/klagomål/A 27462-2026 FSC-klagomål.docx", "A 27462-2026")</f>
        <v/>
      </c>
      <c r="AB137">
        <f>HYPERLINK("https://klasma.github.io/Logging_1290/klagomålsmail/A 27462-2026 FSC-klagomål mail.docx", "A 27462-2026")</f>
        <v/>
      </c>
      <c r="AC137">
        <f>HYPERLINK("https://klasma.github.io/Logging_1290/tillsyn/A 27462-2026 tillsynsbegäran.docx", "A 27462-2026")</f>
        <v/>
      </c>
      <c r="AD137">
        <f>HYPERLINK("https://klasma.github.io/Logging_1290/tillsynsmail/A 27462-2026 tillsynsbegäran mail.docx", "A 27462-2026")</f>
        <v/>
      </c>
    </row>
    <row r="138" ht="15" customHeight="1">
      <c r="A138" t="inlineStr">
        <is>
          <t>A 39238-2026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46287</v>
      </c>
      <c r="E138" s="1" t="n">
        <v>46307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4.5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Grönvit nattviol</t>
        </is>
      </c>
      <c r="W138">
        <f>HYPERLINK("https://klasma.github.io/Logging_1290/artfynd/A 39238-2026 artfynd.xlsx", "A 39238-2026")</f>
        <v/>
      </c>
      <c r="X138">
        <f>HYPERLINK("https://klasma.github.io/Logging_1290/kartor/A 39238-2026 karta.png", "A 39238-2026")</f>
        <v/>
      </c>
      <c r="Y138">
        <f>HYPERLINK("https://klasma.github.io/Logging_1290/kartor_geotiff/A 39238-2026 georefererad karta.tif", "A 39238-2026")</f>
        <v/>
      </c>
      <c r="AA138">
        <f>HYPERLINK("https://klasma.github.io/Logging_1290/klagomål/A 39238-2026 FSC-klagomål.docx", "A 39238-2026")</f>
        <v/>
      </c>
      <c r="AB138">
        <f>HYPERLINK("https://klasma.github.io/Logging_1290/klagomålsmail/A 39238-2026 FSC-klagomål mail.docx", "A 39238-2026")</f>
        <v/>
      </c>
      <c r="AC138">
        <f>HYPERLINK("https://klasma.github.io/Logging_1290/tillsyn/A 39238-2026 tillsynsbegäran.docx", "A 39238-2026")</f>
        <v/>
      </c>
      <c r="AD138">
        <f>HYPERLINK("https://klasma.github.io/Logging_1290/tillsynsmail/A 39238-2026 tillsynsbegäran mail.docx", "A 39238-2026")</f>
        <v/>
      </c>
    </row>
    <row r="139" ht="15" customHeight="1">
      <c r="A139" t="inlineStr">
        <is>
          <t>A 37725-2026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46279</v>
      </c>
      <c r="E139" s="1" t="n">
        <v>46307</v>
      </c>
      <c r="F139" t="inlineStr">
        <is>
          <t>SKÅNE LÄN</t>
        </is>
      </c>
      <c r="G139" t="inlineStr">
        <is>
          <t>KRISTIANSTAD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Mindre flugsnappare</t>
        </is>
      </c>
      <c r="W139">
        <f>HYPERLINK("https://klasma.github.io/Logging_1290/artfynd/A 37725-2026 artfynd.xlsx", "A 37725-2026")</f>
        <v/>
      </c>
      <c r="X139">
        <f>HYPERLINK("https://klasma.github.io/Logging_1290/kartor/A 37725-2026 karta.png", "A 37725-2026")</f>
        <v/>
      </c>
      <c r="Y139">
        <f>HYPERLINK("https://klasma.github.io/Logging_1290/kartor_geotiff/A 37725-2026 georefererad karta.tif", "A 37725-2026")</f>
        <v/>
      </c>
      <c r="AA139">
        <f>HYPERLINK("https://klasma.github.io/Logging_1290/klagomål/A 37725-2026 FSC-klagomål.docx", "A 37725-2026")</f>
        <v/>
      </c>
      <c r="AB139">
        <f>HYPERLINK("https://klasma.github.io/Logging_1290/klagomålsmail/A 37725-2026 FSC-klagomål mail.docx", "A 37725-2026")</f>
        <v/>
      </c>
      <c r="AC139">
        <f>HYPERLINK("https://klasma.github.io/Logging_1290/tillsyn/A 37725-2026 tillsynsbegäran.docx", "A 37725-2026")</f>
        <v/>
      </c>
      <c r="AD139">
        <f>HYPERLINK("https://klasma.github.io/Logging_1290/tillsynsmail/A 37725-2026 tillsynsbegäran mail.docx", "A 37725-2026")</f>
        <v/>
      </c>
      <c r="AE139">
        <f>HYPERLINK("https://klasma.github.io/Logging_1290/fåglar/A 37725-2026 prioriterade fågelarter.docx", "A 37725-2026")</f>
        <v/>
      </c>
    </row>
    <row r="140" ht="15" customHeight="1">
      <c r="A140" t="inlineStr">
        <is>
          <t>A 34113-2026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46307</v>
      </c>
      <c r="F140" t="inlineStr">
        <is>
          <t>SKÅNE LÄN</t>
        </is>
      </c>
      <c r="G140" t="inlineStr">
        <is>
          <t>KRISTIANSTAD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34113-2026 artfynd.xlsx", "A 34113-2026")</f>
        <v/>
      </c>
      <c r="X140">
        <f>HYPERLINK("https://klasma.github.io/Logging_1290/kartor/A 34113-2026 karta.png", "A 34113-2026")</f>
        <v/>
      </c>
      <c r="Y140">
        <f>HYPERLINK("https://klasma.github.io/Logging_1290/kartor_geotiff/A 34113-2026 georefererad karta.tif", "A 34113-2026")</f>
        <v/>
      </c>
      <c r="AA140">
        <f>HYPERLINK("https://klasma.github.io/Logging_1290/klagomål/A 34113-2026 FSC-klagomål.docx", "A 34113-2026")</f>
        <v/>
      </c>
      <c r="AB140">
        <f>HYPERLINK("https://klasma.github.io/Logging_1290/klagomålsmail/A 34113-2026 FSC-klagomål mail.docx", "A 34113-2026")</f>
        <v/>
      </c>
      <c r="AC140">
        <f>HYPERLINK("https://klasma.github.io/Logging_1290/tillsyn/A 34113-2026 tillsynsbegäran.docx", "A 34113-2026")</f>
        <v/>
      </c>
      <c r="AD140">
        <f>HYPERLINK("https://klasma.github.io/Logging_1290/tillsynsmail/A 34113-2026 tillsynsbegäran mail.docx", "A 34113-2026")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46307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46307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46307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46307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46307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46307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46307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46307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46307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46307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46307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46307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46307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46307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46307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46307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46307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46307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46307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46307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46307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46307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46307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46307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46307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46307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46307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46307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46307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46307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46307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46307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46307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46307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46307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46307</v>
      </c>
      <c r="F176" t="inlineStr">
        <is>
          <t>SKÅNE LÄN</t>
        </is>
      </c>
      <c r="G176" t="inlineStr">
        <is>
          <t>KRISTIANSTAD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44713</v>
      </c>
      <c r="E177" s="1" t="n">
        <v>46307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46307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46307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66449-2021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46307</v>
      </c>
      <c r="F180" t="inlineStr">
        <is>
          <t>SKÅNE LÄN</t>
        </is>
      </c>
      <c r="G180" t="inlineStr">
        <is>
          <t>KRISTIANSTAD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46307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44685</v>
      </c>
      <c r="E182" s="1" t="n">
        <v>46307</v>
      </c>
      <c r="F182" t="inlineStr">
        <is>
          <t>SKÅNE LÄN</t>
        </is>
      </c>
      <c r="G182" t="inlineStr">
        <is>
          <t>KRISTIANSTAD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46307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46307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46307</v>
      </c>
      <c r="F185" t="inlineStr">
        <is>
          <t>SKÅNE LÄN</t>
        </is>
      </c>
      <c r="G185" t="inlineStr">
        <is>
          <t>KRISTIANSTAD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46307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46307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46307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46307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46307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46307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46307</v>
      </c>
      <c r="F192" t="inlineStr">
        <is>
          <t>SKÅNE LÄN</t>
        </is>
      </c>
      <c r="G192" t="inlineStr">
        <is>
          <t>KRISTIANSTAD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45307</v>
      </c>
      <c r="E193" s="1" t="n">
        <v>46307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45085</v>
      </c>
      <c r="E194" s="1" t="n">
        <v>46307</v>
      </c>
      <c r="F194" t="inlineStr">
        <is>
          <t>SKÅNE LÄN</t>
        </is>
      </c>
      <c r="G194" t="inlineStr">
        <is>
          <t>KRISTIANSTAD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46307</v>
      </c>
      <c r="F195" t="inlineStr">
        <is>
          <t>SKÅNE LÄN</t>
        </is>
      </c>
      <c r="G195" t="inlineStr">
        <is>
          <t>KRISTIANSTAD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46307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46307</v>
      </c>
      <c r="F197" t="inlineStr">
        <is>
          <t>SKÅNE LÄN</t>
        </is>
      </c>
      <c r="G197" t="inlineStr">
        <is>
          <t>KRISTIANSTAD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46307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46307</v>
      </c>
      <c r="F199" t="inlineStr">
        <is>
          <t>SKÅNE LÄN</t>
        </is>
      </c>
      <c r="G199" t="inlineStr">
        <is>
          <t>KRISTIANSTAD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46307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46307</v>
      </c>
      <c r="F201" t="inlineStr">
        <is>
          <t>SKÅNE LÄN</t>
        </is>
      </c>
      <c r="G201" t="inlineStr">
        <is>
          <t>KRISTIANSTAD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46307</v>
      </c>
      <c r="F202" t="inlineStr">
        <is>
          <t>SKÅNE LÄN</t>
        </is>
      </c>
      <c r="G202" t="inlineStr">
        <is>
          <t>KRISTIANSTAD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46307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45416</v>
      </c>
      <c r="E204" s="1" t="n">
        <v>46307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46307</v>
      </c>
      <c r="F205" t="inlineStr">
        <is>
          <t>SKÅNE LÄN</t>
        </is>
      </c>
      <c r="G205" t="inlineStr">
        <is>
          <t>KRISTIANSTAD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46307</v>
      </c>
      <c r="F206" t="inlineStr">
        <is>
          <t>SKÅNE LÄN</t>
        </is>
      </c>
      <c r="G206" t="inlineStr">
        <is>
          <t>KRISTIANSTAD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46307</v>
      </c>
      <c r="F207" t="inlineStr">
        <is>
          <t>SKÅNE LÄN</t>
        </is>
      </c>
      <c r="G207" t="inlineStr">
        <is>
          <t>KRISTIANSTAD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46307</v>
      </c>
      <c r="F208" t="inlineStr">
        <is>
          <t>SKÅNE LÄN</t>
        </is>
      </c>
      <c r="G208" t="inlineStr">
        <is>
          <t>KRISTIANSTAD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45144</v>
      </c>
      <c r="E209" s="1" t="n">
        <v>46307</v>
      </c>
      <c r="F209" t="inlineStr">
        <is>
          <t>SKÅNE LÄN</t>
        </is>
      </c>
      <c r="G209" t="inlineStr">
        <is>
          <t>KRISTIANSTAD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46307</v>
      </c>
      <c r="F210" t="inlineStr">
        <is>
          <t>SKÅNE LÄN</t>
        </is>
      </c>
      <c r="G210" t="inlineStr">
        <is>
          <t>KRISTIANSTAD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46307</v>
      </c>
      <c r="F211" t="inlineStr">
        <is>
          <t>SKÅNE LÄN</t>
        </is>
      </c>
      <c r="G211" t="inlineStr">
        <is>
          <t>KRISTIANSTAD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46307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46307</v>
      </c>
      <c r="F213" t="inlineStr">
        <is>
          <t>SKÅNE LÄN</t>
        </is>
      </c>
      <c r="G213" t="inlineStr">
        <is>
          <t>KRISTIANSTAD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46307</v>
      </c>
      <c r="F214" t="inlineStr">
        <is>
          <t>SKÅNE LÄN</t>
        </is>
      </c>
      <c r="G214" t="inlineStr">
        <is>
          <t>KRISTIANSTAD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46307</v>
      </c>
      <c r="F215" t="inlineStr">
        <is>
          <t>SKÅNE LÄN</t>
        </is>
      </c>
      <c r="G215" t="inlineStr">
        <is>
          <t>KRISTIANSTAD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46307</v>
      </c>
      <c r="F216" t="inlineStr">
        <is>
          <t>SKÅNE LÄN</t>
        </is>
      </c>
      <c r="G216" t="inlineStr">
        <is>
          <t>KRISTIANSTAD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46307</v>
      </c>
      <c r="F217" t="inlineStr">
        <is>
          <t>SKÅNE LÄN</t>
        </is>
      </c>
      <c r="G217" t="inlineStr">
        <is>
          <t>KRISTIANSTAD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46307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46307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45493</v>
      </c>
      <c r="E220" s="1" t="n">
        <v>46307</v>
      </c>
      <c r="F220" t="inlineStr">
        <is>
          <t>SKÅNE LÄN</t>
        </is>
      </c>
      <c r="G220" t="inlineStr">
        <is>
          <t>KRISTIANSTAD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46307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46307</v>
      </c>
      <c r="F222" t="inlineStr">
        <is>
          <t>SKÅNE LÄN</t>
        </is>
      </c>
      <c r="G222" t="inlineStr">
        <is>
          <t>KRISTIANSTAD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45738</v>
      </c>
      <c r="E223" s="1" t="n">
        <v>46307</v>
      </c>
      <c r="F223" t="inlineStr">
        <is>
          <t>SKÅNE LÄN</t>
        </is>
      </c>
      <c r="G223" t="inlineStr">
        <is>
          <t>KRISTIANSTAD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45738</v>
      </c>
      <c r="E224" s="1" t="n">
        <v>46307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46307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46307</v>
      </c>
      <c r="F226" t="inlineStr">
        <is>
          <t>SKÅNE LÄN</t>
        </is>
      </c>
      <c r="G226" t="inlineStr">
        <is>
          <t>KRISTIANSTAD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45728-2022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46307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45311</v>
      </c>
      <c r="E228" s="1" t="n">
        <v>46307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45116</v>
      </c>
      <c r="E229" s="1" t="n">
        <v>46307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46307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46307</v>
      </c>
      <c r="F231" t="inlineStr">
        <is>
          <t>SKÅNE LÄN</t>
        </is>
      </c>
      <c r="G231" t="inlineStr">
        <is>
          <t>KRISTIANSTAD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46307</v>
      </c>
      <c r="F232" t="inlineStr">
        <is>
          <t>SKÅNE LÄN</t>
        </is>
      </c>
      <c r="G232" t="inlineStr">
        <is>
          <t>KRISTIANSTAD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46307</v>
      </c>
      <c r="F233" t="inlineStr">
        <is>
          <t>SKÅNE LÄN</t>
        </is>
      </c>
      <c r="G233" t="inlineStr">
        <is>
          <t>KRISTIANSTAD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45366</v>
      </c>
      <c r="E234" s="1" t="n">
        <v>46307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46095-2023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45190</v>
      </c>
      <c r="E235" s="1" t="n">
        <v>46307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46307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46307</v>
      </c>
      <c r="F237" t="inlineStr">
        <is>
          <t>SKÅNE LÄN</t>
        </is>
      </c>
      <c r="G237" t="inlineStr">
        <is>
          <t>KRISTIANSTAD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45716</v>
      </c>
      <c r="E238" s="1" t="n">
        <v>46307</v>
      </c>
      <c r="F238" t="inlineStr">
        <is>
          <t>SKÅNE LÄN</t>
        </is>
      </c>
      <c r="G238" t="inlineStr">
        <is>
          <t>KRISTIANSTAD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46307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46307</v>
      </c>
      <c r="F240" t="inlineStr">
        <is>
          <t>SKÅNE LÄN</t>
        </is>
      </c>
      <c r="G240" t="inlineStr">
        <is>
          <t>KRISTIANSTAD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46307</v>
      </c>
      <c r="F241" t="inlineStr">
        <is>
          <t>SKÅNE LÄN</t>
        </is>
      </c>
      <c r="G241" t="inlineStr">
        <is>
          <t>KRISTIANSTAD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46307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46307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46307</v>
      </c>
      <c r="F244" t="inlineStr">
        <is>
          <t>SKÅNE LÄN</t>
        </is>
      </c>
      <c r="G244" t="inlineStr">
        <is>
          <t>KRISTIANSTAD</t>
        </is>
      </c>
      <c r="I244" t="n">
        <v>14.9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46307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45121</v>
      </c>
      <c r="E246" s="1" t="n">
        <v>46307</v>
      </c>
      <c r="F246" t="inlineStr">
        <is>
          <t>SKÅNE LÄN</t>
        </is>
      </c>
      <c r="G246" t="inlineStr">
        <is>
          <t>KRISTIANSTAD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46307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46307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46307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46307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46307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45144</v>
      </c>
      <c r="E252" s="1" t="n">
        <v>46307</v>
      </c>
      <c r="F252" t="inlineStr">
        <is>
          <t>SKÅNE LÄN</t>
        </is>
      </c>
      <c r="G252" t="inlineStr">
        <is>
          <t>KRISTIANSTAD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45144</v>
      </c>
      <c r="E253" s="1" t="n">
        <v>46307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15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46307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46307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46307</v>
      </c>
      <c r="F256" t="inlineStr">
        <is>
          <t>SKÅNE LÄN</t>
        </is>
      </c>
      <c r="G256" t="inlineStr">
        <is>
          <t>KRISTIANSTAD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46307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46307</v>
      </c>
      <c r="F258" t="inlineStr">
        <is>
          <t>SKÅNE LÄN</t>
        </is>
      </c>
      <c r="G258" t="inlineStr">
        <is>
          <t>KRISTIANSTAD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46307</v>
      </c>
      <c r="F259" t="inlineStr">
        <is>
          <t>SKÅNE LÄN</t>
        </is>
      </c>
      <c r="G259" t="inlineStr">
        <is>
          <t>KRISTIANSTAD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44933</v>
      </c>
      <c r="E260" s="1" t="n">
        <v>46307</v>
      </c>
      <c r="F260" t="inlineStr">
        <is>
          <t>SKÅNE LÄN</t>
        </is>
      </c>
      <c r="G260" t="inlineStr">
        <is>
          <t>KRISTIANSTAD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46307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46307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45465</v>
      </c>
      <c r="E263" s="1" t="n">
        <v>46307</v>
      </c>
      <c r="F263" t="inlineStr">
        <is>
          <t>SKÅNE LÄN</t>
        </is>
      </c>
      <c r="G263" t="inlineStr">
        <is>
          <t>KRISTIANSTAD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46307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45002</v>
      </c>
      <c r="E265" s="1" t="n">
        <v>46307</v>
      </c>
      <c r="F265" t="inlineStr">
        <is>
          <t>SKÅNE LÄN</t>
        </is>
      </c>
      <c r="G265" t="inlineStr">
        <is>
          <t>KRISTIANSTAD</t>
        </is>
      </c>
      <c r="H265" t="inlineStr">
        <is>
          <t>Kyrkan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46307</v>
      </c>
      <c r="F266" t="inlineStr">
        <is>
          <t>SKÅNE LÄN</t>
        </is>
      </c>
      <c r="G266" t="inlineStr">
        <is>
          <t>KRISTIANSTAD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45648</v>
      </c>
      <c r="E267" s="1" t="n">
        <v>46307</v>
      </c>
      <c r="F267" t="inlineStr">
        <is>
          <t>SKÅNE LÄN</t>
        </is>
      </c>
      <c r="G267" t="inlineStr">
        <is>
          <t>KRISTIANSTAD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45307</v>
      </c>
      <c r="E268" s="1" t="n">
        <v>46307</v>
      </c>
      <c r="F268" t="inlineStr">
        <is>
          <t>SKÅNE LÄN</t>
        </is>
      </c>
      <c r="G268" t="inlineStr">
        <is>
          <t>KRISTIANSTAD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45467</v>
      </c>
      <c r="E269" s="1" t="n">
        <v>46307</v>
      </c>
      <c r="F269" t="inlineStr">
        <is>
          <t>SKÅNE LÄN</t>
        </is>
      </c>
      <c r="G269" t="inlineStr">
        <is>
          <t>KRISTIANSTAD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46307</v>
      </c>
      <c r="F270" t="inlineStr">
        <is>
          <t>SKÅNE LÄN</t>
        </is>
      </c>
      <c r="G270" t="inlineStr">
        <is>
          <t>KRISTIANSTAD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40037-2022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46307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46307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45419</v>
      </c>
      <c r="E273" s="1" t="n">
        <v>46307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44774</v>
      </c>
      <c r="E274" s="1" t="n">
        <v>46307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46307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44866</v>
      </c>
      <c r="E276" s="1" t="n">
        <v>46307</v>
      </c>
      <c r="F276" t="inlineStr">
        <is>
          <t>SKÅNE LÄN</t>
        </is>
      </c>
      <c r="G276" t="inlineStr">
        <is>
          <t>KRISTIANSTAD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45334</v>
      </c>
      <c r="E277" s="1" t="n">
        <v>46307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46307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45478</v>
      </c>
      <c r="E279" s="1" t="n">
        <v>46307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46307</v>
      </c>
      <c r="F280" t="inlineStr">
        <is>
          <t>SKÅNE LÄN</t>
        </is>
      </c>
      <c r="G280" t="inlineStr">
        <is>
          <t>KRISTIANSTAD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46307</v>
      </c>
      <c r="F281" t="inlineStr">
        <is>
          <t>SKÅNE LÄN</t>
        </is>
      </c>
      <c r="G281" t="inlineStr">
        <is>
          <t>KRISTIANSTAD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46307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46307</v>
      </c>
      <c r="F283" t="inlineStr">
        <is>
          <t>SKÅNE LÄN</t>
        </is>
      </c>
      <c r="G283" t="inlineStr">
        <is>
          <t>KRISTIANSTAD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46307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13070-2023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45002</v>
      </c>
      <c r="E285" s="1" t="n">
        <v>46307</v>
      </c>
      <c r="F285" t="inlineStr">
        <is>
          <t>SKÅNE LÄN</t>
        </is>
      </c>
      <c r="G285" t="inlineStr">
        <is>
          <t>KRISTIANSTAD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46307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46307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46307</v>
      </c>
      <c r="F288" t="inlineStr">
        <is>
          <t>SKÅNE LÄN</t>
        </is>
      </c>
      <c r="G288" t="inlineStr">
        <is>
          <t>KRISTIANSTAD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45282</v>
      </c>
      <c r="E289" s="1" t="n">
        <v>46307</v>
      </c>
      <c r="F289" t="inlineStr">
        <is>
          <t>SKÅNE LÄN</t>
        </is>
      </c>
      <c r="G289" t="inlineStr">
        <is>
          <t>KRISTIANSTAD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45737</v>
      </c>
      <c r="E290" s="1" t="n">
        <v>46307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45738</v>
      </c>
      <c r="E291" s="1" t="n">
        <v>46307</v>
      </c>
      <c r="F291" t="inlineStr">
        <is>
          <t>SKÅNE LÄN</t>
        </is>
      </c>
      <c r="G291" t="inlineStr">
        <is>
          <t>KRISTIANSTAD</t>
        </is>
      </c>
      <c r="I291" t="n">
        <v>11.3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45326</v>
      </c>
      <c r="E292" s="1" t="n">
        <v>46307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46307</v>
      </c>
      <c r="F293" t="inlineStr">
        <is>
          <t>SKÅNE LÄN</t>
        </is>
      </c>
      <c r="G293" t="inlineStr">
        <is>
          <t>KRISTIANSTAD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46307</v>
      </c>
      <c r="F294" t="inlineStr">
        <is>
          <t>SKÅNE LÄN</t>
        </is>
      </c>
      <c r="G294" t="inlineStr">
        <is>
          <t>KRISTIANSTAD</t>
        </is>
      </c>
      <c r="I294" t="n">
        <v>12.8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40500-2025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45896</v>
      </c>
      <c r="E295" s="1" t="n">
        <v>46307</v>
      </c>
      <c r="F295" t="inlineStr">
        <is>
          <t>SKÅNE LÄN</t>
        </is>
      </c>
      <c r="G295" t="inlineStr">
        <is>
          <t>KRISTIANSTAD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46307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46307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46307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46307</v>
      </c>
      <c r="F299" t="inlineStr">
        <is>
          <t>SKÅNE LÄN</t>
        </is>
      </c>
      <c r="G299" t="inlineStr">
        <is>
          <t>KRISTIANSTAD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46307</v>
      </c>
      <c r="F300" t="inlineStr">
        <is>
          <t>SKÅNE LÄN</t>
        </is>
      </c>
      <c r="G300" t="inlineStr">
        <is>
          <t>KRISTIANSTAD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46307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46307</v>
      </c>
      <c r="F302" t="inlineStr">
        <is>
          <t>SKÅNE LÄN</t>
        </is>
      </c>
      <c r="G302" t="inlineStr">
        <is>
          <t>KRISTIANSTAD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45900</v>
      </c>
      <c r="E303" s="1" t="n">
        <v>46307</v>
      </c>
      <c r="F303" t="inlineStr">
        <is>
          <t>SKÅNE LÄN</t>
        </is>
      </c>
      <c r="G303" t="inlineStr">
        <is>
          <t>KRISTIANSTAD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46307</v>
      </c>
      <c r="F304" t="inlineStr">
        <is>
          <t>SKÅNE LÄN</t>
        </is>
      </c>
      <c r="G304" t="inlineStr">
        <is>
          <t>KRISTIANSTAD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45490</v>
      </c>
      <c r="E305" s="1" t="n">
        <v>46307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46307</v>
      </c>
      <c r="F306" t="inlineStr">
        <is>
          <t>SKÅNE LÄN</t>
        </is>
      </c>
      <c r="G306" t="inlineStr">
        <is>
          <t>KRISTIANSTAD</t>
        </is>
      </c>
      <c r="I306" t="n">
        <v>12.6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45900</v>
      </c>
      <c r="E307" s="1" t="n">
        <v>46307</v>
      </c>
      <c r="F307" t="inlineStr">
        <is>
          <t>SKÅNE LÄN</t>
        </is>
      </c>
      <c r="G307" t="inlineStr">
        <is>
          <t>KRISTIANSTAD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45386</v>
      </c>
      <c r="E308" s="1" t="n">
        <v>46307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45134</v>
      </c>
      <c r="E309" s="1" t="n">
        <v>46307</v>
      </c>
      <c r="F309" t="inlineStr">
        <is>
          <t>SKÅNE LÄN</t>
        </is>
      </c>
      <c r="G309" t="inlineStr">
        <is>
          <t>KRISTIANSTAD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46307</v>
      </c>
      <c r="F310" t="inlineStr">
        <is>
          <t>SKÅNE LÄN</t>
        </is>
      </c>
      <c r="G310" t="inlineStr">
        <is>
          <t>KRISTIANSTAD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46307</v>
      </c>
      <c r="F311" t="inlineStr">
        <is>
          <t>SKÅNE LÄN</t>
        </is>
      </c>
      <c r="G311" t="inlineStr">
        <is>
          <t>KRISTIANSTAD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45900</v>
      </c>
      <c r="E312" s="1" t="n">
        <v>46307</v>
      </c>
      <c r="F312" t="inlineStr">
        <is>
          <t>SKÅNE LÄN</t>
        </is>
      </c>
      <c r="G312" t="inlineStr">
        <is>
          <t>KRISTIANSTAD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45337</v>
      </c>
      <c r="E313" s="1" t="n">
        <v>46307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46307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32158-2024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45511</v>
      </c>
      <c r="E315" s="1" t="n">
        <v>46307</v>
      </c>
      <c r="F315" t="inlineStr">
        <is>
          <t>SKÅNE LÄN</t>
        </is>
      </c>
      <c r="G315" t="inlineStr">
        <is>
          <t>KRISTIANSTAD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37983-2024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45544</v>
      </c>
      <c r="E316" s="1" t="n">
        <v>46307</v>
      </c>
      <c r="F316" t="inlineStr">
        <is>
          <t>SKÅNE LÄN</t>
        </is>
      </c>
      <c r="G316" t="inlineStr">
        <is>
          <t>KRISTIANSTAD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46307</v>
      </c>
      <c r="F317" t="inlineStr">
        <is>
          <t>SKÅNE LÄN</t>
        </is>
      </c>
      <c r="G317" t="inlineStr">
        <is>
          <t>KRISTIANSTAD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46307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46307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46307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45377</v>
      </c>
      <c r="E321" s="1" t="n">
        <v>46307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46307</v>
      </c>
      <c r="F322" t="inlineStr">
        <is>
          <t>SKÅNE LÄN</t>
        </is>
      </c>
      <c r="G322" t="inlineStr">
        <is>
          <t>KRISTIANSTAD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64626-2023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45281</v>
      </c>
      <c r="E323" s="1" t="n">
        <v>46307</v>
      </c>
      <c r="F323" t="inlineStr">
        <is>
          <t>SKÅNE LÄN</t>
        </is>
      </c>
      <c r="G323" t="inlineStr">
        <is>
          <t>KRISTIANSTAD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44544</v>
      </c>
      <c r="E324" s="1" t="n">
        <v>46307</v>
      </c>
      <c r="F324" t="inlineStr">
        <is>
          <t>SKÅNE LÄN</t>
        </is>
      </c>
      <c r="G324" t="inlineStr">
        <is>
          <t>KRISTIANSTAD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46307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46307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46307</v>
      </c>
      <c r="F327" t="inlineStr">
        <is>
          <t>SKÅNE LÄN</t>
        </is>
      </c>
      <c r="G327" t="inlineStr">
        <is>
          <t>KRISTIANSTAD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46307</v>
      </c>
      <c r="F328" t="inlineStr">
        <is>
          <t>SKÅNE LÄN</t>
        </is>
      </c>
      <c r="G328" t="inlineStr">
        <is>
          <t>KRISTIANSTAD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10062-2024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45364</v>
      </c>
      <c r="E329" s="1" t="n">
        <v>46307</v>
      </c>
      <c r="F329" t="inlineStr">
        <is>
          <t>SKÅNE LÄN</t>
        </is>
      </c>
      <c r="G329" t="inlineStr">
        <is>
          <t>KRISTIANSTAD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46307</v>
      </c>
      <c r="F330" t="inlineStr">
        <is>
          <t>SKÅNE LÄN</t>
        </is>
      </c>
      <c r="G330" t="inlineStr">
        <is>
          <t>KRISTIANSTAD</t>
        </is>
      </c>
      <c r="I330" t="n">
        <v>15.8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45577</v>
      </c>
      <c r="E331" s="1" t="n">
        <v>46307</v>
      </c>
      <c r="F331" t="inlineStr">
        <is>
          <t>SKÅNE LÄN</t>
        </is>
      </c>
      <c r="G331" t="inlineStr">
        <is>
          <t>KRISTIANSTAD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46307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46307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45737</v>
      </c>
      <c r="E334" s="1" t="n">
        <v>46307</v>
      </c>
      <c r="F334" t="inlineStr">
        <is>
          <t>SKÅNE LÄN</t>
        </is>
      </c>
      <c r="G334" t="inlineStr">
        <is>
          <t>KRISTIANSTAD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46307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45776</v>
      </c>
      <c r="E336" s="1" t="n">
        <v>46307</v>
      </c>
      <c r="F336" t="inlineStr">
        <is>
          <t>SKÅNE LÄN</t>
        </is>
      </c>
      <c r="G336" t="inlineStr">
        <is>
          <t>KRISTIANSTAD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46307</v>
      </c>
      <c r="F337" t="inlineStr">
        <is>
          <t>SKÅNE LÄN</t>
        </is>
      </c>
      <c r="G337" t="inlineStr">
        <is>
          <t>KRISTIANSTAD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46307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46307</v>
      </c>
      <c r="F339" t="inlineStr">
        <is>
          <t>SKÅNE LÄN</t>
        </is>
      </c>
      <c r="G339" t="inlineStr">
        <is>
          <t>KRISTIANSTAD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46307</v>
      </c>
      <c r="F340" t="inlineStr">
        <is>
          <t>SKÅNE LÄN</t>
        </is>
      </c>
      <c r="G340" t="inlineStr">
        <is>
          <t>KRISTIANSTAD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45149</v>
      </c>
      <c r="E341" s="1" t="n">
        <v>46307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45573</v>
      </c>
      <c r="E342" s="1" t="n">
        <v>46307</v>
      </c>
      <c r="F342" t="inlineStr">
        <is>
          <t>SKÅNE LÄN</t>
        </is>
      </c>
      <c r="G342" t="inlineStr">
        <is>
          <t>KRISTIANSTAD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46307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46307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46307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46307</v>
      </c>
      <c r="F346" t="inlineStr">
        <is>
          <t>SKÅNE LÄN</t>
        </is>
      </c>
      <c r="G346" t="inlineStr">
        <is>
          <t>KRISTIANSTAD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46307</v>
      </c>
      <c r="F347" t="inlineStr">
        <is>
          <t>SKÅNE LÄN</t>
        </is>
      </c>
      <c r="G347" t="inlineStr">
        <is>
          <t>KRISTIANSTAD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46307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44587</v>
      </c>
      <c r="E349" s="1" t="n">
        <v>46307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45443</v>
      </c>
      <c r="E350" s="1" t="n">
        <v>46307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61137-2021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44497</v>
      </c>
      <c r="E351" s="1" t="n">
        <v>46307</v>
      </c>
      <c r="F351" t="inlineStr">
        <is>
          <t>SKÅNE LÄN</t>
        </is>
      </c>
      <c r="G351" t="inlineStr">
        <is>
          <t>KRISTIANSTAD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46307</v>
      </c>
      <c r="F352" t="inlineStr">
        <is>
          <t>SKÅNE LÄN</t>
        </is>
      </c>
      <c r="G352" t="inlineStr">
        <is>
          <t>KRISTIANSTAD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46307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44995</v>
      </c>
      <c r="E354" s="1" t="n">
        <v>46307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45233</v>
      </c>
      <c r="E355" s="1" t="n">
        <v>46307</v>
      </c>
      <c r="F355" t="inlineStr">
        <is>
          <t>SKÅNE LÄN</t>
        </is>
      </c>
      <c r="G355" t="inlineStr">
        <is>
          <t>KRISTIANSTAD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46307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46307</v>
      </c>
      <c r="F357" t="inlineStr">
        <is>
          <t>SKÅNE LÄN</t>
        </is>
      </c>
      <c r="G357" t="inlineStr">
        <is>
          <t>KRISTIANSTAD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46307</v>
      </c>
      <c r="F358" t="inlineStr">
        <is>
          <t>SKÅNE LÄN</t>
        </is>
      </c>
      <c r="G358" t="inlineStr">
        <is>
          <t>KRISTIANSTAD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46307</v>
      </c>
      <c r="F359" t="inlineStr">
        <is>
          <t>SKÅNE LÄN</t>
        </is>
      </c>
      <c r="G359" t="inlineStr">
        <is>
          <t>KRISTIANSTAD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46307</v>
      </c>
      <c r="F360" t="inlineStr">
        <is>
          <t>SKÅNE LÄN</t>
        </is>
      </c>
      <c r="G360" t="inlineStr">
        <is>
          <t>KRISTIANSTAD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46307</v>
      </c>
      <c r="F361" t="inlineStr">
        <is>
          <t>SKÅNE LÄN</t>
        </is>
      </c>
      <c r="G361" t="inlineStr">
        <is>
          <t>KRISTIANSTAD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46307</v>
      </c>
      <c r="F362" t="inlineStr">
        <is>
          <t>SKÅNE LÄN</t>
        </is>
      </c>
      <c r="G362" t="inlineStr">
        <is>
          <t>KRISTIANSTAD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45408</v>
      </c>
      <c r="E363" s="1" t="n">
        <v>46307</v>
      </c>
      <c r="F363" t="inlineStr">
        <is>
          <t>SKÅNE LÄN</t>
        </is>
      </c>
      <c r="G363" t="inlineStr">
        <is>
          <t>KRISTIANSTAD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46307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45127</v>
      </c>
      <c r="E365" s="1" t="n">
        <v>46307</v>
      </c>
      <c r="F365" t="inlineStr">
        <is>
          <t>SKÅNE LÄN</t>
        </is>
      </c>
      <c r="G365" t="inlineStr">
        <is>
          <t>KRISTIANSTAD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46307</v>
      </c>
      <c r="F366" t="inlineStr">
        <is>
          <t>SKÅNE LÄN</t>
        </is>
      </c>
      <c r="G366" t="inlineStr">
        <is>
          <t>KRISTIANSTAD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46307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45315</v>
      </c>
      <c r="E368" s="1" t="n">
        <v>46307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46307</v>
      </c>
      <c r="F369" t="inlineStr">
        <is>
          <t>SKÅNE LÄN</t>
        </is>
      </c>
      <c r="G369" t="inlineStr">
        <is>
          <t>KRISTIANSTAD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46307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45124</v>
      </c>
      <c r="E371" s="1" t="n">
        <v>46307</v>
      </c>
      <c r="F371" t="inlineStr">
        <is>
          <t>SKÅNE LÄN</t>
        </is>
      </c>
      <c r="G371" t="inlineStr">
        <is>
          <t>KRISTIANSTAD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46307</v>
      </c>
      <c r="F372" t="inlineStr">
        <is>
          <t>SKÅNE LÄN</t>
        </is>
      </c>
      <c r="G372" t="inlineStr">
        <is>
          <t>KRISTIANSTAD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46307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46307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44596</v>
      </c>
      <c r="E375" s="1" t="n">
        <v>46307</v>
      </c>
      <c r="F375" t="inlineStr">
        <is>
          <t>SKÅNE LÄN</t>
        </is>
      </c>
      <c r="G375" t="inlineStr">
        <is>
          <t>KRISTIANSTAD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46307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46307</v>
      </c>
      <c r="F377" t="inlineStr">
        <is>
          <t>SKÅNE LÄN</t>
        </is>
      </c>
      <c r="G377" t="inlineStr">
        <is>
          <t>KRISTIANSTAD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44923</v>
      </c>
      <c r="E378" s="1" t="n">
        <v>46307</v>
      </c>
      <c r="F378" t="inlineStr">
        <is>
          <t>SKÅNE LÄN</t>
        </is>
      </c>
      <c r="G378" t="inlineStr">
        <is>
          <t>KRISTIANSTAD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46307</v>
      </c>
      <c r="F379" t="inlineStr">
        <is>
          <t>SKÅNE LÄN</t>
        </is>
      </c>
      <c r="G379" t="inlineStr">
        <is>
          <t>KRISTIANSTAD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46307</v>
      </c>
      <c r="F380" t="inlineStr">
        <is>
          <t>SKÅNE LÄN</t>
        </is>
      </c>
      <c r="G380" t="inlineStr">
        <is>
          <t>KRISTIANSTAD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46307</v>
      </c>
      <c r="F381" t="inlineStr">
        <is>
          <t>SKÅNE LÄN</t>
        </is>
      </c>
      <c r="G381" t="inlineStr">
        <is>
          <t>KRISTIANSTAD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45577</v>
      </c>
      <c r="E382" s="1" t="n">
        <v>46307</v>
      </c>
      <c r="F382" t="inlineStr">
        <is>
          <t>SKÅNE LÄN</t>
        </is>
      </c>
      <c r="G382" t="inlineStr">
        <is>
          <t>KRISTIANSTAD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46307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46307</v>
      </c>
      <c r="F384" t="inlineStr">
        <is>
          <t>SKÅNE LÄN</t>
        </is>
      </c>
      <c r="G384" t="inlineStr">
        <is>
          <t>KRISTIANSTAD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46307</v>
      </c>
      <c r="F385" t="inlineStr">
        <is>
          <t>SKÅNE LÄN</t>
        </is>
      </c>
      <c r="G385" t="inlineStr">
        <is>
          <t>KRISTIANSTAD</t>
        </is>
      </c>
      <c r="H385" t="inlineStr">
        <is>
          <t>Kyrkan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45042</v>
      </c>
      <c r="E386" s="1" t="n">
        <v>46307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46307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46307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45498</v>
      </c>
      <c r="E389" s="1" t="n">
        <v>46307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38021-2023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45159</v>
      </c>
      <c r="E390" s="1" t="n">
        <v>46307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45338</v>
      </c>
      <c r="E391" s="1" t="n">
        <v>46307</v>
      </c>
      <c r="F391" t="inlineStr">
        <is>
          <t>SKÅNE LÄN</t>
        </is>
      </c>
      <c r="G391" t="inlineStr">
        <is>
          <t>KRISTIANSTAD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45338</v>
      </c>
      <c r="E392" s="1" t="n">
        <v>46307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44627</v>
      </c>
      <c r="E393" s="1" t="n">
        <v>46307</v>
      </c>
      <c r="F393" t="inlineStr">
        <is>
          <t>SKÅNE LÄN</t>
        </is>
      </c>
      <c r="G393" t="inlineStr">
        <is>
          <t>KRISTIANSTAD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44363-2024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45573</v>
      </c>
      <c r="E394" s="1" t="n">
        <v>46307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46307</v>
      </c>
      <c r="F395" t="inlineStr">
        <is>
          <t>SKÅNE LÄN</t>
        </is>
      </c>
      <c r="G395" t="inlineStr">
        <is>
          <t>KRISTIANSTAD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46307</v>
      </c>
      <c r="F396" t="inlineStr">
        <is>
          <t>SKÅNE LÄN</t>
        </is>
      </c>
      <c r="G396" t="inlineStr">
        <is>
          <t>KRISTIANSTAD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45797</v>
      </c>
      <c r="E397" s="1" t="n">
        <v>46307</v>
      </c>
      <c r="F397" t="inlineStr">
        <is>
          <t>SKÅNE LÄN</t>
        </is>
      </c>
      <c r="G397" t="inlineStr">
        <is>
          <t>KRISTIANSTAD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47665-2025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45931</v>
      </c>
      <c r="E398" s="1" t="n">
        <v>46307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46307</v>
      </c>
      <c r="F399" t="inlineStr">
        <is>
          <t>SKÅNE LÄN</t>
        </is>
      </c>
      <c r="G399" t="inlineStr">
        <is>
          <t>KRISTIANSTAD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46307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48378-2025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46307</v>
      </c>
      <c r="F401" t="inlineStr">
        <is>
          <t>SKÅNE LÄN</t>
        </is>
      </c>
      <c r="G401" t="inlineStr">
        <is>
          <t>KRISTIANSTAD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46307</v>
      </c>
      <c r="F402" t="inlineStr">
        <is>
          <t>SKÅNE LÄN</t>
        </is>
      </c>
      <c r="G402" t="inlineStr">
        <is>
          <t>KRISTIANSTAD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46307</v>
      </c>
      <c r="F403" t="inlineStr">
        <is>
          <t>SKÅNE LÄN</t>
        </is>
      </c>
      <c r="G403" t="inlineStr">
        <is>
          <t>KRISTIANSTAD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46307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46307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45915</v>
      </c>
      <c r="E406" s="1" t="n">
        <v>46307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46307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45648</v>
      </c>
      <c r="E408" s="1" t="n">
        <v>46307</v>
      </c>
      <c r="F408" t="inlineStr">
        <is>
          <t>SKÅNE LÄN</t>
        </is>
      </c>
      <c r="G408" t="inlineStr">
        <is>
          <t>KRISTIANSTAD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46307</v>
      </c>
      <c r="F409" t="inlineStr">
        <is>
          <t>SKÅNE LÄN</t>
        </is>
      </c>
      <c r="G409" t="inlineStr">
        <is>
          <t>KRISTIANSTAD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44946</v>
      </c>
      <c r="E410" s="1" t="n">
        <v>46307</v>
      </c>
      <c r="F410" t="inlineStr">
        <is>
          <t>SKÅNE LÄN</t>
        </is>
      </c>
      <c r="G410" t="inlineStr">
        <is>
          <t>KRISTIANSTAD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45165</v>
      </c>
      <c r="E411" s="1" t="n">
        <v>46307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45553</v>
      </c>
      <c r="E412" s="1" t="n">
        <v>46307</v>
      </c>
      <c r="F412" t="inlineStr">
        <is>
          <t>SKÅNE LÄN</t>
        </is>
      </c>
      <c r="G412" t="inlineStr">
        <is>
          <t>KRISTIANSTAD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45804</v>
      </c>
      <c r="E413" s="1" t="n">
        <v>46307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45800</v>
      </c>
      <c r="E414" s="1" t="n">
        <v>46307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44744</v>
      </c>
      <c r="E415" s="1" t="n">
        <v>46307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45228</v>
      </c>
      <c r="E416" s="1" t="n">
        <v>46307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46307</v>
      </c>
      <c r="F417" t="inlineStr">
        <is>
          <t>SKÅNE LÄN</t>
        </is>
      </c>
      <c r="G417" t="inlineStr">
        <is>
          <t>KRISTIANSTAD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44988</v>
      </c>
      <c r="E418" s="1" t="n">
        <v>46307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46307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46307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46307</v>
      </c>
      <c r="F421" t="inlineStr">
        <is>
          <t>SKÅNE LÄN</t>
        </is>
      </c>
      <c r="G421" t="inlineStr">
        <is>
          <t>KRISTIANSTAD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46307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45398</v>
      </c>
      <c r="E423" s="1" t="n">
        <v>46307</v>
      </c>
      <c r="F423" t="inlineStr">
        <is>
          <t>SKÅNE LÄN</t>
        </is>
      </c>
      <c r="G423" t="inlineStr">
        <is>
          <t>KRISTIANSTAD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45396</v>
      </c>
      <c r="E424" s="1" t="n">
        <v>46307</v>
      </c>
      <c r="F424" t="inlineStr">
        <is>
          <t>SKÅNE LÄN</t>
        </is>
      </c>
      <c r="G424" t="inlineStr">
        <is>
          <t>KRISTIANSTAD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45810</v>
      </c>
      <c r="E425" s="1" t="n">
        <v>46307</v>
      </c>
      <c r="F425" t="inlineStr">
        <is>
          <t>SKÅNE LÄN</t>
        </is>
      </c>
      <c r="G425" t="inlineStr">
        <is>
          <t>KRISTIANSTAD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45810</v>
      </c>
      <c r="E426" s="1" t="n">
        <v>46307</v>
      </c>
      <c r="F426" t="inlineStr">
        <is>
          <t>SKÅNE LÄN</t>
        </is>
      </c>
      <c r="G426" t="inlineStr">
        <is>
          <t>KRISTIANSTAD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45939</v>
      </c>
      <c r="E427" s="1" t="n">
        <v>46307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46307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46307</v>
      </c>
      <c r="F429" t="inlineStr">
        <is>
          <t>SKÅNE LÄN</t>
        </is>
      </c>
      <c r="G429" t="inlineStr">
        <is>
          <t>KRISTIANSTAD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46307</v>
      </c>
      <c r="F430" t="inlineStr">
        <is>
          <t>SKÅNE LÄN</t>
        </is>
      </c>
      <c r="G430" t="inlineStr">
        <is>
          <t>KRISTIANSTAD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46307</v>
      </c>
      <c r="F431" t="inlineStr">
        <is>
          <t>SKÅNE LÄN</t>
        </is>
      </c>
      <c r="G431" t="inlineStr">
        <is>
          <t>KRISTIANSTAD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46307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46307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47235-2024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45586</v>
      </c>
      <c r="E434" s="1" t="n">
        <v>46307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46307</v>
      </c>
      <c r="F435" t="inlineStr">
        <is>
          <t>SKÅNE LÄN</t>
        </is>
      </c>
      <c r="G435" t="inlineStr">
        <is>
          <t>KRISTIANSTAD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46307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45945</v>
      </c>
      <c r="E437" s="1" t="n">
        <v>46307</v>
      </c>
      <c r="F437" t="inlineStr">
        <is>
          <t>SKÅNE LÄN</t>
        </is>
      </c>
      <c r="G437" t="inlineStr">
        <is>
          <t>KRISTIANSTAD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46307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45945</v>
      </c>
      <c r="E439" s="1" t="n">
        <v>46307</v>
      </c>
      <c r="F439" t="inlineStr">
        <is>
          <t>SKÅNE LÄN</t>
        </is>
      </c>
      <c r="G439" t="inlineStr">
        <is>
          <t>KRISTIANSTAD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46307</v>
      </c>
      <c r="F440" t="inlineStr">
        <is>
          <t>SKÅNE LÄN</t>
        </is>
      </c>
      <c r="G440" t="inlineStr">
        <is>
          <t>KRISTIANSTAD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45141</v>
      </c>
      <c r="E441" s="1" t="n">
        <v>46307</v>
      </c>
      <c r="F441" t="inlineStr">
        <is>
          <t>SKÅNE LÄN</t>
        </is>
      </c>
      <c r="G441" t="inlineStr">
        <is>
          <t>KRISTIANSTAD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45141</v>
      </c>
      <c r="E442" s="1" t="n">
        <v>46307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46307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44634</v>
      </c>
      <c r="E444" s="1" t="n">
        <v>46307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46307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46307</v>
      </c>
      <c r="F446" t="inlineStr">
        <is>
          <t>SKÅNE LÄN</t>
        </is>
      </c>
      <c r="G446" t="inlineStr">
        <is>
          <t>KRISTIANSTAD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46307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45083</v>
      </c>
      <c r="E448" s="1" t="n">
        <v>46307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70705-2021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46307</v>
      </c>
      <c r="F449" t="inlineStr">
        <is>
          <t>SKÅNE LÄN</t>
        </is>
      </c>
      <c r="G449" t="inlineStr">
        <is>
          <t>KRISTIANSTAD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46307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46307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46307</v>
      </c>
      <c r="F452" t="inlineStr">
        <is>
          <t>SKÅNE LÄN</t>
        </is>
      </c>
      <c r="G452" t="inlineStr">
        <is>
          <t>KRISTIANSTAD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45665</v>
      </c>
      <c r="E453" s="1" t="n">
        <v>46307</v>
      </c>
      <c r="F453" t="inlineStr">
        <is>
          <t>SKÅNE LÄN</t>
        </is>
      </c>
      <c r="G453" t="inlineStr">
        <is>
          <t>KRISTIANSTAD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46307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46307</v>
      </c>
      <c r="F455" t="inlineStr">
        <is>
          <t>SKÅNE LÄN</t>
        </is>
      </c>
      <c r="G455" t="inlineStr">
        <is>
          <t>KRISTIANSTAD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45307</v>
      </c>
      <c r="E456" s="1" t="n">
        <v>46307</v>
      </c>
      <c r="F456" t="inlineStr">
        <is>
          <t>SKÅNE LÄN</t>
        </is>
      </c>
      <c r="G456" t="inlineStr">
        <is>
          <t>KRISTIANSTAD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33984-2025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46307</v>
      </c>
      <c r="F457" t="inlineStr">
        <is>
          <t>SKÅNE LÄN</t>
        </is>
      </c>
      <c r="G457" t="inlineStr">
        <is>
          <t>KRISTIANSTAD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44694</v>
      </c>
      <c r="E458" s="1" t="n">
        <v>46307</v>
      </c>
      <c r="F458" t="inlineStr">
        <is>
          <t>SKÅNE LÄN</t>
        </is>
      </c>
      <c r="G458" t="inlineStr">
        <is>
          <t>KRISTIANSTAD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46307</v>
      </c>
      <c r="F459" t="inlineStr">
        <is>
          <t>SKÅNE LÄN</t>
        </is>
      </c>
      <c r="G459" t="inlineStr">
        <is>
          <t>KRISTIANSTAD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46307</v>
      </c>
      <c r="F460" t="inlineStr">
        <is>
          <t>SKÅNE LÄN</t>
        </is>
      </c>
      <c r="G460" t="inlineStr">
        <is>
          <t>KRISTIANSTAD</t>
        </is>
      </c>
      <c r="I460" t="n">
        <v>9.5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33592-2023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45132</v>
      </c>
      <c r="E461" s="1" t="n">
        <v>46307</v>
      </c>
      <c r="F461" t="inlineStr">
        <is>
          <t>SKÅNE LÄN</t>
        </is>
      </c>
      <c r="G461" t="inlineStr">
        <is>
          <t>KRISTIANSTAD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46307</v>
      </c>
      <c r="F462" t="inlineStr">
        <is>
          <t>SKÅNE LÄN</t>
        </is>
      </c>
      <c r="G462" t="inlineStr">
        <is>
          <t>KRISTIANSTAD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44995</v>
      </c>
      <c r="E463" s="1" t="n">
        <v>46307</v>
      </c>
      <c r="F463" t="inlineStr">
        <is>
          <t>SKÅNE LÄN</t>
        </is>
      </c>
      <c r="G463" t="inlineStr">
        <is>
          <t>KRISTIANSTAD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46307</v>
      </c>
      <c r="F464" t="inlineStr">
        <is>
          <t>SKÅNE LÄN</t>
        </is>
      </c>
      <c r="G464" t="inlineStr">
        <is>
          <t>KRISTIANSTAD</t>
        </is>
      </c>
      <c r="I464" t="n">
        <v>11.8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46307</v>
      </c>
      <c r="F465" t="inlineStr">
        <is>
          <t>SKÅNE LÄN</t>
        </is>
      </c>
      <c r="G465" t="inlineStr">
        <is>
          <t>KRISTIANSTAD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31105-2025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46307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45700</v>
      </c>
      <c r="E467" s="1" t="n">
        <v>46307</v>
      </c>
      <c r="F467" t="inlineStr">
        <is>
          <t>SKÅNE LÄN</t>
        </is>
      </c>
      <c r="G467" t="inlineStr">
        <is>
          <t>KRISTIANSTAD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46307</v>
      </c>
      <c r="F468" t="inlineStr">
        <is>
          <t>SKÅNE LÄN</t>
        </is>
      </c>
      <c r="G468" t="inlineStr">
        <is>
          <t>KRISTIANSTAD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46307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46307</v>
      </c>
      <c r="F470" t="inlineStr">
        <is>
          <t>SKÅNE LÄN</t>
        </is>
      </c>
      <c r="G470" t="inlineStr">
        <is>
          <t>KRISTIANSTAD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46307</v>
      </c>
      <c r="F471" t="inlineStr">
        <is>
          <t>SKÅNE LÄN</t>
        </is>
      </c>
      <c r="G471" t="inlineStr">
        <is>
          <t>KRISTIANSTAD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45672</v>
      </c>
      <c r="E472" s="1" t="n">
        <v>46307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46307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45953</v>
      </c>
      <c r="E474" s="1" t="n">
        <v>46307</v>
      </c>
      <c r="F474" t="inlineStr">
        <is>
          <t>SKÅNE LÄN</t>
        </is>
      </c>
      <c r="G474" t="inlineStr">
        <is>
          <t>KRISTIANSTAD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45954</v>
      </c>
      <c r="E475" s="1" t="n">
        <v>46307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45954</v>
      </c>
      <c r="E476" s="1" t="n">
        <v>46307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46307</v>
      </c>
      <c r="F477" t="inlineStr">
        <is>
          <t>SKÅNE LÄN</t>
        </is>
      </c>
      <c r="G477" t="inlineStr">
        <is>
          <t>KRISTIANSTAD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45958</v>
      </c>
      <c r="E478" s="1" t="n">
        <v>46307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53525-2025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46307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46307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45077</v>
      </c>
      <c r="E481" s="1" t="n">
        <v>46307</v>
      </c>
      <c r="F481" t="inlineStr">
        <is>
          <t>SKÅNE LÄN</t>
        </is>
      </c>
      <c r="G481" t="inlineStr">
        <is>
          <t>KRISTIANSTAD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45144</v>
      </c>
      <c r="E482" s="1" t="n">
        <v>46307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44655</v>
      </c>
      <c r="E483" s="1" t="n">
        <v>46307</v>
      </c>
      <c r="F483" t="inlineStr">
        <is>
          <t>SKÅNE LÄN</t>
        </is>
      </c>
      <c r="G483" t="inlineStr">
        <is>
          <t>KRISTIANSTAD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45119</v>
      </c>
      <c r="E484" s="1" t="n">
        <v>46307</v>
      </c>
      <c r="F484" t="inlineStr">
        <is>
          <t>SKÅNE LÄN</t>
        </is>
      </c>
      <c r="G484" t="inlineStr">
        <is>
          <t>KRISTIANSTAD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46307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45275</v>
      </c>
      <c r="E486" s="1" t="n">
        <v>46307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46307</v>
      </c>
      <c r="F487" t="inlineStr">
        <is>
          <t>SKÅNE LÄN</t>
        </is>
      </c>
      <c r="G487" t="inlineStr">
        <is>
          <t>KRISTIANSTAD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46307</v>
      </c>
      <c r="F488" t="inlineStr">
        <is>
          <t>SKÅNE LÄN</t>
        </is>
      </c>
      <c r="G488" t="inlineStr">
        <is>
          <t>KRISTIANSTAD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46307</v>
      </c>
      <c r="F489" t="inlineStr">
        <is>
          <t>SKÅNE LÄN</t>
        </is>
      </c>
      <c r="G489" t="inlineStr">
        <is>
          <t>KRISTIANSTAD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45387</v>
      </c>
      <c r="E490" s="1" t="n">
        <v>46307</v>
      </c>
      <c r="F490" t="inlineStr">
        <is>
          <t>SKÅNE LÄN</t>
        </is>
      </c>
      <c r="G490" t="inlineStr">
        <is>
          <t>KRISTIANSTAD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45758</v>
      </c>
      <c r="E491" s="1" t="n">
        <v>46307</v>
      </c>
      <c r="F491" t="inlineStr">
        <is>
          <t>SKÅNE LÄN</t>
        </is>
      </c>
      <c r="G491" t="inlineStr">
        <is>
          <t>KRISTIANSTAD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46307</v>
      </c>
      <c r="F492" t="inlineStr">
        <is>
          <t>SKÅNE LÄN</t>
        </is>
      </c>
      <c r="G492" t="inlineStr">
        <is>
          <t>KRISTIANSTAD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46307</v>
      </c>
      <c r="F493" t="inlineStr">
        <is>
          <t>SKÅNE LÄN</t>
        </is>
      </c>
      <c r="G493" t="inlineStr">
        <is>
          <t>KRISTIANSTAD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44729</v>
      </c>
      <c r="E494" s="1" t="n">
        <v>46307</v>
      </c>
      <c r="F494" t="inlineStr">
        <is>
          <t>SKÅNE LÄN</t>
        </is>
      </c>
      <c r="G494" t="inlineStr">
        <is>
          <t>KRISTIANSTAD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46307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45465</v>
      </c>
      <c r="E496" s="1" t="n">
        <v>46307</v>
      </c>
      <c r="F496" t="inlineStr">
        <is>
          <t>SKÅNE LÄN</t>
        </is>
      </c>
      <c r="G496" t="inlineStr">
        <is>
          <t>KRISTIANSTAD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45244</v>
      </c>
      <c r="E497" s="1" t="n">
        <v>46307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46307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46307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49233-2022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44858</v>
      </c>
      <c r="E500" s="1" t="n">
        <v>46307</v>
      </c>
      <c r="F500" t="inlineStr">
        <is>
          <t>SKÅNE LÄN</t>
        </is>
      </c>
      <c r="G500" t="inlineStr">
        <is>
          <t>KRISTIANSTAD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46307</v>
      </c>
      <c r="F501" t="inlineStr">
        <is>
          <t>SKÅNE LÄN</t>
        </is>
      </c>
      <c r="G501" t="inlineStr">
        <is>
          <t>KRISTIANSTAD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45972</v>
      </c>
      <c r="E502" s="1" t="n">
        <v>46307</v>
      </c>
      <c r="F502" t="inlineStr">
        <is>
          <t>SKÅNE LÄN</t>
        </is>
      </c>
      <c r="G502" t="inlineStr">
        <is>
          <t>KRISTIANSTAD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45321</v>
      </c>
      <c r="E503" s="1" t="n">
        <v>46307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46307</v>
      </c>
      <c r="F504" t="inlineStr">
        <is>
          <t>SKÅNE LÄN</t>
        </is>
      </c>
      <c r="G504" t="inlineStr">
        <is>
          <t>KRISTIANSTAD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45668</v>
      </c>
      <c r="E505" s="1" t="n">
        <v>46307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46307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46307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38778-2022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44816</v>
      </c>
      <c r="E508" s="1" t="n">
        <v>46307</v>
      </c>
      <c r="F508" t="inlineStr">
        <is>
          <t>SKÅNE LÄN</t>
        </is>
      </c>
      <c r="G508" t="inlineStr">
        <is>
          <t>KRISTIANSTAD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45014</v>
      </c>
      <c r="E509" s="1" t="n">
        <v>46307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46307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46307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46307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46307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46307</v>
      </c>
      <c r="F514" t="inlineStr">
        <is>
          <t>SKÅNE LÄN</t>
        </is>
      </c>
      <c r="G514" t="inlineStr">
        <is>
          <t>KRISTIANSTAD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46307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44795</v>
      </c>
      <c r="E516" s="1" t="n">
        <v>46307</v>
      </c>
      <c r="F516" t="inlineStr">
        <is>
          <t>SKÅNE LÄN</t>
        </is>
      </c>
      <c r="G516" t="inlineStr">
        <is>
          <t>KRISTIANSTAD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45973</v>
      </c>
      <c r="E517" s="1" t="n">
        <v>46307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46307</v>
      </c>
      <c r="F518" t="inlineStr">
        <is>
          <t>SKÅNE LÄN</t>
        </is>
      </c>
      <c r="G518" t="inlineStr">
        <is>
          <t>KRISTIANSTAD</t>
        </is>
      </c>
      <c r="H518" t="inlineStr">
        <is>
          <t>Övriga Aktiebolag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45749</v>
      </c>
      <c r="E519" s="1" t="n">
        <v>46307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46307</v>
      </c>
      <c r="F520" t="inlineStr">
        <is>
          <t>SKÅNE LÄN</t>
        </is>
      </c>
      <c r="G520" t="inlineStr">
        <is>
          <t>KRISTIANSTAD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46307</v>
      </c>
      <c r="F521" t="inlineStr">
        <is>
          <t>SKÅNE LÄN</t>
        </is>
      </c>
      <c r="G521" t="inlineStr">
        <is>
          <t>KRISTIANSTAD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46307</v>
      </c>
      <c r="F522" t="inlineStr">
        <is>
          <t>SKÅNE LÄN</t>
        </is>
      </c>
      <c r="G522" t="inlineStr">
        <is>
          <t>KRISTIANSTAD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46307</v>
      </c>
      <c r="F523" t="inlineStr">
        <is>
          <t>SKÅNE LÄN</t>
        </is>
      </c>
      <c r="G523" t="inlineStr">
        <is>
          <t>KRISTIANSTAD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45693</v>
      </c>
      <c r="E524" s="1" t="n">
        <v>46307</v>
      </c>
      <c r="F524" t="inlineStr">
        <is>
          <t>SKÅNE LÄN</t>
        </is>
      </c>
      <c r="G524" t="inlineStr">
        <is>
          <t>KRISTIANSTAD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45455</v>
      </c>
      <c r="E525" s="1" t="n">
        <v>46307</v>
      </c>
      <c r="F525" t="inlineStr">
        <is>
          <t>SKÅNE LÄN</t>
        </is>
      </c>
      <c r="G525" t="inlineStr">
        <is>
          <t>KRISTIANSTAD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46307</v>
      </c>
      <c r="F526" t="inlineStr">
        <is>
          <t>SKÅNE LÄN</t>
        </is>
      </c>
      <c r="G526" t="inlineStr">
        <is>
          <t>KRISTIANSTAD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45860</v>
      </c>
      <c r="E527" s="1" t="n">
        <v>46307</v>
      </c>
      <c r="F527" t="inlineStr">
        <is>
          <t>SKÅNE LÄN</t>
        </is>
      </c>
      <c r="G527" t="inlineStr">
        <is>
          <t>KRISTIANSTAD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45707</v>
      </c>
      <c r="E528" s="1" t="n">
        <v>46307</v>
      </c>
      <c r="F528" t="inlineStr">
        <is>
          <t>SKÅNE LÄN</t>
        </is>
      </c>
      <c r="G528" t="inlineStr">
        <is>
          <t>KRISTIANSTAD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44817</v>
      </c>
      <c r="E529" s="1" t="n">
        <v>46307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45338</v>
      </c>
      <c r="E530" s="1" t="n">
        <v>46307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46307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46307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45827</v>
      </c>
      <c r="E533" s="1" t="n">
        <v>46307</v>
      </c>
      <c r="F533" t="inlineStr">
        <is>
          <t>SKÅNE LÄN</t>
        </is>
      </c>
      <c r="G533" t="inlineStr">
        <is>
          <t>KRISTIANSTAD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46307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19.5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8455-2025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45709</v>
      </c>
      <c r="E535" s="1" t="n">
        <v>46307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46307</v>
      </c>
      <c r="F536" t="inlineStr">
        <is>
          <t>SKÅNE LÄN</t>
        </is>
      </c>
      <c r="G536" t="inlineStr">
        <is>
          <t>KRISTIANSTAD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46307</v>
      </c>
      <c r="F537" t="inlineStr">
        <is>
          <t>SKÅNE LÄN</t>
        </is>
      </c>
      <c r="G537" t="inlineStr">
        <is>
          <t>KRISTIANSTAD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46307</v>
      </c>
      <c r="F538" t="inlineStr">
        <is>
          <t>SKÅNE LÄN</t>
        </is>
      </c>
      <c r="G538" t="inlineStr">
        <is>
          <t>KRISTIANSTAD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46307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45979</v>
      </c>
      <c r="E540" s="1" t="n">
        <v>46307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48693-2022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44855</v>
      </c>
      <c r="E541" s="1" t="n">
        <v>46307</v>
      </c>
      <c r="F541" t="inlineStr">
        <is>
          <t>SKÅNE LÄN</t>
        </is>
      </c>
      <c r="G541" t="inlineStr">
        <is>
          <t>KRISTIANSTAD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46307</v>
      </c>
      <c r="F542" t="inlineStr">
        <is>
          <t>SKÅNE LÄN</t>
        </is>
      </c>
      <c r="G542" t="inlineStr">
        <is>
          <t>KRISTIANSTAD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46307</v>
      </c>
      <c r="F543" t="inlineStr">
        <is>
          <t>SKÅNE LÄN</t>
        </is>
      </c>
      <c r="G543" t="inlineStr">
        <is>
          <t>KRISTIANSTAD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25671-2023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45089</v>
      </c>
      <c r="E544" s="1" t="n">
        <v>46307</v>
      </c>
      <c r="F544" t="inlineStr">
        <is>
          <t>SKÅNE LÄN</t>
        </is>
      </c>
      <c r="G544" t="inlineStr">
        <is>
          <t>KRISTIANSTAD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46307</v>
      </c>
      <c r="F545" t="inlineStr">
        <is>
          <t>SKÅNE LÄN</t>
        </is>
      </c>
      <c r="G545" t="inlineStr">
        <is>
          <t>KRISTIANSTAD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44961</v>
      </c>
      <c r="E546" s="1" t="n">
        <v>46307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59625-2022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44907</v>
      </c>
      <c r="E547" s="1" t="n">
        <v>46307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44595</v>
      </c>
      <c r="E548" s="1" t="n">
        <v>46307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61198-2021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46307</v>
      </c>
      <c r="F549" t="inlineStr">
        <is>
          <t>SKÅNE LÄN</t>
        </is>
      </c>
      <c r="G549" t="inlineStr">
        <is>
          <t>KRISTIANSTAD</t>
        </is>
      </c>
      <c r="I549" t="n">
        <v>13.8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62350-2023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45267</v>
      </c>
      <c r="E550" s="1" t="n">
        <v>46307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45110</v>
      </c>
      <c r="E551" s="1" t="n">
        <v>46307</v>
      </c>
      <c r="F551" t="inlineStr">
        <is>
          <t>SKÅNE LÄN</t>
        </is>
      </c>
      <c r="G551" t="inlineStr">
        <is>
          <t>KRISTIANSTAD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46307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46307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22504-2022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44713</v>
      </c>
      <c r="E554" s="1" t="n">
        <v>46307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17693-2024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46307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46307</v>
      </c>
      <c r="F556" t="inlineStr">
        <is>
          <t>SKÅNE LÄN</t>
        </is>
      </c>
      <c r="G556" t="inlineStr">
        <is>
          <t>KRISTIANSTAD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46307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19.8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45581</v>
      </c>
      <c r="E558" s="1" t="n">
        <v>46307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51898-2024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45607</v>
      </c>
      <c r="E559" s="1" t="n">
        <v>46307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45554</v>
      </c>
      <c r="E560" s="1" t="n">
        <v>46307</v>
      </c>
      <c r="F560" t="inlineStr">
        <is>
          <t>SKÅNE LÄN</t>
        </is>
      </c>
      <c r="G560" t="inlineStr">
        <is>
          <t>KRISTIANSTAD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40896-2024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45558</v>
      </c>
      <c r="E561" s="1" t="n">
        <v>46307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46307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44607</v>
      </c>
      <c r="E563" s="1" t="n">
        <v>46307</v>
      </c>
      <c r="F563" t="inlineStr">
        <is>
          <t>SKÅNE LÄN</t>
        </is>
      </c>
      <c r="G563" t="inlineStr">
        <is>
          <t>KRISTIANSTAD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45607</v>
      </c>
      <c r="E564" s="1" t="n">
        <v>46307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46095</v>
      </c>
      <c r="E565" s="1" t="n">
        <v>46307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46307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61550-2023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45265</v>
      </c>
      <c r="E567" s="1" t="n">
        <v>46307</v>
      </c>
      <c r="F567" t="inlineStr">
        <is>
          <t>SKÅNE LÄN</t>
        </is>
      </c>
      <c r="G567" t="inlineStr">
        <is>
          <t>KRISTIANSTAD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15957-2023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45022</v>
      </c>
      <c r="E568" s="1" t="n">
        <v>46307</v>
      </c>
      <c r="F568" t="inlineStr">
        <is>
          <t>SKÅNE LÄN</t>
        </is>
      </c>
      <c r="G568" t="inlineStr">
        <is>
          <t>KRISTIANSTAD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16131-2023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45027</v>
      </c>
      <c r="E569" s="1" t="n">
        <v>46307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54458-2023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46307</v>
      </c>
      <c r="F570" t="inlineStr">
        <is>
          <t>SKÅNE LÄN</t>
        </is>
      </c>
      <c r="G570" t="inlineStr">
        <is>
          <t>KRISTIANSTAD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45334</v>
      </c>
      <c r="E571" s="1" t="n">
        <v>46307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45405</v>
      </c>
      <c r="E572" s="1" t="n">
        <v>46307</v>
      </c>
      <c r="F572" t="inlineStr">
        <is>
          <t>SKÅNE LÄN</t>
        </is>
      </c>
      <c r="G572" t="inlineStr">
        <is>
          <t>KRISTIANSTAD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45738</v>
      </c>
      <c r="E573" s="1" t="n">
        <v>46307</v>
      </c>
      <c r="F573" t="inlineStr">
        <is>
          <t>SKÅNE LÄN</t>
        </is>
      </c>
      <c r="G573" t="inlineStr">
        <is>
          <t>KRISTIANSTAD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58477-2025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45985</v>
      </c>
      <c r="E574" s="1" t="n">
        <v>46307</v>
      </c>
      <c r="F574" t="inlineStr">
        <is>
          <t>SKÅNE LÄN</t>
        </is>
      </c>
      <c r="G574" t="inlineStr">
        <is>
          <t>KRISTIANSTAD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46307</v>
      </c>
      <c r="F575" t="inlineStr">
        <is>
          <t>SKÅNE LÄN</t>
        </is>
      </c>
      <c r="G575" t="inlineStr">
        <is>
          <t>KRISTIANSTAD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59597-2023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46307</v>
      </c>
      <c r="F576" t="inlineStr">
        <is>
          <t>SKÅNE LÄN</t>
        </is>
      </c>
      <c r="G576" t="inlineStr">
        <is>
          <t>KRISTIANSTAD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46307</v>
      </c>
      <c r="F577" t="inlineStr">
        <is>
          <t>SKÅNE LÄN</t>
        </is>
      </c>
      <c r="G577" t="inlineStr">
        <is>
          <t>KRISTIANSTAD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45348-2023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45191</v>
      </c>
      <c r="E578" s="1" t="n">
        <v>46307</v>
      </c>
      <c r="F578" t="inlineStr">
        <is>
          <t>SKÅNE LÄN</t>
        </is>
      </c>
      <c r="G578" t="inlineStr">
        <is>
          <t>KRISTIANSTAD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46307</v>
      </c>
      <c r="F579" t="inlineStr">
        <is>
          <t>SKÅNE LÄN</t>
        </is>
      </c>
      <c r="G579" t="inlineStr">
        <is>
          <t>KRISTIANSTAD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45083</v>
      </c>
      <c r="E580" s="1" t="n">
        <v>46307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27590-2024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45474</v>
      </c>
      <c r="E581" s="1" t="n">
        <v>46307</v>
      </c>
      <c r="F581" t="inlineStr">
        <is>
          <t>SKÅNE LÄN</t>
        </is>
      </c>
      <c r="G581" t="inlineStr">
        <is>
          <t>KRISTIANSTAD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62066-2022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44918</v>
      </c>
      <c r="E582" s="1" t="n">
        <v>46307</v>
      </c>
      <c r="F582" t="inlineStr">
        <is>
          <t>SKÅNE LÄN</t>
        </is>
      </c>
      <c r="G582" t="inlineStr">
        <is>
          <t>KRISTIANSTAD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46307</v>
      </c>
      <c r="F583" t="inlineStr">
        <is>
          <t>SKÅNE LÄN</t>
        </is>
      </c>
      <c r="G583" t="inlineStr">
        <is>
          <t>KRISTIANSTAD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45054</v>
      </c>
      <c r="E584" s="1" t="n">
        <v>46307</v>
      </c>
      <c r="F584" t="inlineStr">
        <is>
          <t>SKÅNE LÄN</t>
        </is>
      </c>
      <c r="G584" t="inlineStr">
        <is>
          <t>KRISTIANSTAD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44991</v>
      </c>
      <c r="E585" s="1" t="n">
        <v>46307</v>
      </c>
      <c r="F585" t="inlineStr">
        <is>
          <t>SKÅNE LÄN</t>
        </is>
      </c>
      <c r="G585" t="inlineStr">
        <is>
          <t>KRISTIANSTAD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16384-2026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46111</v>
      </c>
      <c r="E586" s="1" t="n">
        <v>46307</v>
      </c>
      <c r="F586" t="inlineStr">
        <is>
          <t>SKÅNE LÄN</t>
        </is>
      </c>
      <c r="G586" t="inlineStr">
        <is>
          <t>KRISTIANSTAD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65097-2021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44513</v>
      </c>
      <c r="E587" s="1" t="n">
        <v>46307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45465</v>
      </c>
      <c r="E588" s="1" t="n">
        <v>46307</v>
      </c>
      <c r="F588" t="inlineStr">
        <is>
          <t>SKÅNE LÄN</t>
        </is>
      </c>
      <c r="G588" t="inlineStr">
        <is>
          <t>KRISTIANSTAD</t>
        </is>
      </c>
      <c r="I588" t="n">
        <v>16.6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58879-2025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45987</v>
      </c>
      <c r="E589" s="1" t="n">
        <v>46307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45989</v>
      </c>
      <c r="E590" s="1" t="n">
        <v>46307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45989</v>
      </c>
      <c r="E591" s="1" t="n">
        <v>46307</v>
      </c>
      <c r="F591" t="inlineStr">
        <is>
          <t>SKÅNE LÄN</t>
        </is>
      </c>
      <c r="G591" t="inlineStr">
        <is>
          <t>KRISTIANSTAD</t>
        </is>
      </c>
      <c r="H591" t="inlineStr">
        <is>
          <t>Övriga Aktiebolag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45069</v>
      </c>
      <c r="E592" s="1" t="n">
        <v>46307</v>
      </c>
      <c r="F592" t="inlineStr">
        <is>
          <t>SKÅNE LÄN</t>
        </is>
      </c>
      <c r="G592" t="inlineStr">
        <is>
          <t>KRISTIANSTAD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54392-2023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45226</v>
      </c>
      <c r="E593" s="1" t="n">
        <v>46307</v>
      </c>
      <c r="F593" t="inlineStr">
        <is>
          <t>SKÅNE LÄN</t>
        </is>
      </c>
      <c r="G593" t="inlineStr">
        <is>
          <t>KRISTIANSTAD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46307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46307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46307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46307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46307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46307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46307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46307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46307</v>
      </c>
      <c r="F602" t="inlineStr">
        <is>
          <t>SKÅNE LÄN</t>
        </is>
      </c>
      <c r="G602" t="inlineStr">
        <is>
          <t>KRISTIANSTAD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46307</v>
      </c>
      <c r="F603" t="inlineStr">
        <is>
          <t>SKÅNE LÄN</t>
        </is>
      </c>
      <c r="G603" t="inlineStr">
        <is>
          <t>KRISTIANSTAD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46307</v>
      </c>
      <c r="F604" t="inlineStr">
        <is>
          <t>SKÅNE LÄN</t>
        </is>
      </c>
      <c r="G604" t="inlineStr">
        <is>
          <t>KRISTIANSTAD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46307</v>
      </c>
      <c r="F605" t="inlineStr">
        <is>
          <t>SKÅNE LÄN</t>
        </is>
      </c>
      <c r="G605" t="inlineStr">
        <is>
          <t>KRISTIANSTAD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46307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46307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44601</v>
      </c>
      <c r="E608" s="1" t="n">
        <v>46307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46307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45777</v>
      </c>
      <c r="E610" s="1" t="n">
        <v>46307</v>
      </c>
      <c r="F610" t="inlineStr">
        <is>
          <t>SKÅNE LÄN</t>
        </is>
      </c>
      <c r="G610" t="inlineStr">
        <is>
          <t>KRISTIANSTAD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46307</v>
      </c>
      <c r="F611" t="inlineStr">
        <is>
          <t>SKÅNE LÄN</t>
        </is>
      </c>
      <c r="G611" t="inlineStr">
        <is>
          <t>KRISTIANSTAD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45482</v>
      </c>
      <c r="E612" s="1" t="n">
        <v>46307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62685-2025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46307</v>
      </c>
      <c r="F613" t="inlineStr">
        <is>
          <t>SKÅNE LÄN</t>
        </is>
      </c>
      <c r="G613" t="inlineStr">
        <is>
          <t>KRISTIANSTAD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46307</v>
      </c>
      <c r="F614" t="inlineStr">
        <is>
          <t>SKÅNE LÄN</t>
        </is>
      </c>
      <c r="G614" t="inlineStr">
        <is>
          <t>KRISTIANSTAD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47652-2023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45198</v>
      </c>
      <c r="E615" s="1" t="n">
        <v>46307</v>
      </c>
      <c r="F615" t="inlineStr">
        <is>
          <t>SKÅNE LÄN</t>
        </is>
      </c>
      <c r="G615" t="inlineStr">
        <is>
          <t>KRISTIANSTAD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45749</v>
      </c>
      <c r="E616" s="1" t="n">
        <v>46307</v>
      </c>
      <c r="F616" t="inlineStr">
        <is>
          <t>SKÅNE LÄN</t>
        </is>
      </c>
      <c r="G616" t="inlineStr">
        <is>
          <t>KRISTIANSTAD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46307</v>
      </c>
      <c r="F617" t="inlineStr">
        <is>
          <t>SKÅNE LÄN</t>
        </is>
      </c>
      <c r="G617" t="inlineStr">
        <is>
          <t>KRISTIANSTAD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45233</v>
      </c>
      <c r="E618" s="1" t="n">
        <v>46307</v>
      </c>
      <c r="F618" t="inlineStr">
        <is>
          <t>SKÅNE LÄN</t>
        </is>
      </c>
      <c r="G618" t="inlineStr">
        <is>
          <t>KRISTIANSTAD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45331</v>
      </c>
      <c r="E619" s="1" t="n">
        <v>46307</v>
      </c>
      <c r="F619" t="inlineStr">
        <is>
          <t>SKÅNE LÄN</t>
        </is>
      </c>
      <c r="G619" t="inlineStr">
        <is>
          <t>KRISTIANSTAD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46307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46307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44858</v>
      </c>
      <c r="E622" s="1" t="n">
        <v>46307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44572</v>
      </c>
      <c r="E623" s="1" t="n">
        <v>46307</v>
      </c>
      <c r="F623" t="inlineStr">
        <is>
          <t>SKÅNE LÄN</t>
        </is>
      </c>
      <c r="G623" t="inlineStr">
        <is>
          <t>KRISTIANSTAD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46307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25711-2025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45803</v>
      </c>
      <c r="E625" s="1" t="n">
        <v>46307</v>
      </c>
      <c r="F625" t="inlineStr">
        <is>
          <t>SKÅNE LÄN</t>
        </is>
      </c>
      <c r="G625" t="inlineStr">
        <is>
          <t>KRISTIANSTAD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44743</v>
      </c>
      <c r="E626" s="1" t="n">
        <v>46307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44767</v>
      </c>
      <c r="E627" s="1" t="n">
        <v>46307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48217-2022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44853</v>
      </c>
      <c r="E628" s="1" t="n">
        <v>46307</v>
      </c>
      <c r="F628" t="inlineStr">
        <is>
          <t>SKÅNE LÄN</t>
        </is>
      </c>
      <c r="G628" t="inlineStr">
        <is>
          <t>KRISTIANSTAD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45229</v>
      </c>
      <c r="E629" s="1" t="n">
        <v>46307</v>
      </c>
      <c r="F629" t="inlineStr">
        <is>
          <t>SKÅNE LÄN</t>
        </is>
      </c>
      <c r="G629" t="inlineStr">
        <is>
          <t>KRISTIANSTAD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53466-2022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44879</v>
      </c>
      <c r="E630" s="1" t="n">
        <v>46307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20302-2026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46136</v>
      </c>
      <c r="E631" s="1" t="n">
        <v>46307</v>
      </c>
      <c r="F631" t="inlineStr">
        <is>
          <t>SKÅNE LÄN</t>
        </is>
      </c>
      <c r="G631" t="inlineStr">
        <is>
          <t>KRISTIANSTAD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9794-2023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44984</v>
      </c>
      <c r="E632" s="1" t="n">
        <v>46307</v>
      </c>
      <c r="F632" t="inlineStr">
        <is>
          <t>SKÅNE LÄN</t>
        </is>
      </c>
      <c r="G632" t="inlineStr">
        <is>
          <t>KRISTIANSTAD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46307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62156-2022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46307</v>
      </c>
      <c r="F634" t="inlineStr">
        <is>
          <t>SKÅNE LÄN</t>
        </is>
      </c>
      <c r="G634" t="inlineStr">
        <is>
          <t>KRISTIANSTAD</t>
        </is>
      </c>
      <c r="H634" t="inlineStr">
        <is>
          <t>Kyrkan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46307</v>
      </c>
      <c r="F635" t="inlineStr">
        <is>
          <t>SKÅNE LÄN</t>
        </is>
      </c>
      <c r="G635" t="inlineStr">
        <is>
          <t>KRISTIANSTAD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45461</v>
      </c>
      <c r="E636" s="1" t="n">
        <v>46307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46307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46307</v>
      </c>
      <c r="F638" t="inlineStr">
        <is>
          <t>SKÅNE LÄN</t>
        </is>
      </c>
      <c r="G638" t="inlineStr">
        <is>
          <t>KRISTIANSTAD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46307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46307</v>
      </c>
      <c r="F640" t="inlineStr">
        <is>
          <t>SKÅNE LÄN</t>
        </is>
      </c>
      <c r="G640" t="inlineStr">
        <is>
          <t>KRISTIANSTAD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52064-2024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45608</v>
      </c>
      <c r="E641" s="1" t="n">
        <v>46307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45338</v>
      </c>
      <c r="E642" s="1" t="n">
        <v>46307</v>
      </c>
      <c r="F642" t="inlineStr">
        <is>
          <t>SKÅNE LÄN</t>
        </is>
      </c>
      <c r="G642" t="inlineStr">
        <is>
          <t>KRISTIANSTAD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45426</v>
      </c>
      <c r="E643" s="1" t="n">
        <v>46307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46307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46031</v>
      </c>
      <c r="E645" s="1" t="n">
        <v>46307</v>
      </c>
      <c r="F645" t="inlineStr">
        <is>
          <t>SKÅNE LÄN</t>
        </is>
      </c>
      <c r="G645" t="inlineStr">
        <is>
          <t>KRISTIANSTAD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46307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53982-2022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44876</v>
      </c>
      <c r="E647" s="1" t="n">
        <v>46307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46307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46042</v>
      </c>
      <c r="E649" s="1" t="n">
        <v>46307</v>
      </c>
      <c r="F649" t="inlineStr">
        <is>
          <t>SKÅNE LÄN</t>
        </is>
      </c>
      <c r="G649" t="inlineStr">
        <is>
          <t>KRISTIANSTAD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44853</v>
      </c>
      <c r="E650" s="1" t="n">
        <v>46307</v>
      </c>
      <c r="F650" t="inlineStr">
        <is>
          <t>SKÅNE LÄN</t>
        </is>
      </c>
      <c r="G650" t="inlineStr">
        <is>
          <t>KRISTIANSTAD</t>
        </is>
      </c>
      <c r="H650" t="inlineStr">
        <is>
          <t>Kyrkan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18146-2022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44684</v>
      </c>
      <c r="E651" s="1" t="n">
        <v>46307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11067-2022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44628</v>
      </c>
      <c r="E652" s="1" t="n">
        <v>46307</v>
      </c>
      <c r="F652" t="inlineStr">
        <is>
          <t>SKÅNE LÄN</t>
        </is>
      </c>
      <c r="G652" t="inlineStr">
        <is>
          <t>KRISTIANSTAD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46307</v>
      </c>
      <c r="F653" t="inlineStr">
        <is>
          <t>SKÅNE LÄN</t>
        </is>
      </c>
      <c r="G653" t="inlineStr">
        <is>
          <t>KRISTIANSTAD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46307</v>
      </c>
      <c r="F654" t="inlineStr">
        <is>
          <t>SKÅNE LÄN</t>
        </is>
      </c>
      <c r="G654" t="inlineStr">
        <is>
          <t>KRISTIANSTAD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46307</v>
      </c>
      <c r="F655" t="inlineStr">
        <is>
          <t>SKÅNE LÄN</t>
        </is>
      </c>
      <c r="G655" t="inlineStr">
        <is>
          <t>KRISTIANSTAD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46307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46307</v>
      </c>
      <c r="F657" t="inlineStr">
        <is>
          <t>SKÅNE LÄN</t>
        </is>
      </c>
      <c r="G657" t="inlineStr">
        <is>
          <t>KRISTIANSTAD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46307</v>
      </c>
      <c r="F658" t="inlineStr">
        <is>
          <t>SKÅNE LÄN</t>
        </is>
      </c>
      <c r="G658" t="inlineStr">
        <is>
          <t>KRISTIANSTAD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46307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46307</v>
      </c>
      <c r="F660" t="inlineStr">
        <is>
          <t>SKÅNE LÄN</t>
        </is>
      </c>
      <c r="G660" t="inlineStr">
        <is>
          <t>KRISTIANSTAD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46307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45664</v>
      </c>
      <c r="E662" s="1" t="n">
        <v>46307</v>
      </c>
      <c r="F662" t="inlineStr">
        <is>
          <t>SKÅNE LÄN</t>
        </is>
      </c>
      <c r="G662" t="inlineStr">
        <is>
          <t>KRISTIANSTAD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46307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44923</v>
      </c>
      <c r="E664" s="1" t="n">
        <v>46307</v>
      </c>
      <c r="F664" t="inlineStr">
        <is>
          <t>SKÅNE LÄN</t>
        </is>
      </c>
      <c r="G664" t="inlineStr">
        <is>
          <t>KRISTIANSTAD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46307</v>
      </c>
      <c r="F665" t="inlineStr">
        <is>
          <t>SKÅNE LÄN</t>
        </is>
      </c>
      <c r="G665" t="inlineStr">
        <is>
          <t>KRISTIANSTAD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44991</v>
      </c>
      <c r="E666" s="1" t="n">
        <v>46307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44645</v>
      </c>
      <c r="E667" s="1" t="n">
        <v>46307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20651-2026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46141</v>
      </c>
      <c r="E668" s="1" t="n">
        <v>46307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46307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46307</v>
      </c>
      <c r="F670" t="inlineStr">
        <is>
          <t>SKÅNE LÄN</t>
        </is>
      </c>
      <c r="G670" t="inlineStr">
        <is>
          <t>KRISTIANSTAD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46307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46307</v>
      </c>
      <c r="F672" t="inlineStr">
        <is>
          <t>SKÅNE LÄN</t>
        </is>
      </c>
      <c r="G672" t="inlineStr">
        <is>
          <t>KRISTIANSTAD</t>
        </is>
      </c>
      <c r="I672" t="n">
        <v>10.1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21851-2026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46307</v>
      </c>
      <c r="F673" t="inlineStr">
        <is>
          <t>SKÅNE LÄN</t>
        </is>
      </c>
      <c r="G673" t="inlineStr">
        <is>
          <t>KRISTIANSTAD</t>
        </is>
      </c>
      <c r="H673" t="inlineStr">
        <is>
          <t>Kommuner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22116-2026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46307</v>
      </c>
      <c r="F674" t="inlineStr">
        <is>
          <t>SKÅNE LÄN</t>
        </is>
      </c>
      <c r="G674" t="inlineStr">
        <is>
          <t>KRISTIANSTAD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46307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46083</v>
      </c>
      <c r="E676" s="1" t="n">
        <v>46307</v>
      </c>
      <c r="F676" t="inlineStr">
        <is>
          <t>SKÅNE LÄN</t>
        </is>
      </c>
      <c r="G676" t="inlineStr">
        <is>
          <t>KRISTIANSTAD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45894</v>
      </c>
      <c r="E677" s="1" t="n">
        <v>46307</v>
      </c>
      <c r="F677" t="inlineStr">
        <is>
          <t>SKÅNE LÄN</t>
        </is>
      </c>
      <c r="G677" t="inlineStr">
        <is>
          <t>KRISTIANSTAD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46307</v>
      </c>
      <c r="F678" t="inlineStr">
        <is>
          <t>SKÅNE LÄN</t>
        </is>
      </c>
      <c r="G678" t="inlineStr">
        <is>
          <t>KRISTIANSTAD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45882</v>
      </c>
      <c r="E679" s="1" t="n">
        <v>46307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46307</v>
      </c>
      <c r="F680" t="inlineStr">
        <is>
          <t>SKÅNE LÄN</t>
        </is>
      </c>
      <c r="G680" t="inlineStr">
        <is>
          <t>KRISTIANSTAD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40000-2025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45894</v>
      </c>
      <c r="E681" s="1" t="n">
        <v>46307</v>
      </c>
      <c r="F681" t="inlineStr">
        <is>
          <t>SKÅNE LÄN</t>
        </is>
      </c>
      <c r="G681" t="inlineStr">
        <is>
          <t>KRISTIANSTAD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45723</v>
      </c>
      <c r="E682" s="1" t="n">
        <v>46307</v>
      </c>
      <c r="F682" t="inlineStr">
        <is>
          <t>SKÅNE LÄN</t>
        </is>
      </c>
      <c r="G682" t="inlineStr">
        <is>
          <t>KRISTIANSTAD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46307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2472-2022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44579</v>
      </c>
      <c r="E684" s="1" t="n">
        <v>46307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23497-2024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45453</v>
      </c>
      <c r="E685" s="1" t="n">
        <v>46307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46307</v>
      </c>
      <c r="F686" t="inlineStr">
        <is>
          <t>SKÅNE LÄN</t>
        </is>
      </c>
      <c r="G686" t="inlineStr">
        <is>
          <t>KRISTIANSTAD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46307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12839-2026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46092</v>
      </c>
      <c r="E688" s="1" t="n">
        <v>46307</v>
      </c>
      <c r="F688" t="inlineStr">
        <is>
          <t>SKÅNE LÄN</t>
        </is>
      </c>
      <c r="G688" t="inlineStr">
        <is>
          <t>KRISTIANSTAD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46307</v>
      </c>
      <c r="F689" t="inlineStr">
        <is>
          <t>SKÅNE LÄN</t>
        </is>
      </c>
      <c r="G689" t="inlineStr">
        <is>
          <t>KRISTIANSTAD</t>
        </is>
      </c>
      <c r="H689" t="inlineStr">
        <is>
          <t>Övriga Aktiebolag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36907-2025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45874</v>
      </c>
      <c r="E690" s="1" t="n">
        <v>46307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46307</v>
      </c>
      <c r="F691" t="inlineStr">
        <is>
          <t>SKÅNE LÄN</t>
        </is>
      </c>
      <c r="G691" t="inlineStr">
        <is>
          <t>KRISTIANSTAD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45903</v>
      </c>
      <c r="E692" s="1" t="n">
        <v>46307</v>
      </c>
      <c r="F692" t="inlineStr">
        <is>
          <t>SKÅNE LÄN</t>
        </is>
      </c>
      <c r="G692" t="inlineStr">
        <is>
          <t>KRISTIANSTAD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46307</v>
      </c>
      <c r="F693" t="inlineStr">
        <is>
          <t>SKÅNE LÄN</t>
        </is>
      </c>
      <c r="G693" t="inlineStr">
        <is>
          <t>KRISTIANSTAD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45882</v>
      </c>
      <c r="E694" s="1" t="n">
        <v>46307</v>
      </c>
      <c r="F694" t="inlineStr">
        <is>
          <t>SKÅNE LÄN</t>
        </is>
      </c>
      <c r="G694" t="inlineStr">
        <is>
          <t>KRISTIANSTAD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18744-2025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45763</v>
      </c>
      <c r="E695" s="1" t="n">
        <v>46307</v>
      </c>
      <c r="F695" t="inlineStr">
        <is>
          <t>SKÅNE LÄN</t>
        </is>
      </c>
      <c r="G695" t="inlineStr">
        <is>
          <t>KRISTIANSTAD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45579</v>
      </c>
      <c r="E696" s="1" t="n">
        <v>46307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49143-2025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45938</v>
      </c>
      <c r="E697" s="1" t="n">
        <v>46307</v>
      </c>
      <c r="F697" t="inlineStr">
        <is>
          <t>SKÅNE LÄN</t>
        </is>
      </c>
      <c r="G697" t="inlineStr">
        <is>
          <t>KRISTIANSTAD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46793-2025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45926</v>
      </c>
      <c r="E698" s="1" t="n">
        <v>46307</v>
      </c>
      <c r="F698" t="inlineStr">
        <is>
          <t>SKÅNE LÄN</t>
        </is>
      </c>
      <c r="G698" t="inlineStr">
        <is>
          <t>KRISTIANSTAD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46177</v>
      </c>
      <c r="E699" s="1" t="n">
        <v>46307</v>
      </c>
      <c r="F699" t="inlineStr">
        <is>
          <t>SKÅNE LÄN</t>
        </is>
      </c>
      <c r="G699" t="inlineStr">
        <is>
          <t>KRISTIANSTAD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27287-2025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45812</v>
      </c>
      <c r="E700" s="1" t="n">
        <v>46307</v>
      </c>
      <c r="F700" t="inlineStr">
        <is>
          <t>SKÅNE LÄN</t>
        </is>
      </c>
      <c r="G700" t="inlineStr">
        <is>
          <t>KRISTIANSTAD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46307</v>
      </c>
      <c r="F701" t="inlineStr">
        <is>
          <t>SKÅNE LÄN</t>
        </is>
      </c>
      <c r="G701" t="inlineStr">
        <is>
          <t>KRISTIANSTAD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46307</v>
      </c>
      <c r="F702" t="inlineStr">
        <is>
          <t>SKÅNE LÄN</t>
        </is>
      </c>
      <c r="G702" t="inlineStr">
        <is>
          <t>KRISTIANSTAD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41636-2025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45902</v>
      </c>
      <c r="E703" s="1" t="n">
        <v>46307</v>
      </c>
      <c r="F703" t="inlineStr">
        <is>
          <t>SKÅNE LÄN</t>
        </is>
      </c>
      <c r="G703" t="inlineStr">
        <is>
          <t>KRISTIANSTAD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46307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46307</v>
      </c>
      <c r="F705" t="inlineStr">
        <is>
          <t>SKÅNE LÄN</t>
        </is>
      </c>
      <c r="G705" t="inlineStr">
        <is>
          <t>KRISTIANSTAD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46307</v>
      </c>
      <c r="F706" t="inlineStr">
        <is>
          <t>SKÅNE LÄN</t>
        </is>
      </c>
      <c r="G706" t="inlineStr">
        <is>
          <t>KRISTIANSTAD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8804-2025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46307</v>
      </c>
      <c r="F707" t="inlineStr">
        <is>
          <t>SKÅNE LÄN</t>
        </is>
      </c>
      <c r="G707" t="inlineStr">
        <is>
          <t>KRISTIANSTAD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46307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46307</v>
      </c>
      <c r="F709" t="inlineStr">
        <is>
          <t>SKÅNE LÄN</t>
        </is>
      </c>
      <c r="G709" t="inlineStr">
        <is>
          <t>KRISTIANSTAD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46307</v>
      </c>
      <c r="F710" t="inlineStr">
        <is>
          <t>SKÅNE LÄN</t>
        </is>
      </c>
      <c r="G710" t="inlineStr">
        <is>
          <t>KRISTIANSTAD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46307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30851-2026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46212</v>
      </c>
      <c r="E712" s="1" t="n">
        <v>46307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46214</v>
      </c>
      <c r="E713" s="1" t="n">
        <v>46307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46212</v>
      </c>
      <c r="E714" s="1" t="n">
        <v>46307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46212</v>
      </c>
      <c r="E715" s="1" t="n">
        <v>46307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31219-2026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46217</v>
      </c>
      <c r="E716" s="1" t="n">
        <v>46307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31292-2026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46218</v>
      </c>
      <c r="E717" s="1" t="n">
        <v>46307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46307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46222</v>
      </c>
      <c r="E719" s="1" t="n">
        <v>46307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46271</v>
      </c>
      <c r="E720" s="1" t="n">
        <v>46307</v>
      </c>
      <c r="F720" t="inlineStr">
        <is>
          <t>SKÅNE LÄN</t>
        </is>
      </c>
      <c r="G720" t="inlineStr">
        <is>
          <t>KRISTIANSTAD</t>
        </is>
      </c>
      <c r="H720" t="inlineStr">
        <is>
          <t>Övriga Aktiebolag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46271</v>
      </c>
      <c r="E721" s="1" t="n">
        <v>46307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46307</v>
      </c>
      <c r="F722" t="inlineStr">
        <is>
          <t>SKÅNE LÄN</t>
        </is>
      </c>
      <c r="G722" t="inlineStr">
        <is>
          <t>KRISTIANSTAD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36833-2026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46272</v>
      </c>
      <c r="E723" s="1" t="n">
        <v>46307</v>
      </c>
      <c r="F723" t="inlineStr">
        <is>
          <t>SKÅNE LÄN</t>
        </is>
      </c>
      <c r="G723" t="inlineStr">
        <is>
          <t>KRISTIANSTAD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36902-2026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46273</v>
      </c>
      <c r="E724" s="1" t="n">
        <v>46307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46307</v>
      </c>
      <c r="F725" t="inlineStr">
        <is>
          <t>SKÅNE LÄN</t>
        </is>
      </c>
      <c r="G725" t="inlineStr">
        <is>
          <t>KRISTIANSTAD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46307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46307</v>
      </c>
      <c r="F727" t="inlineStr">
        <is>
          <t>SKÅNE LÄN</t>
        </is>
      </c>
      <c r="G727" t="inlineStr">
        <is>
          <t>KRISTIANSTAD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46307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46307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46307</v>
      </c>
      <c r="F730" t="inlineStr">
        <is>
          <t>SKÅNE LÄN</t>
        </is>
      </c>
      <c r="G730" t="inlineStr">
        <is>
          <t>KRISTIANSTAD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46307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38072-2026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46280</v>
      </c>
      <c r="E732" s="1" t="n">
        <v>46307</v>
      </c>
      <c r="F732" t="inlineStr">
        <is>
          <t>SKÅNE LÄN</t>
        </is>
      </c>
      <c r="G732" t="inlineStr">
        <is>
          <t>KRISTIANSTAD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38719-2026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46284</v>
      </c>
      <c r="E733" s="1" t="n">
        <v>46307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39230-2026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46307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39229-2026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46307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46271</v>
      </c>
      <c r="E736" s="1" t="n">
        <v>46307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46307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46307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46307</v>
      </c>
      <c r="F739" t="inlineStr">
        <is>
          <t>SKÅNE LÄN</t>
        </is>
      </c>
      <c r="G739" t="inlineStr">
        <is>
          <t>KRISTIANSTAD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36838-2026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46272</v>
      </c>
      <c r="E740" s="1" t="n">
        <v>46307</v>
      </c>
      <c r="F740" t="inlineStr">
        <is>
          <t>SKÅNE LÄN</t>
        </is>
      </c>
      <c r="G740" t="inlineStr">
        <is>
          <t>KRISTIANSTAD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46271</v>
      </c>
      <c r="E741" s="1" t="n">
        <v>46307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27402-2026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46189</v>
      </c>
      <c r="E742" s="1" t="n">
        <v>46307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46307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46307</v>
      </c>
      <c r="F744" t="inlineStr">
        <is>
          <t>SKÅNE LÄN</t>
        </is>
      </c>
      <c r="G744" t="inlineStr">
        <is>
          <t>KRISTIANSTAD</t>
        </is>
      </c>
      <c r="I744" t="n">
        <v>8.9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46250</v>
      </c>
      <c r="E745" s="1" t="n">
        <v>46307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46289</v>
      </c>
      <c r="E746" s="1" t="n">
        <v>46307</v>
      </c>
      <c r="F746" t="inlineStr">
        <is>
          <t>SKÅNE LÄN</t>
        </is>
      </c>
      <c r="G746" t="inlineStr">
        <is>
          <t>KRISTIANSTAD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46250</v>
      </c>
      <c r="E747" s="1" t="n">
        <v>46307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46307</v>
      </c>
      <c r="F748" t="inlineStr">
        <is>
          <t>SKÅNE LÄN</t>
        </is>
      </c>
      <c r="G748" t="inlineStr">
        <is>
          <t>KRISTIANSTAD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34291-2026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46253</v>
      </c>
      <c r="E749" s="1" t="n">
        <v>46307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40785-2026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46295</v>
      </c>
      <c r="E750" s="1" t="n">
        <v>46307</v>
      </c>
      <c r="F750" t="inlineStr">
        <is>
          <t>SKÅNE LÄN</t>
        </is>
      </c>
      <c r="G750" t="inlineStr">
        <is>
          <t>KRISTIANSTAD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40835-2026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46296</v>
      </c>
      <c r="E751" s="1" t="n">
        <v>46307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46307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46307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46307</v>
      </c>
      <c r="F754" t="inlineStr">
        <is>
          <t>SKÅNE LÄN</t>
        </is>
      </c>
      <c r="G754" t="inlineStr">
        <is>
          <t>KRISTIANSTAD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46006</v>
      </c>
      <c r="E755" s="1" t="n">
        <v>46307</v>
      </c>
      <c r="F755" t="inlineStr">
        <is>
          <t>SKÅNE LÄN</t>
        </is>
      </c>
      <c r="G755" t="inlineStr">
        <is>
          <t>KRISTIANSTAD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15111-2023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45015</v>
      </c>
      <c r="E756" s="1" t="n">
        <v>46307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46256</v>
      </c>
      <c r="E757" s="1" t="n">
        <v>46307</v>
      </c>
      <c r="F757" t="inlineStr">
        <is>
          <t>SKÅNE LÄN</t>
        </is>
      </c>
      <c r="G757" t="inlineStr">
        <is>
          <t>KRISTIANSTAD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46307</v>
      </c>
      <c r="F758" t="inlineStr">
        <is>
          <t>SKÅNE LÄN</t>
        </is>
      </c>
      <c r="G758" t="inlineStr">
        <is>
          <t>KRISTIANSTAD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41092-2026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46300</v>
      </c>
      <c r="E759" s="1" t="n">
        <v>46307</v>
      </c>
      <c r="F759" t="inlineStr">
        <is>
          <t>SKÅNE LÄN</t>
        </is>
      </c>
      <c r="G759" t="inlineStr">
        <is>
          <t>KRISTIANSTAD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46307</v>
      </c>
      <c r="F760" t="inlineStr">
        <is>
          <t>SKÅNE LÄN</t>
        </is>
      </c>
      <c r="G760" t="inlineStr">
        <is>
          <t>KRISTIANSTAD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46307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46307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46255</v>
      </c>
      <c r="E763" s="1" t="n">
        <v>46307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27561-2026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46190</v>
      </c>
      <c r="E764" s="1" t="n">
        <v>46307</v>
      </c>
      <c r="F764" t="inlineStr">
        <is>
          <t>SKÅNE LÄN</t>
        </is>
      </c>
      <c r="G764" t="inlineStr">
        <is>
          <t>KRISTIANSTAD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46307</v>
      </c>
      <c r="F765" t="inlineStr">
        <is>
          <t>SKÅNE LÄN</t>
        </is>
      </c>
      <c r="G765" t="inlineStr">
        <is>
          <t>KRISTIANSTAD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46307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46307</v>
      </c>
      <c r="F767" t="inlineStr">
        <is>
          <t>SKÅNE LÄN</t>
        </is>
      </c>
      <c r="G767" t="inlineStr">
        <is>
          <t>KRISTIANSTAD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46307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2146-2022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44676</v>
      </c>
      <c r="E769" s="1" t="n">
        <v>46307</v>
      </c>
      <c r="F769" t="inlineStr">
        <is>
          <t>SKÅNE LÄN</t>
        </is>
      </c>
      <c r="G769" t="inlineStr">
        <is>
          <t>KRISTIANSTAD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46307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46307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46307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46307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46307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46307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46307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46307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46307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46307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46307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46307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46307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46307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46307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46307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46307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46307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46307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46307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46307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46307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46307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46307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46307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46307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46307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46307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46307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2026-10-12T02:02:42Z</dcterms:modified>
</cp:coreProperties>
</file>