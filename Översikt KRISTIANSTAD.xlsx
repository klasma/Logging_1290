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46235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46235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46235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46235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46235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46235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46235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25081-2026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46174</v>
      </c>
      <c r="E12" s="1" t="n">
        <v>46235</v>
      </c>
      <c r="F12" t="inlineStr">
        <is>
          <t>SKÅNE LÄN</t>
        </is>
      </c>
      <c r="G12" t="inlineStr">
        <is>
          <t>KRISTIANSTAD</t>
        </is>
      </c>
      <c r="H12" t="inlineStr">
        <is>
          <t>Kommuner</t>
        </is>
      </c>
      <c r="I12" t="n">
        <v>5</v>
      </c>
      <c r="J12" t="n">
        <v>4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8</v>
      </c>
      <c r="T12" t="n">
        <v>12</v>
      </c>
      <c r="U12" t="n">
        <v>3</v>
      </c>
      <c r="V12" s="2" t="inlineStr">
        <is>
          <t>Entita
Grönsångare
Brandticka
Glansfläck
Rankstarr
Stjärnstarr
Skogsduva
Trana</t>
        </is>
      </c>
      <c r="W12">
        <f>HYPERLINK("https://klasma.github.io/Logging_1290/artfynd/A 25081-2026 artfynd.xlsx", "A 25081-2026")</f>
        <v/>
      </c>
      <c r="X12">
        <f>HYPERLINK("https://klasma.github.io/Logging_1290/kartor/A 25081-2026 karta.png", "A 25081-2026")</f>
        <v/>
      </c>
      <c r="Y12">
        <f>HYPERLINK("https://klasma.github.io/Logging_1290/kartor_geotiff/A 25081-2026 georefererad karta.tif", "A 25081-2026")</f>
        <v/>
      </c>
      <c r="AA12">
        <f>HYPERLINK("https://klasma.github.io/Logging_1290/klagomål/A 25081-2026 FSC-klagomål.docx", "A 25081-2026")</f>
        <v/>
      </c>
      <c r="AB12">
        <f>HYPERLINK("https://klasma.github.io/Logging_1290/klagomålsmail/A 25081-2026 FSC-klagomål mail.docx", "A 25081-2026")</f>
        <v/>
      </c>
      <c r="AC12">
        <f>HYPERLINK("https://klasma.github.io/Logging_1290/tillsyn/A 25081-2026 tillsynsbegäran.docx", "A 25081-2026")</f>
        <v/>
      </c>
      <c r="AD12">
        <f>HYPERLINK("https://klasma.github.io/Logging_1290/tillsynsmail/A 25081-2026 tillsynsbegäran mail.docx", "A 25081-2026")</f>
        <v/>
      </c>
      <c r="AE12">
        <f>HYPERLINK("https://klasma.github.io/Logging_1290/fåglar/A 25081-2026 prioriterade fågelarter.docx", "A 25081-2026")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46235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46235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46235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46235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46235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46235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46235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46235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46235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Gulplister
Gulsippa
Humleblomster
Vitsippa
Skogsödla</t>
        </is>
      </c>
      <c r="W21">
        <f>HYPERLINK("https://klasma.github.io/Logging_1290/artfynd/A 20310-2026 artfynd.xlsx", "A 20310-2026")</f>
        <v/>
      </c>
      <c r="X21">
        <f>HYPERLINK("https://klasma.github.io/Logging_1290/kartor/A 20310-2026 karta.png", "A 20310-2026")</f>
        <v/>
      </c>
      <c r="Y21">
        <f>HYPERLINK("https://klasma.github.io/Logging_1290/kartor_geotiff/A 20310-2026 georefererad karta.tif", "A 20310-2026")</f>
        <v/>
      </c>
      <c r="AA21">
        <f>HYPERLINK("https://klasma.github.io/Logging_1290/klagomål/A 20310-2026 FSC-klagomål.docx", "A 20310-2026")</f>
        <v/>
      </c>
      <c r="AB21">
        <f>HYPERLINK("https://klasma.github.io/Logging_1290/klagomålsmail/A 20310-2026 FSC-klagomål mail.docx", "A 20310-2026")</f>
        <v/>
      </c>
      <c r="AC21">
        <f>HYPERLINK("https://klasma.github.io/Logging_1290/tillsyn/A 20310-2026 tillsynsbegäran.docx", "A 20310-2026")</f>
        <v/>
      </c>
      <c r="AD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46235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46235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46235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46235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46235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46235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46235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46235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46235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46235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46235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46235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46235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46235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46235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46235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46235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46235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46235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46235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46235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46235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46235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46235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52039-2021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46235</v>
      </c>
      <c r="F46" t="inlineStr">
        <is>
          <t>SKÅNE LÄN</t>
        </is>
      </c>
      <c r="G46" t="inlineStr">
        <is>
          <t>KRISTIANSTAD</t>
        </is>
      </c>
      <c r="I46" t="n">
        <v>3.1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Entita
Järnsparv
Gullviva</t>
        </is>
      </c>
      <c r="W46">
        <f>HYPERLINK("https://klasma.github.io/Logging_1290/artfynd/A 52039-2021 artfynd.xlsx", "A 52039-2021")</f>
        <v/>
      </c>
      <c r="X46">
        <f>HYPERLINK("https://klasma.github.io/Logging_1290/kartor/A 52039-2021 karta.png", "A 52039-2021")</f>
        <v/>
      </c>
      <c r="Y46">
        <f>HYPERLINK("https://klasma.github.io/Logging_1290/kartor_geotiff/A 52039-2021 georefererad karta.tif", "A 52039-2021")</f>
        <v/>
      </c>
      <c r="AA46">
        <f>HYPERLINK("https://klasma.github.io/Logging_1290/klagomål/A 52039-2021 FSC-klagomål.docx", "A 52039-2021")</f>
        <v/>
      </c>
      <c r="AB46">
        <f>HYPERLINK("https://klasma.github.io/Logging_1290/klagomålsmail/A 52039-2021 FSC-klagomål mail.docx", "A 52039-2021")</f>
        <v/>
      </c>
      <c r="AC46">
        <f>HYPERLINK("https://klasma.github.io/Logging_1290/tillsyn/A 52039-2021 tillsynsbegäran.docx", "A 52039-2021")</f>
        <v/>
      </c>
      <c r="AD46">
        <f>HYPERLINK("https://klasma.github.io/Logging_1290/tillsynsmail/A 52039-2021 tillsynsbegäran mail.docx", "A 52039-2021")</f>
        <v/>
      </c>
      <c r="AE46">
        <f>HYPERLINK("https://klasma.github.io/Logging_1290/fåglar/A 52039-2021 prioriterade fågelarter.docx", "A 52039-2021")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46235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33364-2023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46235</v>
      </c>
      <c r="F48" t="inlineStr">
        <is>
          <t>SKÅNE LÄN</t>
        </is>
      </c>
      <c r="G48" t="inlineStr">
        <is>
          <t>KRISTIANSTAD</t>
        </is>
      </c>
      <c r="I48" t="n">
        <v>4.9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Västlig hakmossa
Röd glada
Större vattensalamander</t>
        </is>
      </c>
      <c r="W48">
        <f>HYPERLINK("https://klasma.github.io/Logging_1290/artfynd/A 33364-2023 artfynd.xlsx", "A 33364-2023")</f>
        <v/>
      </c>
      <c r="X48">
        <f>HYPERLINK("https://klasma.github.io/Logging_1290/kartor/A 33364-2023 karta.png", "A 33364-2023")</f>
        <v/>
      </c>
      <c r="Y48">
        <f>HYPERLINK("https://klasma.github.io/Logging_1290/kartor_geotiff/A 33364-2023 georefererad karta.tif", "A 33364-2023")</f>
        <v/>
      </c>
      <c r="AA48">
        <f>HYPERLINK("https://klasma.github.io/Logging_1290/klagomål/A 33364-2023 FSC-klagomål.docx", "A 33364-2023")</f>
        <v/>
      </c>
      <c r="AB48">
        <f>HYPERLINK("https://klasma.github.io/Logging_1290/klagomålsmail/A 33364-2023 FSC-klagomål mail.docx", "A 33364-2023")</f>
        <v/>
      </c>
      <c r="AC48">
        <f>HYPERLINK("https://klasma.github.io/Logging_1290/tillsyn/A 33364-2023 tillsynsbegäran.docx", "A 33364-2023")</f>
        <v/>
      </c>
      <c r="AD48">
        <f>HYPERLINK("https://klasma.github.io/Logging_1290/tillsynsmail/A 33364-2023 tillsynsbegäran mail.docx", "A 33364-2023")</f>
        <v/>
      </c>
      <c r="AE48">
        <f>HYPERLINK("https://klasma.github.io/Logging_1290/fåglar/A 33364-2023 prioriterade fågelarter.docx", "A 33364-2023")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46235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46235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46235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46235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46235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46235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46235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46235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46235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46235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46235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46235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46235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46235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40296-2025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46235</v>
      </c>
      <c r="F65" t="inlineStr">
        <is>
          <t>SKÅNE LÄN</t>
        </is>
      </c>
      <c r="G65" t="inlineStr">
        <is>
          <t>KRISTIANSTAD</t>
        </is>
      </c>
      <c r="I65" t="n">
        <v>0.8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Småvänderot
Trana</t>
        </is>
      </c>
      <c r="W65">
        <f>HYPERLINK("https://klasma.github.io/Logging_1290/artfynd/A 40296-2025 artfynd.xlsx", "A 40296-2025")</f>
        <v/>
      </c>
      <c r="X65">
        <f>HYPERLINK("https://klasma.github.io/Logging_1290/kartor/A 40296-2025 karta.png", "A 40296-2025")</f>
        <v/>
      </c>
      <c r="Y65">
        <f>HYPERLINK("https://klasma.github.io/Logging_1290/kartor_geotiff/A 40296-2025 georefererad karta.tif", "A 40296-2025")</f>
        <v/>
      </c>
      <c r="AA65">
        <f>HYPERLINK("https://klasma.github.io/Logging_1290/klagomål/A 40296-2025 FSC-klagomål.docx", "A 40296-2025")</f>
        <v/>
      </c>
      <c r="AB65">
        <f>HYPERLINK("https://klasma.github.io/Logging_1290/klagomålsmail/A 40296-2025 FSC-klagomål mail.docx", "A 40296-2025")</f>
        <v/>
      </c>
      <c r="AC65">
        <f>HYPERLINK("https://klasma.github.io/Logging_1290/tillsyn/A 40296-2025 tillsynsbegäran.docx", "A 40296-2025")</f>
        <v/>
      </c>
      <c r="AD65">
        <f>HYPERLINK("https://klasma.github.io/Logging_1290/tillsynsmail/A 40296-2025 tillsynsbegäran mail.docx", "A 40296-2025")</f>
        <v/>
      </c>
      <c r="AE65">
        <f>HYPERLINK("https://klasma.github.io/Logging_1290/fåglar/A 40296-2025 prioriterade fågelarter.docx", "A 40296-2025")</f>
        <v/>
      </c>
    </row>
    <row r="66" ht="15" customHeight="1">
      <c r="A66" t="inlineStr">
        <is>
          <t>A 47029-2025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46235</v>
      </c>
      <c r="F66" t="inlineStr">
        <is>
          <t>SKÅNE LÄN</t>
        </is>
      </c>
      <c r="G66" t="inlineStr">
        <is>
          <t>KRISTIANSTAD</t>
        </is>
      </c>
      <c r="I66" t="n">
        <v>13.5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Kopparödla</t>
        </is>
      </c>
      <c r="W66">
        <f>HYPERLINK("https://klasma.github.io/Logging_1290/artfynd/A 47029-2025 artfynd.xlsx", "A 47029-2025")</f>
        <v/>
      </c>
      <c r="X66">
        <f>HYPERLINK("https://klasma.github.io/Logging_1290/kartor/A 47029-2025 karta.png", "A 47029-2025")</f>
        <v/>
      </c>
      <c r="Y66">
        <f>HYPERLINK("https://klasma.github.io/Logging_1290/kartor_geotiff/A 47029-2025 georefererad karta.tif", "A 47029-2025")</f>
        <v/>
      </c>
      <c r="AA66">
        <f>HYPERLINK("https://klasma.github.io/Logging_1290/klagomål/A 47029-2025 FSC-klagomål.docx", "A 47029-2025")</f>
        <v/>
      </c>
      <c r="AB66">
        <f>HYPERLINK("https://klasma.github.io/Logging_1290/klagomålsmail/A 47029-2025 FSC-klagomål mail.docx", "A 47029-2025")</f>
        <v/>
      </c>
      <c r="AC66">
        <f>HYPERLINK("https://klasma.github.io/Logging_1290/tillsyn/A 47029-2025 tillsynsbegäran.docx", "A 47029-2025")</f>
        <v/>
      </c>
      <c r="AD66">
        <f>HYPERLINK("https://klasma.github.io/Logging_1290/tillsynsmail/A 47029-2025 tillsynsbegäran mail.docx", "A 47029-2025")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46235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55737-2021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44476</v>
      </c>
      <c r="E68" s="1" t="n">
        <v>46235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7.4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Mindre tåtelsmygare
Kopparödla</t>
        </is>
      </c>
      <c r="W68">
        <f>HYPERLINK("https://klasma.github.io/Logging_1290/artfynd/A 55737-2021 artfynd.xlsx", "A 55737-2021")</f>
        <v/>
      </c>
      <c r="X68">
        <f>HYPERLINK("https://klasma.github.io/Logging_1290/kartor/A 55737-2021 karta.png", "A 55737-2021")</f>
        <v/>
      </c>
      <c r="Y68">
        <f>HYPERLINK("https://klasma.github.io/Logging_1290/kartor_geotiff/A 55737-2021 georefererad karta.tif", "A 55737-2021")</f>
        <v/>
      </c>
      <c r="AA68">
        <f>HYPERLINK("https://klasma.github.io/Logging_1290/klagomål/A 55737-2021 FSC-klagomål.docx", "A 55737-2021")</f>
        <v/>
      </c>
      <c r="AB68">
        <f>HYPERLINK("https://klasma.github.io/Logging_1290/klagomålsmail/A 55737-2021 FSC-klagomål mail.docx", "A 55737-2021")</f>
        <v/>
      </c>
      <c r="AC68">
        <f>HYPERLINK("https://klasma.github.io/Logging_1290/tillsyn/A 55737-2021 tillsynsbegäran.docx", "A 55737-2021")</f>
        <v/>
      </c>
      <c r="AD68">
        <f>HYPERLINK("https://klasma.github.io/Logging_1290/tillsynsmail/A 55737-2021 tillsynsbegäran mail.docx", "A 55737-2021")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46235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46235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46235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46235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46235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46235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46235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12744-2026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46235</v>
      </c>
      <c r="F76" t="inlineStr">
        <is>
          <t>SKÅNE LÄN</t>
        </is>
      </c>
      <c r="G76" t="inlineStr">
        <is>
          <t>KRISTIANSTAD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Glansfläck
Olivklotterlav</t>
        </is>
      </c>
      <c r="W76">
        <f>HYPERLINK("https://klasma.github.io/Logging_1290/artfynd/A 12744-2026 artfynd.xlsx", "A 12744-2026")</f>
        <v/>
      </c>
      <c r="X76">
        <f>HYPERLINK("https://klasma.github.io/Logging_1290/kartor/A 12744-2026 karta.png", "A 12744-2026")</f>
        <v/>
      </c>
      <c r="Y76">
        <f>HYPERLINK("https://klasma.github.io/Logging_1290/kartor_geotiff/A 12744-2026 georefererad karta.tif", "A 12744-2026")</f>
        <v/>
      </c>
      <c r="AA76">
        <f>HYPERLINK("https://klasma.github.io/Logging_1290/klagomål/A 12744-2026 FSC-klagomål.docx", "A 12744-2026")</f>
        <v/>
      </c>
      <c r="AB76">
        <f>HYPERLINK("https://klasma.github.io/Logging_1290/klagomålsmail/A 12744-2026 FSC-klagomål mail.docx", "A 12744-2026")</f>
        <v/>
      </c>
      <c r="AC76">
        <f>HYPERLINK("https://klasma.github.io/Logging_1290/tillsyn/A 12744-2026 tillsynsbegäran.docx", "A 12744-2026")</f>
        <v/>
      </c>
      <c r="AD76">
        <f>HYPERLINK("https://klasma.github.io/Logging_1290/tillsynsmail/A 12744-2026 tillsynsbegäran mail.docx", "A 12744-2026")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46235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2888-2024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46235</v>
      </c>
      <c r="F78" t="inlineStr">
        <is>
          <t>SKÅNE LÄN</t>
        </is>
      </c>
      <c r="G78" t="inlineStr">
        <is>
          <t>KRISTIANSTAD</t>
        </is>
      </c>
      <c r="I78" t="n">
        <v>10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Kransrams
Stor häxört</t>
        </is>
      </c>
      <c r="W78">
        <f>HYPERLINK("https://klasma.github.io/Logging_1290/artfynd/A 2888-2024 artfynd.xlsx", "A 2888-2024")</f>
        <v/>
      </c>
      <c r="X78">
        <f>HYPERLINK("https://klasma.github.io/Logging_1290/kartor/A 2888-2024 karta.png", "A 2888-2024")</f>
        <v/>
      </c>
      <c r="Y78">
        <f>HYPERLINK("https://klasma.github.io/Logging_1290/kartor_geotiff/A 2888-2024 georefererad karta.tif", "A 2888-2024")</f>
        <v/>
      </c>
      <c r="AA78">
        <f>HYPERLINK("https://klasma.github.io/Logging_1290/klagomål/A 2888-2024 FSC-klagomål.docx", "A 2888-2024")</f>
        <v/>
      </c>
      <c r="AB78">
        <f>HYPERLINK("https://klasma.github.io/Logging_1290/klagomålsmail/A 2888-2024 FSC-klagomål mail.docx", "A 2888-2024")</f>
        <v/>
      </c>
      <c r="AC78">
        <f>HYPERLINK("https://klasma.github.io/Logging_1290/tillsyn/A 2888-2024 tillsynsbegäran.docx", "A 2888-2024")</f>
        <v/>
      </c>
      <c r="AD78">
        <f>HYPERLINK("https://klasma.github.io/Logging_1290/tillsynsmail/A 2888-2024 tillsynsbegäran mail.docx", "A 2888-2024")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46235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46235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46235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46235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46235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46235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46235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34360-2023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46235</v>
      </c>
      <c r="F86" t="inlineStr">
        <is>
          <t>SKÅNE LÄN</t>
        </is>
      </c>
      <c r="G86" t="inlineStr">
        <is>
          <t>KRISTIANSTAD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34360-2023 artfynd.xlsx", "A 34360-2023")</f>
        <v/>
      </c>
      <c r="X86">
        <f>HYPERLINK("https://klasma.github.io/Logging_1290/kartor/A 34360-2023 karta.png", "A 34360-2023")</f>
        <v/>
      </c>
      <c r="Y86">
        <f>HYPERLINK("https://klasma.github.io/Logging_1290/kartor_geotiff/A 34360-2023 georefererad karta.tif", "A 34360-2023")</f>
        <v/>
      </c>
      <c r="AA86">
        <f>HYPERLINK("https://klasma.github.io/Logging_1290/klagomål/A 34360-2023 FSC-klagomål.docx", "A 34360-2023")</f>
        <v/>
      </c>
      <c r="AB86">
        <f>HYPERLINK("https://klasma.github.io/Logging_1290/klagomålsmail/A 34360-2023 FSC-klagomål mail.docx", "A 34360-2023")</f>
        <v/>
      </c>
      <c r="AC86">
        <f>HYPERLINK("https://klasma.github.io/Logging_1290/tillsyn/A 34360-2023 tillsynsbegäran.docx", "A 34360-2023")</f>
        <v/>
      </c>
      <c r="AD86">
        <f>HYPERLINK("https://klasma.github.io/Logging_1290/tillsynsmail/A 34360-2023 tillsynsbegäran mail.docx", "A 34360-2023")</f>
        <v/>
      </c>
    </row>
    <row r="87" ht="15" customHeight="1">
      <c r="A87" t="inlineStr">
        <is>
          <t>A 40366-2021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44419</v>
      </c>
      <c r="E87" s="1" t="n">
        <v>46235</v>
      </c>
      <c r="F87" t="inlineStr">
        <is>
          <t>SKÅNE LÄN</t>
        </is>
      </c>
      <c r="G87" t="inlineStr">
        <is>
          <t>KRISTIANSTAD</t>
        </is>
      </c>
      <c r="H87" t="inlineStr">
        <is>
          <t>Kommuner</t>
        </is>
      </c>
      <c r="I87" t="n">
        <v>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Åkerväddsantennmal</t>
        </is>
      </c>
      <c r="W87">
        <f>HYPERLINK("https://klasma.github.io/Logging_1290/artfynd/A 40366-2021 artfynd.xlsx", "A 40366-2021")</f>
        <v/>
      </c>
      <c r="X87">
        <f>HYPERLINK("https://klasma.github.io/Logging_1290/kartor/A 40366-2021 karta.png", "A 40366-2021")</f>
        <v/>
      </c>
      <c r="Y87">
        <f>HYPERLINK("https://klasma.github.io/Logging_1290/kartor_geotiff/A 40366-2021 georefererad karta.tif", "A 40366-2021")</f>
        <v/>
      </c>
      <c r="AA87">
        <f>HYPERLINK("https://klasma.github.io/Logging_1290/klagomål/A 40366-2021 FSC-klagomål.docx", "A 40366-2021")</f>
        <v/>
      </c>
      <c r="AB87">
        <f>HYPERLINK("https://klasma.github.io/Logging_1290/klagomålsmail/A 40366-2021 FSC-klagomål mail.docx", "A 40366-2021")</f>
        <v/>
      </c>
      <c r="AC87">
        <f>HYPERLINK("https://klasma.github.io/Logging_1290/tillsyn/A 40366-2021 tillsynsbegäran.docx", "A 40366-2021")</f>
        <v/>
      </c>
      <c r="AD87">
        <f>HYPERLINK("https://klasma.github.io/Logging_1290/tillsynsmail/A 40366-2021 tillsynsbegäran mail.docx", "A 40366-2021")</f>
        <v/>
      </c>
    </row>
    <row r="88" ht="15" customHeight="1">
      <c r="A88" t="inlineStr">
        <is>
          <t>A 61605-2023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46235</v>
      </c>
      <c r="F88" t="inlineStr">
        <is>
          <t>SKÅNE LÄN</t>
        </is>
      </c>
      <c r="G88" t="inlineStr">
        <is>
          <t>KRISTIANSTAD</t>
        </is>
      </c>
      <c r="I88" t="n">
        <v>6.3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HYPERLINK("https://klasma.github.io/Logging_1290/artfynd/A 61605-2023 artfynd.xlsx", "A 61605-2023")</f>
        <v/>
      </c>
      <c r="X88">
        <f>HYPERLINK("https://klasma.github.io/Logging_1290/kartor/A 61605-2023 karta.png", "A 61605-2023")</f>
        <v/>
      </c>
      <c r="Y88">
        <f>HYPERLINK("https://klasma.github.io/Logging_1290/kartor_geotiff/A 61605-2023 georefererad karta.tif", "A 61605-2023")</f>
        <v/>
      </c>
      <c r="AA88">
        <f>HYPERLINK("https://klasma.github.io/Logging_1290/klagomål/A 61605-2023 FSC-klagomål.docx", "A 61605-2023")</f>
        <v/>
      </c>
      <c r="AB88">
        <f>HYPERLINK("https://klasma.github.io/Logging_1290/klagomålsmail/A 61605-2023 FSC-klagomål mail.docx", "A 61605-2023")</f>
        <v/>
      </c>
      <c r="AC88">
        <f>HYPERLINK("https://klasma.github.io/Logging_1290/tillsyn/A 61605-2023 tillsynsbegäran.docx", "A 61605-2023")</f>
        <v/>
      </c>
      <c r="AD88">
        <f>HYPERLINK("https://klasma.github.io/Logging_1290/tillsynsmail/A 61605-2023 tillsynsbegäran mail.docx", "A 61605-2023")</f>
        <v/>
      </c>
    </row>
    <row r="89" ht="15" customHeight="1">
      <c r="A89" t="inlineStr">
        <is>
          <t>A 38938-2022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46235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38938-2022 artfynd.xlsx", "A 38938-2022")</f>
        <v/>
      </c>
      <c r="X89">
        <f>HYPERLINK("https://klasma.github.io/Logging_1290/kartor/A 38938-2022 karta.png", "A 38938-2022")</f>
        <v/>
      </c>
      <c r="Y89">
        <f>HYPERLINK("https://klasma.github.io/Logging_1290/kartor_geotiff/A 38938-2022 georefererad karta.tif", "A 38938-2022")</f>
        <v/>
      </c>
      <c r="AA89">
        <f>HYPERLINK("https://klasma.github.io/Logging_1290/klagomål/A 38938-2022 FSC-klagomål.docx", "A 38938-2022")</f>
        <v/>
      </c>
      <c r="AB89">
        <f>HYPERLINK("https://klasma.github.io/Logging_1290/klagomålsmail/A 38938-2022 FSC-klagomål mail.docx", "A 38938-2022")</f>
        <v/>
      </c>
      <c r="AC89">
        <f>HYPERLINK("https://klasma.github.io/Logging_1290/tillsyn/A 38938-2022 tillsynsbegäran.docx", "A 38938-2022")</f>
        <v/>
      </c>
      <c r="AD89">
        <f>HYPERLINK("https://klasma.github.io/Logging_1290/tillsynsmail/A 38938-2022 tillsynsbegäran mail.docx", "A 38938-2022")</f>
        <v/>
      </c>
    </row>
    <row r="90" ht="15" customHeight="1">
      <c r="A90" t="inlineStr">
        <is>
          <t>A 31616-2024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46235</v>
      </c>
      <c r="F90" t="inlineStr">
        <is>
          <t>SKÅNE LÄN</t>
        </is>
      </c>
      <c r="G90" t="inlineStr">
        <is>
          <t>KRISTIANSTAD</t>
        </is>
      </c>
      <c r="I90" t="n">
        <v>0.4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Crunoecia irrorata</t>
        </is>
      </c>
      <c r="W90">
        <f>HYPERLINK("https://klasma.github.io/Logging_1290/artfynd/A 31616-2024 artfynd.xlsx", "A 31616-2024")</f>
        <v/>
      </c>
      <c r="X90">
        <f>HYPERLINK("https://klasma.github.io/Logging_1290/kartor/A 31616-2024 karta.png", "A 31616-2024")</f>
        <v/>
      </c>
      <c r="Y90">
        <f>HYPERLINK("https://klasma.github.io/Logging_1290/kartor_geotiff/A 31616-2024 georefererad karta.tif", "A 31616-2024")</f>
        <v/>
      </c>
      <c r="AA90">
        <f>HYPERLINK("https://klasma.github.io/Logging_1290/klagomål/A 31616-2024 FSC-klagomål.docx", "A 31616-2024")</f>
        <v/>
      </c>
      <c r="AB90">
        <f>HYPERLINK("https://klasma.github.io/Logging_1290/klagomålsmail/A 31616-2024 FSC-klagomål mail.docx", "A 31616-2024")</f>
        <v/>
      </c>
      <c r="AC90">
        <f>HYPERLINK("https://klasma.github.io/Logging_1290/tillsyn/A 31616-2024 tillsynsbegäran.docx", "A 31616-2024")</f>
        <v/>
      </c>
      <c r="AD90">
        <f>HYPERLINK("https://klasma.github.io/Logging_1290/tillsynsmail/A 31616-2024 tillsynsbegäran mail.docx", "A 31616-2024")</f>
        <v/>
      </c>
    </row>
    <row r="91" ht="15" customHeight="1">
      <c r="A91" t="inlineStr">
        <is>
          <t>A 27955-2022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46235</v>
      </c>
      <c r="F91" t="inlineStr">
        <is>
          <t>SKÅNE LÄN</t>
        </is>
      </c>
      <c r="G91" t="inlineStr">
        <is>
          <t>KRISTIANSTAD</t>
        </is>
      </c>
      <c r="I91" t="n">
        <v>3.6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HYPERLINK("https://klasma.github.io/Logging_1290/artfynd/A 27955-2022 artfynd.xlsx", "A 27955-2022")</f>
        <v/>
      </c>
      <c r="X91">
        <f>HYPERLINK("https://klasma.github.io/Logging_1290/kartor/A 27955-2022 karta.png", "A 27955-2022")</f>
        <v/>
      </c>
      <c r="Y91">
        <f>HYPERLINK("https://klasma.github.io/Logging_1290/kartor_geotiff/A 27955-2022 georefererad karta.tif", "A 27955-2022")</f>
        <v/>
      </c>
      <c r="AA91">
        <f>HYPERLINK("https://klasma.github.io/Logging_1290/klagomål/A 27955-2022 FSC-klagomål.docx", "A 27955-2022")</f>
        <v/>
      </c>
      <c r="AB91">
        <f>HYPERLINK("https://klasma.github.io/Logging_1290/klagomålsmail/A 27955-2022 FSC-klagomål mail.docx", "A 27955-2022")</f>
        <v/>
      </c>
      <c r="AC91">
        <f>HYPERLINK("https://klasma.github.io/Logging_1290/tillsyn/A 27955-2022 tillsynsbegäran.docx", "A 27955-2022")</f>
        <v/>
      </c>
      <c r="AD91">
        <f>HYPERLINK("https://klasma.github.io/Logging_1290/tillsynsmail/A 27955-2022 tillsynsbegäran mail.docx", "A 27955-2022")</f>
        <v/>
      </c>
      <c r="AE91">
        <f>HYPERLINK("https://klasma.github.io/Logging_1290/fåglar/A 27955-2022 prioriterade fågelarter.docx", "A 27955-2022")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46235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30857-2023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46235</v>
      </c>
      <c r="F93" t="inlineStr">
        <is>
          <t>SKÅNE LÄN</t>
        </is>
      </c>
      <c r="G93" t="inlineStr">
        <is>
          <t>KRISTIANSTAD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Sommarfibbla</t>
        </is>
      </c>
      <c r="W93">
        <f>HYPERLINK("https://klasma.github.io/Logging_1290/artfynd/A 30857-2023 artfynd.xlsx", "A 30857-2023")</f>
        <v/>
      </c>
      <c r="X93">
        <f>HYPERLINK("https://klasma.github.io/Logging_1290/kartor/A 30857-2023 karta.png", "A 30857-2023")</f>
        <v/>
      </c>
      <c r="Y93">
        <f>HYPERLINK("https://klasma.github.io/Logging_1290/kartor_geotiff/A 30857-2023 georefererad karta.tif", "A 30857-2023")</f>
        <v/>
      </c>
      <c r="AA93">
        <f>HYPERLINK("https://klasma.github.io/Logging_1290/klagomål/A 30857-2023 FSC-klagomål.docx", "A 30857-2023")</f>
        <v/>
      </c>
      <c r="AB93">
        <f>HYPERLINK("https://klasma.github.io/Logging_1290/klagomålsmail/A 30857-2023 FSC-klagomål mail.docx", "A 30857-2023")</f>
        <v/>
      </c>
      <c r="AC93">
        <f>HYPERLINK("https://klasma.github.io/Logging_1290/tillsyn/A 30857-2023 tillsynsbegäran.docx", "A 30857-2023")</f>
        <v/>
      </c>
      <c r="AD93">
        <f>HYPERLINK("https://klasma.github.io/Logging_1290/tillsynsmail/A 30857-2023 tillsynsbegäran mail.docx", "A 30857-2023")</f>
        <v/>
      </c>
    </row>
    <row r="94" ht="15" customHeight="1">
      <c r="A94" t="inlineStr">
        <is>
          <t>A 9018-2024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46235</v>
      </c>
      <c r="F94" t="inlineStr">
        <is>
          <t>SKÅNE LÄN</t>
        </is>
      </c>
      <c r="G94" t="inlineStr">
        <is>
          <t>KRISTIANSTAD</t>
        </is>
      </c>
      <c r="I94" t="n">
        <v>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Hedblomster</t>
        </is>
      </c>
      <c r="W94">
        <f>HYPERLINK("https://klasma.github.io/Logging_1290/artfynd/A 9018-2024 artfynd.xlsx", "A 9018-2024")</f>
        <v/>
      </c>
      <c r="X94">
        <f>HYPERLINK("https://klasma.github.io/Logging_1290/kartor/A 9018-2024 karta.png", "A 9018-2024")</f>
        <v/>
      </c>
      <c r="Y94">
        <f>HYPERLINK("https://klasma.github.io/Logging_1290/kartor_geotiff/A 9018-2024 georefererad karta.tif", "A 9018-2024")</f>
        <v/>
      </c>
      <c r="AA94">
        <f>HYPERLINK("https://klasma.github.io/Logging_1290/klagomål/A 9018-2024 FSC-klagomål.docx", "A 9018-2024")</f>
        <v/>
      </c>
      <c r="AB94">
        <f>HYPERLINK("https://klasma.github.io/Logging_1290/klagomålsmail/A 9018-2024 FSC-klagomål mail.docx", "A 9018-2024")</f>
        <v/>
      </c>
      <c r="AC94">
        <f>HYPERLINK("https://klasma.github.io/Logging_1290/tillsyn/A 9018-2024 tillsynsbegäran.docx", "A 9018-2024")</f>
        <v/>
      </c>
      <c r="AD94">
        <f>HYPERLINK("https://klasma.github.io/Logging_1290/tillsynsmail/A 9018-2024 tillsynsbegäran mail.docx", "A 9018-2024")</f>
        <v/>
      </c>
    </row>
    <row r="95" ht="15" customHeight="1">
      <c r="A95" t="inlineStr">
        <is>
          <t>A 26965-2023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45093</v>
      </c>
      <c r="E95" s="1" t="n">
        <v>46235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9.9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4</v>
      </c>
      <c r="U95" t="n">
        <v>0</v>
      </c>
      <c r="V95" s="2" t="inlineStr">
        <is>
          <t>Sjötåtel</t>
        </is>
      </c>
      <c r="W95">
        <f>HYPERLINK("https://klasma.github.io/Logging_1290/artfynd/A 26965-2023 artfynd.xlsx", "A 26965-2023")</f>
        <v/>
      </c>
      <c r="X95">
        <f>HYPERLINK("https://klasma.github.io/Logging_1290/kartor/A 26965-2023 karta.png", "A 26965-2023")</f>
        <v/>
      </c>
      <c r="Y95">
        <f>HYPERLINK("https://klasma.github.io/Logging_1290/kartor_geotiff/A 26965-2023 georefererad karta.tif", "A 26965-2023")</f>
        <v/>
      </c>
      <c r="AA95">
        <f>HYPERLINK("https://klasma.github.io/Logging_1290/klagomål/A 26965-2023 FSC-klagomål.docx", "A 26965-2023")</f>
        <v/>
      </c>
      <c r="AB95">
        <f>HYPERLINK("https://klasma.github.io/Logging_1290/klagomålsmail/A 26965-2023 FSC-klagomål mail.docx", "A 26965-2023")</f>
        <v/>
      </c>
      <c r="AC95">
        <f>HYPERLINK("https://klasma.github.io/Logging_1290/tillsyn/A 26965-2023 tillsynsbegäran.docx", "A 26965-2023")</f>
        <v/>
      </c>
      <c r="AD95">
        <f>HYPERLINK("https://klasma.github.io/Logging_1290/tillsynsmail/A 26965-2023 tillsynsbegäran mail.docx", "A 26965-2023")</f>
        <v/>
      </c>
    </row>
    <row r="96" ht="15" customHeight="1">
      <c r="A96" t="inlineStr">
        <is>
          <t>A 30918-2022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46235</v>
      </c>
      <c r="F96" t="inlineStr">
        <is>
          <t>SKÅNE LÄN</t>
        </is>
      </c>
      <c r="G96" t="inlineStr">
        <is>
          <t>KRISTIANSTAD</t>
        </is>
      </c>
      <c r="I96" t="n">
        <v>3.4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HYPERLINK("https://klasma.github.io/Logging_1290/artfynd/A 30918-2022 artfynd.xlsx", "A 30918-2022")</f>
        <v/>
      </c>
      <c r="X96">
        <f>HYPERLINK("https://klasma.github.io/Logging_1290/kartor/A 30918-2022 karta.png", "A 30918-2022")</f>
        <v/>
      </c>
      <c r="Y96">
        <f>HYPERLINK("https://klasma.github.io/Logging_1290/kartor_geotiff/A 30918-2022 georefererad karta.tif", "A 30918-2022")</f>
        <v/>
      </c>
      <c r="AA96">
        <f>HYPERLINK("https://klasma.github.io/Logging_1290/klagomål/A 30918-2022 FSC-klagomål.docx", "A 30918-2022")</f>
        <v/>
      </c>
      <c r="AB96">
        <f>HYPERLINK("https://klasma.github.io/Logging_1290/klagomålsmail/A 30918-2022 FSC-klagomål mail.docx", "A 30918-2022")</f>
        <v/>
      </c>
      <c r="AC96">
        <f>HYPERLINK("https://klasma.github.io/Logging_1290/tillsyn/A 30918-2022 tillsynsbegäran.docx", "A 30918-2022")</f>
        <v/>
      </c>
      <c r="AD96">
        <f>HYPERLINK("https://klasma.github.io/Logging_1290/tillsynsmail/A 30918-2022 tillsynsbegäran mail.docx", "A 30918-2022")</f>
        <v/>
      </c>
    </row>
    <row r="97" ht="15" customHeight="1">
      <c r="A97" t="inlineStr">
        <is>
          <t>A 28342-2024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46235</v>
      </c>
      <c r="F97" t="inlineStr">
        <is>
          <t>SKÅNE LÄN</t>
        </is>
      </c>
      <c r="G97" t="inlineStr">
        <is>
          <t>KRISTIANSTAD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Knölspindel</t>
        </is>
      </c>
      <c r="W97">
        <f>HYPERLINK("https://klasma.github.io/Logging_1290/artfynd/A 28342-2024 artfynd.xlsx", "A 28342-2024")</f>
        <v/>
      </c>
      <c r="X97">
        <f>HYPERLINK("https://klasma.github.io/Logging_1290/kartor/A 28342-2024 karta.png", "A 28342-2024")</f>
        <v/>
      </c>
      <c r="Y97">
        <f>HYPERLINK("https://klasma.github.io/Logging_1290/kartor_geotiff/A 28342-2024 georefererad karta.tif", "A 28342-2024")</f>
        <v/>
      </c>
      <c r="AA97">
        <f>HYPERLINK("https://klasma.github.io/Logging_1290/klagomål/A 28342-2024 FSC-klagomål.docx", "A 28342-2024")</f>
        <v/>
      </c>
      <c r="AB97">
        <f>HYPERLINK("https://klasma.github.io/Logging_1290/klagomålsmail/A 28342-2024 FSC-klagomål mail.docx", "A 28342-2024")</f>
        <v/>
      </c>
      <c r="AC97">
        <f>HYPERLINK("https://klasma.github.io/Logging_1290/tillsyn/A 28342-2024 tillsynsbegäran.docx", "A 28342-2024")</f>
        <v/>
      </c>
      <c r="AD97">
        <f>HYPERLINK("https://klasma.github.io/Logging_1290/tillsynsmail/A 28342-2024 tillsynsbegäran mail.docx", "A 28342-2024")</f>
        <v/>
      </c>
    </row>
    <row r="98" ht="15" customHeight="1">
      <c r="A98" t="inlineStr">
        <is>
          <t>A 26243-2024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46235</v>
      </c>
      <c r="F98" t="inlineStr">
        <is>
          <t>SKÅNE LÄN</t>
        </is>
      </c>
      <c r="G98" t="inlineStr">
        <is>
          <t>KRISTIANSTAD</t>
        </is>
      </c>
      <c r="I98" t="n">
        <v>7.8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HYPERLINK("https://klasma.github.io/Logging_1290/artfynd/A 26243-2024 artfynd.xlsx", "A 26243-2024")</f>
        <v/>
      </c>
      <c r="X98">
        <f>HYPERLINK("https://klasma.github.io/Logging_1290/kartor/A 26243-2024 karta.png", "A 26243-2024")</f>
        <v/>
      </c>
      <c r="Y98">
        <f>HYPERLINK("https://klasma.github.io/Logging_1290/kartor_geotiff/A 26243-2024 georefererad karta.tif", "A 26243-2024")</f>
        <v/>
      </c>
      <c r="AA98">
        <f>HYPERLINK("https://klasma.github.io/Logging_1290/klagomål/A 26243-2024 FSC-klagomål.docx", "A 26243-2024")</f>
        <v/>
      </c>
      <c r="AB98">
        <f>HYPERLINK("https://klasma.github.io/Logging_1290/klagomålsmail/A 26243-2024 FSC-klagomål mail.docx", "A 26243-2024")</f>
        <v/>
      </c>
      <c r="AC98">
        <f>HYPERLINK("https://klasma.github.io/Logging_1290/tillsyn/A 26243-2024 tillsynsbegäran.docx", "A 26243-2024")</f>
        <v/>
      </c>
      <c r="AD98">
        <f>HYPERLINK("https://klasma.github.io/Logging_1290/tillsynsmail/A 26243-2024 tillsynsbegäran mail.docx", "A 26243-2024")</f>
        <v/>
      </c>
    </row>
    <row r="99" ht="15" customHeight="1">
      <c r="A99" t="inlineStr">
        <is>
          <t>A 45495-2024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45577</v>
      </c>
      <c r="E99" s="1" t="n">
        <v>46235</v>
      </c>
      <c r="F99" t="inlineStr">
        <is>
          <t>SKÅNE LÄN</t>
        </is>
      </c>
      <c r="G99" t="inlineStr">
        <is>
          <t>KRISTIANSTAD</t>
        </is>
      </c>
      <c r="I99" t="n">
        <v>9.1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Koralltaggsvamp</t>
        </is>
      </c>
      <c r="W99">
        <f>HYPERLINK("https://klasma.github.io/Logging_1290/artfynd/A 45495-2024 artfynd.xlsx", "A 45495-2024")</f>
        <v/>
      </c>
      <c r="X99">
        <f>HYPERLINK("https://klasma.github.io/Logging_1290/kartor/A 45495-2024 karta.png", "A 45495-2024")</f>
        <v/>
      </c>
      <c r="Y99">
        <f>HYPERLINK("https://klasma.github.io/Logging_1290/kartor_geotiff/A 45495-2024 georefererad karta.tif", "A 45495-2024")</f>
        <v/>
      </c>
      <c r="AA99">
        <f>HYPERLINK("https://klasma.github.io/Logging_1290/klagomål/A 45495-2024 FSC-klagomål.docx", "A 45495-2024")</f>
        <v/>
      </c>
      <c r="AB99">
        <f>HYPERLINK("https://klasma.github.io/Logging_1290/klagomålsmail/A 45495-2024 FSC-klagomål mail.docx", "A 45495-2024")</f>
        <v/>
      </c>
      <c r="AC99">
        <f>HYPERLINK("https://klasma.github.io/Logging_1290/tillsyn/A 45495-2024 tillsynsbegäran.docx", "A 45495-2024")</f>
        <v/>
      </c>
      <c r="AD99">
        <f>HYPERLINK("https://klasma.github.io/Logging_1290/tillsynsmail/A 45495-2024 tillsynsbegäran mail.docx", "A 45495-2024")</f>
        <v/>
      </c>
    </row>
    <row r="100" ht="15" customHeight="1">
      <c r="A100" t="inlineStr">
        <is>
          <t>A 8208-2023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46235</v>
      </c>
      <c r="F100" t="inlineStr">
        <is>
          <t>SKÅNE LÄN</t>
        </is>
      </c>
      <c r="G100" t="inlineStr">
        <is>
          <t>KRISTIANSTAD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Flodpärlmussla</t>
        </is>
      </c>
      <c r="W100">
        <f>HYPERLINK("https://klasma.github.io/Logging_1290/artfynd/A 8208-2023 artfynd.xlsx", "A 8208-2023")</f>
        <v/>
      </c>
      <c r="X100">
        <f>HYPERLINK("https://klasma.github.io/Logging_1290/kartor/A 8208-2023 karta.png", "A 8208-2023")</f>
        <v/>
      </c>
      <c r="Y100">
        <f>HYPERLINK("https://klasma.github.io/Logging_1290/kartor_geotiff/A 8208-2023 georefererad karta.tif", "A 8208-2023")</f>
        <v/>
      </c>
      <c r="AA100">
        <f>HYPERLINK("https://klasma.github.io/Logging_1290/klagomål/A 8208-2023 FSC-klagomål.docx", "A 8208-2023")</f>
        <v/>
      </c>
      <c r="AB100">
        <f>HYPERLINK("https://klasma.github.io/Logging_1290/klagomålsmail/A 8208-2023 FSC-klagomål mail.docx", "A 8208-2023")</f>
        <v/>
      </c>
      <c r="AC100">
        <f>HYPERLINK("https://klasma.github.io/Logging_1290/tillsyn/A 8208-2023 tillsynsbegäran.docx", "A 8208-2023")</f>
        <v/>
      </c>
      <c r="AD100">
        <f>HYPERLINK("https://klasma.github.io/Logging_1290/tillsynsmail/A 8208-2023 tillsynsbegäran mail.docx", "A 8208-2023")</f>
        <v/>
      </c>
    </row>
    <row r="101" ht="15" customHeight="1">
      <c r="A101" t="inlineStr">
        <is>
          <t>A 27956-2022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46235</v>
      </c>
      <c r="F101" t="inlineStr">
        <is>
          <t>SKÅNE LÄN</t>
        </is>
      </c>
      <c r="G101" t="inlineStr">
        <is>
          <t>KRISTIANSTAD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Kärrviol</t>
        </is>
      </c>
      <c r="W101">
        <f>HYPERLINK("https://klasma.github.io/Logging_1290/artfynd/A 27956-2022 artfynd.xlsx", "A 27956-2022")</f>
        <v/>
      </c>
      <c r="X101">
        <f>HYPERLINK("https://klasma.github.io/Logging_1290/kartor/A 27956-2022 karta.png", "A 27956-2022")</f>
        <v/>
      </c>
      <c r="Y101">
        <f>HYPERLINK("https://klasma.github.io/Logging_1290/kartor_geotiff/A 27956-2022 georefererad karta.tif", "A 27956-2022")</f>
        <v/>
      </c>
      <c r="AA101">
        <f>HYPERLINK("https://klasma.github.io/Logging_1290/klagomål/A 27956-2022 FSC-klagomål.docx", "A 27956-2022")</f>
        <v/>
      </c>
      <c r="AB101">
        <f>HYPERLINK("https://klasma.github.io/Logging_1290/klagomålsmail/A 27956-2022 FSC-klagomål mail.docx", "A 27956-2022")</f>
        <v/>
      </c>
      <c r="AC101">
        <f>HYPERLINK("https://klasma.github.io/Logging_1290/tillsyn/A 27956-2022 tillsynsbegäran.docx", "A 27956-2022")</f>
        <v/>
      </c>
      <c r="AD101">
        <f>HYPERLINK("https://klasma.github.io/Logging_1290/tillsynsmail/A 27956-2022 tillsynsbegäran mail.docx", "A 27956-2022")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46235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46235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46235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41004-2022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46235</v>
      </c>
      <c r="F105" t="inlineStr">
        <is>
          <t>SKÅNE LÄN</t>
        </is>
      </c>
      <c r="G105" t="inlineStr">
        <is>
          <t>KRISTIANSTAD</t>
        </is>
      </c>
      <c r="I105" t="n">
        <v>2.4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41004-2022 artfynd.xlsx", "A 41004-2022")</f>
        <v/>
      </c>
      <c r="X105">
        <f>HYPERLINK("https://klasma.github.io/Logging_1290/kartor/A 41004-2022 karta.png", "A 41004-2022")</f>
        <v/>
      </c>
      <c r="Y105">
        <f>HYPERLINK("https://klasma.github.io/Logging_1290/kartor_geotiff/A 41004-2022 georefererad karta.tif", "A 41004-2022")</f>
        <v/>
      </c>
      <c r="AA105">
        <f>HYPERLINK("https://klasma.github.io/Logging_1290/klagomål/A 41004-2022 FSC-klagomål.docx", "A 41004-2022")</f>
        <v/>
      </c>
      <c r="AB105">
        <f>HYPERLINK("https://klasma.github.io/Logging_1290/klagomålsmail/A 41004-2022 FSC-klagomål mail.docx", "A 41004-2022")</f>
        <v/>
      </c>
      <c r="AC105">
        <f>HYPERLINK("https://klasma.github.io/Logging_1290/tillsyn/A 41004-2022 tillsynsbegäran.docx", "A 41004-2022")</f>
        <v/>
      </c>
      <c r="AD105">
        <f>HYPERLINK("https://klasma.github.io/Logging_1290/tillsynsmail/A 41004-2022 tillsynsbegäran mail.docx", "A 41004-2022")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46235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vattensalamander</t>
        </is>
      </c>
      <c r="W106">
        <f>HYPERLINK("https://klasma.github.io/Logging_1290/artfynd/A 49428-2025 artfynd.xlsx", "A 49428-2025")</f>
        <v/>
      </c>
      <c r="X106">
        <f>HYPERLINK("https://klasma.github.io/Logging_1290/kartor/A 49428-2025 karta.png", "A 49428-2025")</f>
        <v/>
      </c>
      <c r="Y106">
        <f>HYPERLINK("https://klasma.github.io/Logging_1290/kartor_geotiff/A 49428-2025 georefererad karta.tif", "A 49428-2025")</f>
        <v/>
      </c>
      <c r="AA106">
        <f>HYPERLINK("https://klasma.github.io/Logging_1290/klagomål/A 49428-2025 FSC-klagomål.docx", "A 49428-2025")</f>
        <v/>
      </c>
      <c r="AB106">
        <f>HYPERLINK("https://klasma.github.io/Logging_1290/klagomålsmail/A 49428-2025 FSC-klagomål mail.docx", "A 49428-2025")</f>
        <v/>
      </c>
      <c r="AC106">
        <f>HYPERLINK("https://klasma.github.io/Logging_1290/tillsyn/A 49428-2025 tillsynsbegäran.docx", "A 49428-2025")</f>
        <v/>
      </c>
      <c r="AD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50699-2025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46235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Guldlockmossa</t>
        </is>
      </c>
      <c r="W107">
        <f>HYPERLINK("https://klasma.github.io/Logging_1290/artfynd/A 50699-2025 artfynd.xlsx", "A 50699-2025")</f>
        <v/>
      </c>
      <c r="X107">
        <f>HYPERLINK("https://klasma.github.io/Logging_1290/kartor/A 50699-2025 karta.png", "A 50699-2025")</f>
        <v/>
      </c>
      <c r="Y107">
        <f>HYPERLINK("https://klasma.github.io/Logging_1290/kartor_geotiff/A 50699-2025 georefererad karta.tif", "A 50699-2025")</f>
        <v/>
      </c>
      <c r="AA107">
        <f>HYPERLINK("https://klasma.github.io/Logging_1290/klagomål/A 50699-2025 FSC-klagomål.docx", "A 50699-2025")</f>
        <v/>
      </c>
      <c r="AB107">
        <f>HYPERLINK("https://klasma.github.io/Logging_1290/klagomålsmail/A 50699-2025 FSC-klagomål mail.docx", "A 50699-2025")</f>
        <v/>
      </c>
      <c r="AC107">
        <f>HYPERLINK("https://klasma.github.io/Logging_1290/tillsyn/A 50699-2025 tillsynsbegäran.docx", "A 50699-2025")</f>
        <v/>
      </c>
      <c r="AD107">
        <f>HYPERLINK("https://klasma.github.io/Logging_1290/tillsynsmail/A 50699-2025 tillsynsbegäran mail.docx", "A 50699-2025")</f>
        <v/>
      </c>
    </row>
    <row r="108" ht="15" customHeight="1">
      <c r="A108" t="inlineStr">
        <is>
          <t>A 21835-2026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46235</v>
      </c>
      <c r="F108" t="inlineStr">
        <is>
          <t>SKÅNE LÄN</t>
        </is>
      </c>
      <c r="G108" t="inlineStr">
        <is>
          <t>KRISTIANSTAD</t>
        </is>
      </c>
      <c r="I108" t="n">
        <v>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Skogsbräsma</t>
        </is>
      </c>
      <c r="W108">
        <f>HYPERLINK("https://klasma.github.io/Logging_1290/artfynd/A 21835-2026 artfynd.xlsx", "A 21835-2026")</f>
        <v/>
      </c>
      <c r="X108">
        <f>HYPERLINK("https://klasma.github.io/Logging_1290/kartor/A 21835-2026 karta.png", "A 21835-2026")</f>
        <v/>
      </c>
      <c r="Y108">
        <f>HYPERLINK("https://klasma.github.io/Logging_1290/kartor_geotiff/A 21835-2026 georefererad karta.tif", "A 21835-2026")</f>
        <v/>
      </c>
      <c r="AA108">
        <f>HYPERLINK("https://klasma.github.io/Logging_1290/klagomål/A 21835-2026 FSC-klagomål.docx", "A 21835-2026")</f>
        <v/>
      </c>
      <c r="AB108">
        <f>HYPERLINK("https://klasma.github.io/Logging_1290/klagomålsmail/A 21835-2026 FSC-klagomål mail.docx", "A 21835-2026")</f>
        <v/>
      </c>
      <c r="AC108">
        <f>HYPERLINK("https://klasma.github.io/Logging_1290/tillsyn/A 21835-2026 tillsynsbegäran.docx", "A 21835-2026")</f>
        <v/>
      </c>
      <c r="AD108">
        <f>HYPERLINK("https://klasma.github.io/Logging_1290/tillsynsmail/A 21835-2026 tillsynsbegäran mail.docx", "A 21835-2026")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46235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46235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28429-2024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45477</v>
      </c>
      <c r="E111" s="1" t="n">
        <v>46235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28429-2024 artfynd.xlsx", "A 28429-2024")</f>
        <v/>
      </c>
      <c r="X111">
        <f>HYPERLINK("https://klasma.github.io/Logging_1290/kartor/A 28429-2024 karta.png", "A 28429-2024")</f>
        <v/>
      </c>
      <c r="Y111">
        <f>HYPERLINK("https://klasma.github.io/Logging_1290/kartor_geotiff/A 28429-2024 georefererad karta.tif", "A 28429-2024")</f>
        <v/>
      </c>
      <c r="AA111">
        <f>HYPERLINK("https://klasma.github.io/Logging_1290/klagomål/A 28429-2024 FSC-klagomål.docx", "A 28429-2024")</f>
        <v/>
      </c>
      <c r="AB111">
        <f>HYPERLINK("https://klasma.github.io/Logging_1290/klagomålsmail/A 28429-2024 FSC-klagomål mail.docx", "A 28429-2024")</f>
        <v/>
      </c>
      <c r="AC111">
        <f>HYPERLINK("https://klasma.github.io/Logging_1290/tillsyn/A 28429-2024 tillsynsbegäran.docx", "A 28429-2024")</f>
        <v/>
      </c>
      <c r="AD111">
        <f>HYPERLINK("https://klasma.github.io/Logging_1290/tillsynsmail/A 28429-2024 tillsynsbegäran mail.docx", "A 28429-2024")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46235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15105-2023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46235</v>
      </c>
      <c r="F113" t="inlineStr">
        <is>
          <t>SKÅNE LÄN</t>
        </is>
      </c>
      <c r="G113" t="inlineStr">
        <is>
          <t>KRISTIANSTAD</t>
        </is>
      </c>
      <c r="H113" t="inlineStr">
        <is>
          <t>Kyrkan</t>
        </is>
      </c>
      <c r="I113" t="n">
        <v>3.2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Liten baronmossa</t>
        </is>
      </c>
      <c r="W113">
        <f>HYPERLINK("https://klasma.github.io/Logging_1290/artfynd/A 15105-2023 artfynd.xlsx", "A 15105-2023")</f>
        <v/>
      </c>
      <c r="X113">
        <f>HYPERLINK("https://klasma.github.io/Logging_1290/kartor/A 15105-2023 karta.png", "A 15105-2023")</f>
        <v/>
      </c>
      <c r="Y113">
        <f>HYPERLINK("https://klasma.github.io/Logging_1290/kartor_geotiff/A 15105-2023 georefererad karta.tif", "A 15105-2023")</f>
        <v/>
      </c>
      <c r="AA113">
        <f>HYPERLINK("https://klasma.github.io/Logging_1290/klagomål/A 15105-2023 FSC-klagomål.docx", "A 15105-2023")</f>
        <v/>
      </c>
      <c r="AB113">
        <f>HYPERLINK("https://klasma.github.io/Logging_1290/klagomålsmail/A 15105-2023 FSC-klagomål mail.docx", "A 15105-2023")</f>
        <v/>
      </c>
      <c r="AC113">
        <f>HYPERLINK("https://klasma.github.io/Logging_1290/tillsyn/A 15105-2023 tillsynsbegäran.docx", "A 15105-2023")</f>
        <v/>
      </c>
      <c r="AD113">
        <f>HYPERLINK("https://klasma.github.io/Logging_1290/tillsynsmail/A 15105-2023 tillsynsbegäran mail.docx", "A 15105-2023")</f>
        <v/>
      </c>
    </row>
    <row r="114" ht="15" customHeight="1">
      <c r="A114" t="inlineStr">
        <is>
          <t>A 33362-2023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45128</v>
      </c>
      <c r="E114" s="1" t="n">
        <v>46235</v>
      </c>
      <c r="F114" t="inlineStr">
        <is>
          <t>SKÅNE LÄN</t>
        </is>
      </c>
      <c r="G114" t="inlineStr">
        <is>
          <t>KRISTIANSTAD</t>
        </is>
      </c>
      <c r="I114" t="n">
        <v>4.9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HYPERLINK("https://klasma.github.io/Logging_1290/artfynd/A 33362-2023 artfynd.xlsx", "A 33362-2023")</f>
        <v/>
      </c>
      <c r="X114">
        <f>HYPERLINK("https://klasma.github.io/Logging_1290/kartor/A 33362-2023 karta.png", "A 33362-2023")</f>
        <v/>
      </c>
      <c r="Y114">
        <f>HYPERLINK("https://klasma.github.io/Logging_1290/kartor_geotiff/A 33362-2023 georefererad karta.tif", "A 33362-2023")</f>
        <v/>
      </c>
      <c r="AA114">
        <f>HYPERLINK("https://klasma.github.io/Logging_1290/klagomål/A 33362-2023 FSC-klagomål.docx", "A 33362-2023")</f>
        <v/>
      </c>
      <c r="AB114">
        <f>HYPERLINK("https://klasma.github.io/Logging_1290/klagomålsmail/A 33362-2023 FSC-klagomål mail.docx", "A 33362-2023")</f>
        <v/>
      </c>
      <c r="AC114">
        <f>HYPERLINK("https://klasma.github.io/Logging_1290/tillsyn/A 33362-2023 tillsynsbegäran.docx", "A 33362-2023")</f>
        <v/>
      </c>
      <c r="AD114">
        <f>HYPERLINK("https://klasma.github.io/Logging_1290/tillsynsmail/A 33362-2023 tillsynsbegäran mail.docx", "A 33362-2023")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46235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46235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58003-2023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46235</v>
      </c>
      <c r="F117" t="inlineStr">
        <is>
          <t>SKÅNE LÄN</t>
        </is>
      </c>
      <c r="G117" t="inlineStr">
        <is>
          <t>KRISTIANSTAD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Ekskinn</t>
        </is>
      </c>
      <c r="W117">
        <f>HYPERLINK("https://klasma.github.io/Logging_1290/artfynd/A 58003-2023 artfynd.xlsx", "A 58003-2023")</f>
        <v/>
      </c>
      <c r="X117">
        <f>HYPERLINK("https://klasma.github.io/Logging_1290/kartor/A 58003-2023 karta.png", "A 58003-2023")</f>
        <v/>
      </c>
      <c r="Y117">
        <f>HYPERLINK("https://klasma.github.io/Logging_1290/kartor_geotiff/A 58003-2023 georefererad karta.tif", "A 58003-2023")</f>
        <v/>
      </c>
      <c r="AA117">
        <f>HYPERLINK("https://klasma.github.io/Logging_1290/klagomål/A 58003-2023 FSC-klagomål.docx", "A 58003-2023")</f>
        <v/>
      </c>
      <c r="AB117">
        <f>HYPERLINK("https://klasma.github.io/Logging_1290/klagomålsmail/A 58003-2023 FSC-klagomål mail.docx", "A 58003-2023")</f>
        <v/>
      </c>
      <c r="AC117">
        <f>HYPERLINK("https://klasma.github.io/Logging_1290/tillsyn/A 58003-2023 tillsynsbegäran.docx", "A 58003-2023")</f>
        <v/>
      </c>
      <c r="AD117">
        <f>HYPERLINK("https://klasma.github.io/Logging_1290/tillsynsmail/A 58003-2023 tillsynsbegäran mail.docx", "A 58003-2023")</f>
        <v/>
      </c>
    </row>
    <row r="118" ht="15" customHeight="1">
      <c r="A118" t="inlineStr">
        <is>
          <t>A 52012-2024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46235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Luddfingerört</t>
        </is>
      </c>
      <c r="W118">
        <f>HYPERLINK("https://klasma.github.io/Logging_1290/artfynd/A 52012-2024 artfynd.xlsx", "A 52012-2024")</f>
        <v/>
      </c>
      <c r="X118">
        <f>HYPERLINK("https://klasma.github.io/Logging_1290/kartor/A 52012-2024 karta.png", "A 52012-2024")</f>
        <v/>
      </c>
      <c r="Y118">
        <f>HYPERLINK("https://klasma.github.io/Logging_1290/kartor_geotiff/A 52012-2024 georefererad karta.tif", "A 52012-2024")</f>
        <v/>
      </c>
      <c r="AA118">
        <f>HYPERLINK("https://klasma.github.io/Logging_1290/klagomål/A 52012-2024 FSC-klagomål.docx", "A 52012-2024")</f>
        <v/>
      </c>
      <c r="AB118">
        <f>HYPERLINK("https://klasma.github.io/Logging_1290/klagomålsmail/A 52012-2024 FSC-klagomål mail.docx", "A 52012-2024")</f>
        <v/>
      </c>
      <c r="AC118">
        <f>HYPERLINK("https://klasma.github.io/Logging_1290/tillsyn/A 52012-2024 tillsynsbegäran.docx", "A 52012-2024")</f>
        <v/>
      </c>
      <c r="AD118">
        <f>HYPERLINK("https://klasma.github.io/Logging_1290/tillsynsmail/A 52012-2024 tillsynsbegäran mail.docx", "A 52012-2024")</f>
        <v/>
      </c>
    </row>
    <row r="119" ht="15" customHeight="1">
      <c r="A119" t="inlineStr">
        <is>
          <t>A 14232-2023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46235</v>
      </c>
      <c r="F119" t="inlineStr">
        <is>
          <t>SKÅNE LÄN</t>
        </is>
      </c>
      <c r="G119" t="inlineStr">
        <is>
          <t>KRISTIANSTAD</t>
        </is>
      </c>
      <c r="I119" t="n">
        <v>7.1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Gullviva</t>
        </is>
      </c>
      <c r="W119">
        <f>HYPERLINK("https://klasma.github.io/Logging_1290/artfynd/A 14232-2023 artfynd.xlsx", "A 14232-2023")</f>
        <v/>
      </c>
      <c r="X119">
        <f>HYPERLINK("https://klasma.github.io/Logging_1290/kartor/A 14232-2023 karta.png", "A 14232-2023")</f>
        <v/>
      </c>
      <c r="Y119">
        <f>HYPERLINK("https://klasma.github.io/Logging_1290/kartor_geotiff/A 14232-2023 georefererad karta.tif", "A 14232-2023")</f>
        <v/>
      </c>
      <c r="AA119">
        <f>HYPERLINK("https://klasma.github.io/Logging_1290/klagomål/A 14232-2023 FSC-klagomål.docx", "A 14232-2023")</f>
        <v/>
      </c>
      <c r="AB119">
        <f>HYPERLINK("https://klasma.github.io/Logging_1290/klagomålsmail/A 14232-2023 FSC-klagomål mail.docx", "A 14232-2023")</f>
        <v/>
      </c>
      <c r="AC119">
        <f>HYPERLINK("https://klasma.github.io/Logging_1290/tillsyn/A 14232-2023 tillsynsbegäran.docx", "A 14232-2023")</f>
        <v/>
      </c>
      <c r="AD119">
        <f>HYPERLINK("https://klasma.github.io/Logging_1290/tillsynsmail/A 14232-2023 tillsynsbegäran mail.docx", "A 14232-2023")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46235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46235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46235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27606-2026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46235</v>
      </c>
      <c r="F123" t="inlineStr">
        <is>
          <t>SKÅNE LÄN</t>
        </is>
      </c>
      <c r="G123" t="inlineStr">
        <is>
          <t>KRISTIANSTAD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Flodpärlmussla</t>
        </is>
      </c>
      <c r="W123">
        <f>HYPERLINK("https://klasma.github.io/Logging_1290/artfynd/A 27606-2026 artfynd.xlsx", "A 27606-2026")</f>
        <v/>
      </c>
      <c r="X123">
        <f>HYPERLINK("https://klasma.github.io/Logging_1290/kartor/A 27606-2026 karta.png", "A 27606-2026")</f>
        <v/>
      </c>
      <c r="Y123">
        <f>HYPERLINK("https://klasma.github.io/Logging_1290/kartor_geotiff/A 27606-2026 georefererad karta.tif", "A 27606-2026")</f>
        <v/>
      </c>
      <c r="AA123">
        <f>HYPERLINK("https://klasma.github.io/Logging_1290/klagomål/A 27606-2026 FSC-klagomål.docx", "A 27606-2026")</f>
        <v/>
      </c>
      <c r="AB123">
        <f>HYPERLINK("https://klasma.github.io/Logging_1290/klagomålsmail/A 27606-2026 FSC-klagomål mail.docx", "A 27606-2026")</f>
        <v/>
      </c>
      <c r="AC123">
        <f>HYPERLINK("https://klasma.github.io/Logging_1290/tillsyn/A 27606-2026 tillsynsbegäran.docx", "A 27606-2026")</f>
        <v/>
      </c>
      <c r="AD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46235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17023-2025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46235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Ekskinn</t>
        </is>
      </c>
      <c r="W125">
        <f>HYPERLINK("https://klasma.github.io/Logging_1290/artfynd/A 17023-2025 artfynd.xlsx", "A 17023-2025")</f>
        <v/>
      </c>
      <c r="X125">
        <f>HYPERLINK("https://klasma.github.io/Logging_1290/kartor/A 17023-2025 karta.png", "A 17023-2025")</f>
        <v/>
      </c>
      <c r="Y125">
        <f>HYPERLINK("https://klasma.github.io/Logging_1290/kartor_geotiff/A 17023-2025 georefererad karta.tif", "A 17023-2025")</f>
        <v/>
      </c>
      <c r="AA125">
        <f>HYPERLINK("https://klasma.github.io/Logging_1290/klagomål/A 17023-2025 FSC-klagomål.docx", "A 17023-2025")</f>
        <v/>
      </c>
      <c r="AB125">
        <f>HYPERLINK("https://klasma.github.io/Logging_1290/klagomålsmail/A 17023-2025 FSC-klagomål mail.docx", "A 17023-2025")</f>
        <v/>
      </c>
      <c r="AC125">
        <f>HYPERLINK("https://klasma.github.io/Logging_1290/tillsyn/A 17023-2025 tillsynsbegäran.docx", "A 17023-2025")</f>
        <v/>
      </c>
      <c r="AD125">
        <f>HYPERLINK("https://klasma.github.io/Logging_1290/tillsynsmail/A 17023-2025 tillsynsbegäran mail.docx", "A 17023-2025")</f>
        <v/>
      </c>
    </row>
    <row r="126" ht="15" customHeight="1">
      <c r="A126" t="inlineStr">
        <is>
          <t>A 33883-2025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46235</v>
      </c>
      <c r="F126" t="inlineStr">
        <is>
          <t>SKÅNE LÄN</t>
        </is>
      </c>
      <c r="G126" t="inlineStr">
        <is>
          <t>KRISTIANSTAD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Stor häxört</t>
        </is>
      </c>
      <c r="W126">
        <f>HYPERLINK("https://klasma.github.io/Logging_1290/artfynd/A 33883-2025 artfynd.xlsx", "A 33883-2025")</f>
        <v/>
      </c>
      <c r="X126">
        <f>HYPERLINK("https://klasma.github.io/Logging_1290/kartor/A 33883-2025 karta.png", "A 33883-2025")</f>
        <v/>
      </c>
      <c r="Y126">
        <f>HYPERLINK("https://klasma.github.io/Logging_1290/kartor_geotiff/A 33883-2025 georefererad karta.tif", "A 33883-2025")</f>
        <v/>
      </c>
      <c r="AA126">
        <f>HYPERLINK("https://klasma.github.io/Logging_1290/klagomål/A 33883-2025 FSC-klagomål.docx", "A 33883-2025")</f>
        <v/>
      </c>
      <c r="AB126">
        <f>HYPERLINK("https://klasma.github.io/Logging_1290/klagomålsmail/A 33883-2025 FSC-klagomål mail.docx", "A 33883-2025")</f>
        <v/>
      </c>
      <c r="AC126">
        <f>HYPERLINK("https://klasma.github.io/Logging_1290/tillsyn/A 33883-2025 tillsynsbegäran.docx", "A 33883-2025")</f>
        <v/>
      </c>
      <c r="AD126">
        <f>HYPERLINK("https://klasma.github.io/Logging_1290/tillsynsmail/A 33883-2025 tillsynsbegäran mail.docx", "A 33883-2025")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46235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18539-2022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46235</v>
      </c>
      <c r="F128" t="inlineStr">
        <is>
          <t>SKÅNE LÄN</t>
        </is>
      </c>
      <c r="G128" t="inlineStr">
        <is>
          <t>KRISTIANSTAD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Skogslysing</t>
        </is>
      </c>
      <c r="W128">
        <f>HYPERLINK("https://klasma.github.io/Logging_1290/artfynd/A 18539-2022 artfynd.xlsx", "A 18539-2022")</f>
        <v/>
      </c>
      <c r="X128">
        <f>HYPERLINK("https://klasma.github.io/Logging_1290/kartor/A 18539-2022 karta.png", "A 18539-2022")</f>
        <v/>
      </c>
      <c r="Y128">
        <f>HYPERLINK("https://klasma.github.io/Logging_1290/kartor_geotiff/A 18539-2022 georefererad karta.tif", "A 18539-2022")</f>
        <v/>
      </c>
      <c r="AA128">
        <f>HYPERLINK("https://klasma.github.io/Logging_1290/klagomål/A 18539-2022 FSC-klagomål.docx", "A 18539-2022")</f>
        <v/>
      </c>
      <c r="AB128">
        <f>HYPERLINK("https://klasma.github.io/Logging_1290/klagomålsmail/A 18539-2022 FSC-klagomål mail.docx", "A 18539-2022")</f>
        <v/>
      </c>
      <c r="AC128">
        <f>HYPERLINK("https://klasma.github.io/Logging_1290/tillsyn/A 18539-2022 tillsynsbegäran.docx", "A 18539-2022")</f>
        <v/>
      </c>
      <c r="AD128">
        <f>HYPERLINK("https://klasma.github.io/Logging_1290/tillsynsmail/A 18539-2022 tillsynsbegäran mail.docx", "A 18539-2022")</f>
        <v/>
      </c>
    </row>
    <row r="129" ht="15" customHeight="1">
      <c r="A129" t="inlineStr">
        <is>
          <t>A 52014-2024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46235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Luddfingerört</t>
        </is>
      </c>
      <c r="W129">
        <f>HYPERLINK("https://klasma.github.io/Logging_1290/artfynd/A 52014-2024 artfynd.xlsx", "A 52014-2024")</f>
        <v/>
      </c>
      <c r="X129">
        <f>HYPERLINK("https://klasma.github.io/Logging_1290/kartor/A 52014-2024 karta.png", "A 52014-2024")</f>
        <v/>
      </c>
      <c r="Y129">
        <f>HYPERLINK("https://klasma.github.io/Logging_1290/kartor_geotiff/A 52014-2024 georefererad karta.tif", "A 52014-2024")</f>
        <v/>
      </c>
      <c r="AA129">
        <f>HYPERLINK("https://klasma.github.io/Logging_1290/klagomål/A 52014-2024 FSC-klagomål.docx", "A 52014-2024")</f>
        <v/>
      </c>
      <c r="AB129">
        <f>HYPERLINK("https://klasma.github.io/Logging_1290/klagomålsmail/A 52014-2024 FSC-klagomål mail.docx", "A 52014-2024")</f>
        <v/>
      </c>
      <c r="AC129">
        <f>HYPERLINK("https://klasma.github.io/Logging_1290/tillsyn/A 52014-2024 tillsynsbegäran.docx", "A 52014-2024")</f>
        <v/>
      </c>
      <c r="AD129">
        <f>HYPERLINK("https://klasma.github.io/Logging_1290/tillsynsmail/A 52014-2024 tillsynsbegäran mail.docx", "A 52014-2024")</f>
        <v/>
      </c>
    </row>
    <row r="130" ht="15" customHeight="1">
      <c r="A130" t="inlineStr">
        <is>
          <t>A 15706-2025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46235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HYPERLINK("https://klasma.github.io/Logging_1290/artfynd/A 15706-2025 artfynd.xlsx", "A 15706-2025")</f>
        <v/>
      </c>
      <c r="X130">
        <f>HYPERLINK("https://klasma.github.io/Logging_1290/kartor/A 15706-2025 karta.png", "A 15706-2025")</f>
        <v/>
      </c>
      <c r="Y130">
        <f>HYPERLINK("https://klasma.github.io/Logging_1290/kartor_geotiff/A 15706-2025 georefererad karta.tif", "A 15706-2025")</f>
        <v/>
      </c>
      <c r="AA130">
        <f>HYPERLINK("https://klasma.github.io/Logging_1290/klagomål/A 15706-2025 FSC-klagomål.docx", "A 15706-2025")</f>
        <v/>
      </c>
      <c r="AB130">
        <f>HYPERLINK("https://klasma.github.io/Logging_1290/klagomålsmail/A 15706-2025 FSC-klagomål mail.docx", "A 15706-2025")</f>
        <v/>
      </c>
      <c r="AC130">
        <f>HYPERLINK("https://klasma.github.io/Logging_1290/tillsyn/A 15706-2025 tillsynsbegäran.docx", "A 15706-2025")</f>
        <v/>
      </c>
      <c r="AD130">
        <f>HYPERLINK("https://klasma.github.io/Logging_1290/tillsynsmail/A 15706-2025 tillsynsbegäran mail.docx", "A 15706-2025")</f>
        <v/>
      </c>
    </row>
    <row r="131" ht="15" customHeight="1">
      <c r="A131" t="inlineStr">
        <is>
          <t>A 28425-2024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46235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Missne</t>
        </is>
      </c>
      <c r="W131">
        <f>HYPERLINK("https://klasma.github.io/Logging_1290/artfynd/A 28425-2024 artfynd.xlsx", "A 28425-2024")</f>
        <v/>
      </c>
      <c r="X131">
        <f>HYPERLINK("https://klasma.github.io/Logging_1290/kartor/A 28425-2024 karta.png", "A 28425-2024")</f>
        <v/>
      </c>
      <c r="Y131">
        <f>HYPERLINK("https://klasma.github.io/Logging_1290/kartor_geotiff/A 28425-2024 georefererad karta.tif", "A 28425-2024")</f>
        <v/>
      </c>
      <c r="AA131">
        <f>HYPERLINK("https://klasma.github.io/Logging_1290/klagomål/A 28425-2024 FSC-klagomål.docx", "A 28425-2024")</f>
        <v/>
      </c>
      <c r="AB131">
        <f>HYPERLINK("https://klasma.github.io/Logging_1290/klagomålsmail/A 28425-2024 FSC-klagomål mail.docx", "A 28425-2024")</f>
        <v/>
      </c>
      <c r="AC131">
        <f>HYPERLINK("https://klasma.github.io/Logging_1290/tillsyn/A 28425-2024 tillsynsbegäran.docx", "A 28425-2024")</f>
        <v/>
      </c>
      <c r="AD131">
        <f>HYPERLINK("https://klasma.github.io/Logging_1290/tillsynsmail/A 28425-2024 tillsynsbegäran mail.docx", "A 28425-2024")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46235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22272-2024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45446</v>
      </c>
      <c r="E133" s="1" t="n">
        <v>46235</v>
      </c>
      <c r="F133" t="inlineStr">
        <is>
          <t>SKÅNE LÄN</t>
        </is>
      </c>
      <c r="G133" t="inlineStr">
        <is>
          <t>KRISTIANSTAD</t>
        </is>
      </c>
      <c r="I133" t="n">
        <v>5.7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Dubbelnycklar</t>
        </is>
      </c>
      <c r="W133">
        <f>HYPERLINK("https://klasma.github.io/Logging_1290/artfynd/A 22272-2024 artfynd.xlsx", "A 22272-2024")</f>
        <v/>
      </c>
      <c r="X133">
        <f>HYPERLINK("https://klasma.github.io/Logging_1290/kartor/A 22272-2024 karta.png", "A 22272-2024")</f>
        <v/>
      </c>
      <c r="Y133">
        <f>HYPERLINK("https://klasma.github.io/Logging_1290/kartor_geotiff/A 22272-2024 georefererad karta.tif", "A 22272-2024")</f>
        <v/>
      </c>
      <c r="AA133">
        <f>HYPERLINK("https://klasma.github.io/Logging_1290/klagomål/A 22272-2024 FSC-klagomål.docx", "A 22272-2024")</f>
        <v/>
      </c>
      <c r="AB133">
        <f>HYPERLINK("https://klasma.github.io/Logging_1290/klagomålsmail/A 22272-2024 FSC-klagomål mail.docx", "A 22272-2024")</f>
        <v/>
      </c>
      <c r="AC133">
        <f>HYPERLINK("https://klasma.github.io/Logging_1290/tillsyn/A 22272-2024 tillsynsbegäran.docx", "A 22272-2024")</f>
        <v/>
      </c>
      <c r="AD133">
        <f>HYPERLINK("https://klasma.github.io/Logging_1290/tillsynsmail/A 22272-2024 tillsynsbegäran mail.docx", "A 22272-2024")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46235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Desmeknopp</t>
        </is>
      </c>
      <c r="W134">
        <f>HYPERLINK("https://klasma.github.io/Logging_1290/artfynd/A 19704-2026 artfynd.xlsx", "A 19704-2026")</f>
        <v/>
      </c>
      <c r="X134">
        <f>HYPERLINK("https://klasma.github.io/Logging_1290/kartor/A 19704-2026 karta.png", "A 19704-2026")</f>
        <v/>
      </c>
      <c r="Y134">
        <f>HYPERLINK("https://klasma.github.io/Logging_1290/kartor_geotiff/A 19704-2026 georefererad karta.tif", "A 19704-2026")</f>
        <v/>
      </c>
      <c r="AA134">
        <f>HYPERLINK("https://klasma.github.io/Logging_1290/klagomål/A 19704-2026 FSC-klagomål.docx", "A 19704-2026")</f>
        <v/>
      </c>
      <c r="AB134">
        <f>HYPERLINK("https://klasma.github.io/Logging_1290/klagomålsmail/A 19704-2026 FSC-klagomål mail.docx", "A 19704-2026")</f>
        <v/>
      </c>
      <c r="AC134">
        <f>HYPERLINK("https://klasma.github.io/Logging_1290/tillsyn/A 19704-2026 tillsynsbegäran.docx", "A 19704-2026")</f>
        <v/>
      </c>
      <c r="AD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62367-2023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45267</v>
      </c>
      <c r="E135" s="1" t="n">
        <v>46235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HYPERLINK("https://klasma.github.io/Logging_1290/artfynd/A 62367-2023 artfynd.xlsx", "A 62367-2023")</f>
        <v/>
      </c>
      <c r="X135">
        <f>HYPERLINK("https://klasma.github.io/Logging_1290/kartor/A 62367-2023 karta.png", "A 62367-2023")</f>
        <v/>
      </c>
      <c r="Y135">
        <f>HYPERLINK("https://klasma.github.io/Logging_1290/kartor_geotiff/A 62367-2023 georefererad karta.tif", "A 62367-2023")</f>
        <v/>
      </c>
      <c r="AA135">
        <f>HYPERLINK("https://klasma.github.io/Logging_1290/klagomål/A 62367-2023 FSC-klagomål.docx", "A 62367-2023")</f>
        <v/>
      </c>
      <c r="AB135">
        <f>HYPERLINK("https://klasma.github.io/Logging_1290/klagomålsmail/A 62367-2023 FSC-klagomål mail.docx", "A 62367-2023")</f>
        <v/>
      </c>
      <c r="AC135">
        <f>HYPERLINK("https://klasma.github.io/Logging_1290/tillsyn/A 62367-2023 tillsynsbegäran.docx", "A 62367-2023")</f>
        <v/>
      </c>
      <c r="AD135">
        <f>HYPERLINK("https://klasma.github.io/Logging_1290/tillsynsmail/A 62367-2023 tillsynsbegäran mail.docx", "A 62367-2023")</f>
        <v/>
      </c>
    </row>
    <row r="136" ht="15" customHeight="1">
      <c r="A136" t="inlineStr">
        <is>
          <t>A 4615-2024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46235</v>
      </c>
      <c r="F136" t="inlineStr">
        <is>
          <t>SKÅNE LÄN</t>
        </is>
      </c>
      <c r="G136" t="inlineStr">
        <is>
          <t>KRISTIANSTAD</t>
        </is>
      </c>
      <c r="I136" t="n">
        <v>6.6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Skogslysing</t>
        </is>
      </c>
      <c r="W136">
        <f>HYPERLINK("https://klasma.github.io/Logging_1290/artfynd/A 4615-2024 artfynd.xlsx", "A 4615-2024")</f>
        <v/>
      </c>
      <c r="X136">
        <f>HYPERLINK("https://klasma.github.io/Logging_1290/kartor/A 4615-2024 karta.png", "A 4615-2024")</f>
        <v/>
      </c>
      <c r="Y136">
        <f>HYPERLINK("https://klasma.github.io/Logging_1290/kartor_geotiff/A 4615-2024 georefererad karta.tif", "A 4615-2024")</f>
        <v/>
      </c>
      <c r="AA136">
        <f>HYPERLINK("https://klasma.github.io/Logging_1290/klagomål/A 4615-2024 FSC-klagomål.docx", "A 4615-2024")</f>
        <v/>
      </c>
      <c r="AB136">
        <f>HYPERLINK("https://klasma.github.io/Logging_1290/klagomålsmail/A 4615-2024 FSC-klagomål mail.docx", "A 4615-2024")</f>
        <v/>
      </c>
      <c r="AC136">
        <f>HYPERLINK("https://klasma.github.io/Logging_1290/tillsyn/A 4615-2024 tillsynsbegäran.docx", "A 4615-2024")</f>
        <v/>
      </c>
      <c r="AD136">
        <f>HYPERLINK("https://klasma.github.io/Logging_1290/tillsynsmail/A 4615-2024 tillsynsbegäran mail.docx", "A 4615-2024")</f>
        <v/>
      </c>
    </row>
    <row r="137" ht="15" customHeight="1">
      <c r="A137" t="inlineStr">
        <is>
          <t>A 8290-2024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46235</v>
      </c>
      <c r="F137" t="inlineStr">
        <is>
          <t>SKÅNE LÄN</t>
        </is>
      </c>
      <c r="G137" t="inlineStr">
        <is>
          <t>KRISTIANSTAD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Lömsk flugsvamp</t>
        </is>
      </c>
      <c r="W137">
        <f>HYPERLINK("https://klasma.github.io/Logging_1290/artfynd/A 8290-2024 artfynd.xlsx", "A 8290-2024")</f>
        <v/>
      </c>
      <c r="X137">
        <f>HYPERLINK("https://klasma.github.io/Logging_1290/kartor/A 8290-2024 karta.png", "A 8290-2024")</f>
        <v/>
      </c>
      <c r="Y137">
        <f>HYPERLINK("https://klasma.github.io/Logging_1290/kartor_geotiff/A 8290-2024 georefererad karta.tif", "A 8290-2024")</f>
        <v/>
      </c>
      <c r="AA137">
        <f>HYPERLINK("https://klasma.github.io/Logging_1290/klagomål/A 8290-2024 FSC-klagomål.docx", "A 8290-2024")</f>
        <v/>
      </c>
      <c r="AB137">
        <f>HYPERLINK("https://klasma.github.io/Logging_1290/klagomålsmail/A 8290-2024 FSC-klagomål mail.docx", "A 8290-2024")</f>
        <v/>
      </c>
      <c r="AC137">
        <f>HYPERLINK("https://klasma.github.io/Logging_1290/tillsyn/A 8290-2024 tillsynsbegäran.docx", "A 8290-2024")</f>
        <v/>
      </c>
      <c r="AD137">
        <f>HYPERLINK("https://klasma.github.io/Logging_1290/tillsynsmail/A 8290-2024 tillsynsbegäran mail.docx", "A 8290-2024")</f>
        <v/>
      </c>
    </row>
    <row r="138" ht="15" customHeight="1">
      <c r="A138" t="inlineStr">
        <is>
          <t>A 1188-2024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46235</v>
      </c>
      <c r="F138" t="inlineStr">
        <is>
          <t>SKÅNE LÄN</t>
        </is>
      </c>
      <c r="G138" t="inlineStr">
        <is>
          <t>KRISTIANSTAD</t>
        </is>
      </c>
      <c r="I138" t="n">
        <v>6.1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Backsippa</t>
        </is>
      </c>
      <c r="W138">
        <f>HYPERLINK("https://klasma.github.io/Logging_1290/artfynd/A 1188-2024 artfynd.xlsx", "A 1188-2024")</f>
        <v/>
      </c>
      <c r="X138">
        <f>HYPERLINK("https://klasma.github.io/Logging_1290/kartor/A 1188-2024 karta.png", "A 1188-2024")</f>
        <v/>
      </c>
      <c r="Y138">
        <f>HYPERLINK("https://klasma.github.io/Logging_1290/kartor_geotiff/A 1188-2024 georefererad karta.tif", "A 1188-2024")</f>
        <v/>
      </c>
      <c r="AA138">
        <f>HYPERLINK("https://klasma.github.io/Logging_1290/klagomål/A 1188-2024 FSC-klagomål.docx", "A 1188-2024")</f>
        <v/>
      </c>
      <c r="AB138">
        <f>HYPERLINK("https://klasma.github.io/Logging_1290/klagomålsmail/A 1188-2024 FSC-klagomål mail.docx", "A 1188-2024")</f>
        <v/>
      </c>
      <c r="AC138">
        <f>HYPERLINK("https://klasma.github.io/Logging_1290/tillsyn/A 1188-2024 tillsynsbegäran.docx", "A 1188-2024")</f>
        <v/>
      </c>
      <c r="AD138">
        <f>HYPERLINK("https://klasma.github.io/Logging_1290/tillsynsmail/A 1188-2024 tillsynsbegäran mail.docx", "A 1188-2024")</f>
        <v/>
      </c>
    </row>
    <row r="139" ht="15" customHeight="1">
      <c r="A139" t="inlineStr">
        <is>
          <t>A 30925-2022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44767</v>
      </c>
      <c r="E139" s="1" t="n">
        <v>46235</v>
      </c>
      <c r="F139" t="inlineStr">
        <is>
          <t>SKÅNE LÄN</t>
        </is>
      </c>
      <c r="G139" t="inlineStr">
        <is>
          <t>KRISTIANSTAD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Sjötåtel</t>
        </is>
      </c>
      <c r="W139">
        <f>HYPERLINK("https://klasma.github.io/Logging_1290/artfynd/A 30925-2022 artfynd.xlsx", "A 30925-2022")</f>
        <v/>
      </c>
      <c r="X139">
        <f>HYPERLINK("https://klasma.github.io/Logging_1290/kartor/A 30925-2022 karta.png", "A 30925-2022")</f>
        <v/>
      </c>
      <c r="Y139">
        <f>HYPERLINK("https://klasma.github.io/Logging_1290/kartor_geotiff/A 30925-2022 georefererad karta.tif", "A 30925-2022")</f>
        <v/>
      </c>
      <c r="AA139">
        <f>HYPERLINK("https://klasma.github.io/Logging_1290/klagomål/A 30925-2022 FSC-klagomål.docx", "A 30925-2022")</f>
        <v/>
      </c>
      <c r="AB139">
        <f>HYPERLINK("https://klasma.github.io/Logging_1290/klagomålsmail/A 30925-2022 FSC-klagomål mail.docx", "A 30925-2022")</f>
        <v/>
      </c>
      <c r="AC139">
        <f>HYPERLINK("https://klasma.github.io/Logging_1290/tillsyn/A 30925-2022 tillsynsbegäran.docx", "A 30925-2022")</f>
        <v/>
      </c>
      <c r="AD139">
        <f>HYPERLINK("https://klasma.github.io/Logging_1290/tillsynsmail/A 30925-2022 tillsynsbegäran mail.docx", "A 30925-2022")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46235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46235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46235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A 32101-2024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46235</v>
      </c>
      <c r="F143" t="inlineStr">
        <is>
          <t>SKÅNE LÄN</t>
        </is>
      </c>
      <c r="G143" t="inlineStr">
        <is>
          <t>KRISTIANSTAD</t>
        </is>
      </c>
      <c r="I143" t="n">
        <v>6.6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HYPERLINK("https://klasma.github.io/Logging_1290/artfynd/A 32101-2024 artfynd.xlsx", "A 32101-2024")</f>
        <v/>
      </c>
      <c r="X143">
        <f>HYPERLINK("https://klasma.github.io/Logging_1290/kartor/A 32101-2024 karta.png", "A 32101-2024")</f>
        <v/>
      </c>
      <c r="Y143">
        <f>HYPERLINK("https://klasma.github.io/Logging_1290/kartor_geotiff/A 32101-2024 georefererad karta.tif", "A 32101-2024")</f>
        <v/>
      </c>
      <c r="AA143">
        <f>HYPERLINK("https://klasma.github.io/Logging_1290/klagomål/A 32101-2024 FSC-klagomål.docx", "A 32101-2024")</f>
        <v/>
      </c>
      <c r="AB143">
        <f>HYPERLINK("https://klasma.github.io/Logging_1290/klagomålsmail/A 32101-2024 FSC-klagomål mail.docx", "A 32101-2024")</f>
        <v/>
      </c>
      <c r="AC143">
        <f>HYPERLINK("https://klasma.github.io/Logging_1290/tillsyn/A 32101-2024 tillsynsbegäran.docx", "A 32101-2024")</f>
        <v/>
      </c>
      <c r="AD143">
        <f>HYPERLINK("https://klasma.github.io/Logging_1290/tillsynsmail/A 32101-2024 tillsynsbegäran mail.docx", "A 32101-2024")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46235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46235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46235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46235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46235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46235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46235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46235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46235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46235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46235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46235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46235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46235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46235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46235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46235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46235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46235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46235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46235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46235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46235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46235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46235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46235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46235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46235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46235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46235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46235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46235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46235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46235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46235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46235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46235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46235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46235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46235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46235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46235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46235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46235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46235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46235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46235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46235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46235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46235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46235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46235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46235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46235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46235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46235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46235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46235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45323</v>
      </c>
      <c r="E202" s="1" t="n">
        <v>46235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46235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45465</v>
      </c>
      <c r="E204" s="1" t="n">
        <v>46235</v>
      </c>
      <c r="F204" t="inlineStr">
        <is>
          <t>SKÅNE LÄN</t>
        </is>
      </c>
      <c r="G204" t="inlineStr">
        <is>
          <t>KRISTIANSTAD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46235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44685</v>
      </c>
      <c r="E206" s="1" t="n">
        <v>46235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46235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46235</v>
      </c>
      <c r="F208" t="inlineStr">
        <is>
          <t>SKÅNE LÄN</t>
        </is>
      </c>
      <c r="G208" t="inlineStr">
        <is>
          <t>KRISTIANSTAD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46235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46235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46235</v>
      </c>
      <c r="F211" t="inlineStr">
        <is>
          <t>SKÅNE LÄN</t>
        </is>
      </c>
      <c r="G211" t="inlineStr">
        <is>
          <t>KRISTIANSTAD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46235</v>
      </c>
      <c r="F212" t="inlineStr">
        <is>
          <t>SKÅNE LÄN</t>
        </is>
      </c>
      <c r="G212" t="inlineStr">
        <is>
          <t>KRISTIANSTAD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46235</v>
      </c>
      <c r="F213" t="inlineStr">
        <is>
          <t>SKÅNE LÄN</t>
        </is>
      </c>
      <c r="G213" t="inlineStr">
        <is>
          <t>KRISTIANSTAD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46235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46235</v>
      </c>
      <c r="F215" t="inlineStr">
        <is>
          <t>SKÅNE LÄN</t>
        </is>
      </c>
      <c r="G215" t="inlineStr">
        <is>
          <t>KRISTIANSTAD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46235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46235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46235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46235</v>
      </c>
      <c r="F219" t="inlineStr">
        <is>
          <t>SKÅNE LÄN</t>
        </is>
      </c>
      <c r="G219" t="inlineStr">
        <is>
          <t>KRISTIANSTAD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45485</v>
      </c>
      <c r="E220" s="1" t="n">
        <v>46235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45035</v>
      </c>
      <c r="E221" s="1" t="n">
        <v>46235</v>
      </c>
      <c r="F221" t="inlineStr">
        <is>
          <t>SKÅNE LÄN</t>
        </is>
      </c>
      <c r="G221" t="inlineStr">
        <is>
          <t>KRISTIANSTAD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46235</v>
      </c>
      <c r="F222" t="inlineStr">
        <is>
          <t>SKÅNE LÄN</t>
        </is>
      </c>
      <c r="G222" t="inlineStr">
        <is>
          <t>KRISTIANSTAD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46235</v>
      </c>
      <c r="F223" t="inlineStr">
        <is>
          <t>SKÅNE LÄN</t>
        </is>
      </c>
      <c r="G223" t="inlineStr">
        <is>
          <t>KRISTIANSTAD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46235</v>
      </c>
      <c r="F224" t="inlineStr">
        <is>
          <t>SKÅNE LÄN</t>
        </is>
      </c>
      <c r="G224" t="inlineStr">
        <is>
          <t>KRISTIANSTAD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46235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46235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46235</v>
      </c>
      <c r="F227" t="inlineStr">
        <is>
          <t>SKÅNE LÄN</t>
        </is>
      </c>
      <c r="G227" t="inlineStr">
        <is>
          <t>KRISTIANSTAD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46235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46235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45337</v>
      </c>
      <c r="E230" s="1" t="n">
        <v>46235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46235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45303</v>
      </c>
      <c r="E232" s="1" t="n">
        <v>46235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19.7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46235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46235</v>
      </c>
      <c r="F234" t="inlineStr">
        <is>
          <t>SKÅNE LÄN</t>
        </is>
      </c>
      <c r="G234" t="inlineStr">
        <is>
          <t>KRISTIANSTAD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45532</v>
      </c>
      <c r="E235" s="1" t="n">
        <v>46235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46235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46235</v>
      </c>
      <c r="F237" t="inlineStr">
        <is>
          <t>SKÅNE LÄN</t>
        </is>
      </c>
      <c r="G237" t="inlineStr">
        <is>
          <t>KRISTIANSTAD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13953-2025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45737</v>
      </c>
      <c r="E238" s="1" t="n">
        <v>46235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46235</v>
      </c>
      <c r="F239" t="inlineStr">
        <is>
          <t>SKÅNE LÄN</t>
        </is>
      </c>
      <c r="G239" t="inlineStr">
        <is>
          <t>KRISTIANSTAD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46235</v>
      </c>
      <c r="F240" t="inlineStr">
        <is>
          <t>SKÅNE LÄN</t>
        </is>
      </c>
      <c r="G240" t="inlineStr">
        <is>
          <t>KRISTIANSTAD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46235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45379</v>
      </c>
      <c r="E242" s="1" t="n">
        <v>46235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46235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45416</v>
      </c>
      <c r="E244" s="1" t="n">
        <v>46235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46235</v>
      </c>
      <c r="F245" t="inlineStr">
        <is>
          <t>SKÅNE LÄN</t>
        </is>
      </c>
      <c r="G245" t="inlineStr">
        <is>
          <t>KRISTIANSTAD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46235</v>
      </c>
      <c r="F246" t="inlineStr">
        <is>
          <t>SKÅNE LÄN</t>
        </is>
      </c>
      <c r="G246" t="inlineStr">
        <is>
          <t>KRISTIANSTAD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47652-2023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45198</v>
      </c>
      <c r="E247" s="1" t="n">
        <v>46235</v>
      </c>
      <c r="F247" t="inlineStr">
        <is>
          <t>SKÅNE LÄN</t>
        </is>
      </c>
      <c r="G247" t="inlineStr">
        <is>
          <t>KRISTIANSTAD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44847</v>
      </c>
      <c r="E248" s="1" t="n">
        <v>46235</v>
      </c>
      <c r="F248" t="inlineStr">
        <is>
          <t>SKÅNE LÄN</t>
        </is>
      </c>
      <c r="G248" t="inlineStr">
        <is>
          <t>KRISTIANSTAD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45573</v>
      </c>
      <c r="E249" s="1" t="n">
        <v>46235</v>
      </c>
      <c r="F249" t="inlineStr">
        <is>
          <t>SKÅNE LÄN</t>
        </is>
      </c>
      <c r="G249" t="inlineStr">
        <is>
          <t>KRISTIANSTAD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44993</v>
      </c>
      <c r="E250" s="1" t="n">
        <v>46235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46235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45233</v>
      </c>
      <c r="E252" s="1" t="n">
        <v>46235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44419</v>
      </c>
      <c r="E253" s="1" t="n">
        <v>46235</v>
      </c>
      <c r="F253" t="inlineStr">
        <is>
          <t>SKÅNE LÄN</t>
        </is>
      </c>
      <c r="G253" t="inlineStr">
        <is>
          <t>KRISTIANSTAD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46235</v>
      </c>
      <c r="F254" t="inlineStr">
        <is>
          <t>SKÅNE LÄN</t>
        </is>
      </c>
      <c r="G254" t="inlineStr">
        <is>
          <t>KRISTIANSTAD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46235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44995</v>
      </c>
      <c r="E256" s="1" t="n">
        <v>46235</v>
      </c>
      <c r="F256" t="inlineStr">
        <is>
          <t>SKÅNE LÄN</t>
        </is>
      </c>
      <c r="G256" t="inlineStr">
        <is>
          <t>KRISTIANSTAD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45476</v>
      </c>
      <c r="E257" s="1" t="n">
        <v>46235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46235</v>
      </c>
      <c r="F258" t="inlineStr">
        <is>
          <t>SKÅNE LÄN</t>
        </is>
      </c>
      <c r="G258" t="inlineStr">
        <is>
          <t>KRISTIANSTAD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45420</v>
      </c>
      <c r="E259" s="1" t="n">
        <v>46235</v>
      </c>
      <c r="F259" t="inlineStr">
        <is>
          <t>SKÅNE LÄN</t>
        </is>
      </c>
      <c r="G259" t="inlineStr">
        <is>
          <t>KRISTIANSTAD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46235</v>
      </c>
      <c r="F260" t="inlineStr">
        <is>
          <t>SKÅNE LÄN</t>
        </is>
      </c>
      <c r="G260" t="inlineStr">
        <is>
          <t>KRISTIANSTAD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46235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45408</v>
      </c>
      <c r="E262" s="1" t="n">
        <v>46235</v>
      </c>
      <c r="F262" t="inlineStr">
        <is>
          <t>SKÅNE LÄN</t>
        </is>
      </c>
      <c r="G262" t="inlineStr">
        <is>
          <t>KRISTIANSTAD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44599</v>
      </c>
      <c r="E263" s="1" t="n">
        <v>46235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46235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46235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46235</v>
      </c>
      <c r="F266" t="inlineStr">
        <is>
          <t>SKÅNE LÄN</t>
        </is>
      </c>
      <c r="G266" t="inlineStr">
        <is>
          <t>KRISTIANSTAD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46235</v>
      </c>
      <c r="F267" t="inlineStr">
        <is>
          <t>SKÅNE LÄN</t>
        </is>
      </c>
      <c r="G267" t="inlineStr">
        <is>
          <t>KRISTIANSTAD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46235</v>
      </c>
      <c r="F268" t="inlineStr">
        <is>
          <t>SKÅNE LÄN</t>
        </is>
      </c>
      <c r="G268" t="inlineStr">
        <is>
          <t>KRISTIANSTAD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46235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46235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46235</v>
      </c>
      <c r="F271" t="inlineStr">
        <is>
          <t>SKÅNE LÄN</t>
        </is>
      </c>
      <c r="G271" t="inlineStr">
        <is>
          <t>KRISTIANSTAD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46235</v>
      </c>
      <c r="F272" t="inlineStr">
        <is>
          <t>SKÅNE LÄN</t>
        </is>
      </c>
      <c r="G272" t="inlineStr">
        <is>
          <t>KRISTIANSTAD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46235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46235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58175-2021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44487</v>
      </c>
      <c r="E275" s="1" t="n">
        <v>46235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45121</v>
      </c>
      <c r="E276" s="1" t="n">
        <v>46235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45144</v>
      </c>
      <c r="E277" s="1" t="n">
        <v>46235</v>
      </c>
      <c r="F277" t="inlineStr">
        <is>
          <t>SKÅNE LÄN</t>
        </is>
      </c>
      <c r="G277" t="inlineStr">
        <is>
          <t>KRISTIANSTAD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45144</v>
      </c>
      <c r="E278" s="1" t="n">
        <v>46235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15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46235</v>
      </c>
      <c r="F279" t="inlineStr">
        <is>
          <t>SKÅNE LÄN</t>
        </is>
      </c>
      <c r="G279" t="inlineStr">
        <is>
          <t>KRISTIANSTAD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46235</v>
      </c>
      <c r="F280" t="inlineStr">
        <is>
          <t>SKÅNE LÄN</t>
        </is>
      </c>
      <c r="G280" t="inlineStr">
        <is>
          <t>KRISTIANSTAD</t>
        </is>
      </c>
      <c r="I280" t="n">
        <v>12.6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45896</v>
      </c>
      <c r="E281" s="1" t="n">
        <v>46235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46235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45577</v>
      </c>
      <c r="E283" s="1" t="n">
        <v>46235</v>
      </c>
      <c r="F283" t="inlineStr">
        <is>
          <t>SKÅNE LÄN</t>
        </is>
      </c>
      <c r="G283" t="inlineStr">
        <is>
          <t>KRISTIANSTAD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46235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46235</v>
      </c>
      <c r="F285" t="inlineStr">
        <is>
          <t>SKÅNE LÄN</t>
        </is>
      </c>
      <c r="G285" t="inlineStr">
        <is>
          <t>KRISTIANSTAD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46235</v>
      </c>
      <c r="F286" t="inlineStr">
        <is>
          <t>SKÅNE LÄN</t>
        </is>
      </c>
      <c r="G286" t="inlineStr">
        <is>
          <t>KRISTIANSTAD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20302-2026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46136</v>
      </c>
      <c r="E287" s="1" t="n">
        <v>46235</v>
      </c>
      <c r="F287" t="inlineStr">
        <is>
          <t>SKÅNE LÄN</t>
        </is>
      </c>
      <c r="G287" t="inlineStr">
        <is>
          <t>KRISTIANSTAD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46235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45042</v>
      </c>
      <c r="E289" s="1" t="n">
        <v>46235</v>
      </c>
      <c r="F289" t="inlineStr">
        <is>
          <t>SKÅNE LÄN</t>
        </is>
      </c>
      <c r="G289" t="inlineStr">
        <is>
          <t>KRISTIANSTAD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46235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46235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46235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46235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46235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46235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45338</v>
      </c>
      <c r="E296" s="1" t="n">
        <v>46235</v>
      </c>
      <c r="F296" t="inlineStr">
        <is>
          <t>SKÅNE LÄN</t>
        </is>
      </c>
      <c r="G296" t="inlineStr">
        <is>
          <t>KRISTIANSTAD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53299-2023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45229</v>
      </c>
      <c r="E297" s="1" t="n">
        <v>46235</v>
      </c>
      <c r="F297" t="inlineStr">
        <is>
          <t>SKÅNE LÄN</t>
        </is>
      </c>
      <c r="G297" t="inlineStr">
        <is>
          <t>KRISTIANSTAD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46235</v>
      </c>
      <c r="F298" t="inlineStr">
        <is>
          <t>SKÅNE LÄN</t>
        </is>
      </c>
      <c r="G298" t="inlineStr">
        <is>
          <t>KRISTIANSTAD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46235</v>
      </c>
      <c r="F299" t="inlineStr">
        <is>
          <t>SKÅNE LÄN</t>
        </is>
      </c>
      <c r="G299" t="inlineStr">
        <is>
          <t>KRISTIANSTAD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46235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46235</v>
      </c>
      <c r="F301" t="inlineStr">
        <is>
          <t>SKÅNE LÄN</t>
        </is>
      </c>
      <c r="G301" t="inlineStr">
        <is>
          <t>KRISTIANSTAD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45583</v>
      </c>
      <c r="E302" s="1" t="n">
        <v>46235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46235</v>
      </c>
      <c r="F303" t="inlineStr">
        <is>
          <t>SKÅNE LÄN</t>
        </is>
      </c>
      <c r="G303" t="inlineStr">
        <is>
          <t>KRISTIANSTAD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46235</v>
      </c>
      <c r="F304" t="inlineStr">
        <is>
          <t>SKÅNE LÄN</t>
        </is>
      </c>
      <c r="G304" t="inlineStr">
        <is>
          <t>KRISTIANSTAD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46235</v>
      </c>
      <c r="F305" t="inlineStr">
        <is>
          <t>SKÅNE LÄN</t>
        </is>
      </c>
      <c r="G305" t="inlineStr">
        <is>
          <t>KRISTIANSTAD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46235</v>
      </c>
      <c r="F306" t="inlineStr">
        <is>
          <t>SKÅNE LÄN</t>
        </is>
      </c>
      <c r="G306" t="inlineStr">
        <is>
          <t>KRISTIANSTAD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46235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44111-2025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46235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46235</v>
      </c>
      <c r="F309" t="inlineStr">
        <is>
          <t>SKÅNE LÄN</t>
        </is>
      </c>
      <c r="G309" t="inlineStr">
        <is>
          <t>KRISTIANSTAD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44946</v>
      </c>
      <c r="E310" s="1" t="n">
        <v>46235</v>
      </c>
      <c r="F310" t="inlineStr">
        <is>
          <t>SKÅNE LÄN</t>
        </is>
      </c>
      <c r="G310" t="inlineStr">
        <is>
          <t>KRISTIANSTAD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46235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46235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44988</v>
      </c>
      <c r="E313" s="1" t="n">
        <v>46235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45085</v>
      </c>
      <c r="E314" s="1" t="n">
        <v>46235</v>
      </c>
      <c r="F314" t="inlineStr">
        <is>
          <t>SKÅNE LÄN</t>
        </is>
      </c>
      <c r="G314" t="inlineStr">
        <is>
          <t>KRISTIANSTAD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45525</v>
      </c>
      <c r="E315" s="1" t="n">
        <v>46235</v>
      </c>
      <c r="F315" t="inlineStr">
        <is>
          <t>SKÅNE LÄN</t>
        </is>
      </c>
      <c r="G315" t="inlineStr">
        <is>
          <t>KRISTIANSTAD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46235</v>
      </c>
      <c r="F316" t="inlineStr">
        <is>
          <t>SKÅNE LÄN</t>
        </is>
      </c>
      <c r="G316" t="inlineStr">
        <is>
          <t>KRISTIANSTAD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9794-2023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44984</v>
      </c>
      <c r="E317" s="1" t="n">
        <v>46235</v>
      </c>
      <c r="F317" t="inlineStr">
        <is>
          <t>SKÅNE LÄN</t>
        </is>
      </c>
      <c r="G317" t="inlineStr">
        <is>
          <t>KRISTIANSTAD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46235</v>
      </c>
      <c r="F318" t="inlineStr">
        <is>
          <t>SKÅNE LÄN</t>
        </is>
      </c>
      <c r="G318" t="inlineStr">
        <is>
          <t>KRISTIANSTAD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45712</v>
      </c>
      <c r="E319" s="1" t="n">
        <v>46235</v>
      </c>
      <c r="F319" t="inlineStr">
        <is>
          <t>SKÅNE LÄN</t>
        </is>
      </c>
      <c r="G319" t="inlineStr">
        <is>
          <t>KRISTIANSTAD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46235</v>
      </c>
      <c r="F320" t="inlineStr">
        <is>
          <t>SKÅNE LÄN</t>
        </is>
      </c>
      <c r="G320" t="inlineStr">
        <is>
          <t>KRISTIANSTAD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46235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46235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46235</v>
      </c>
      <c r="F323" t="inlineStr">
        <is>
          <t>SKÅNE LÄN</t>
        </is>
      </c>
      <c r="G323" t="inlineStr">
        <is>
          <t>KRISTIANSTAD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46235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46235</v>
      </c>
      <c r="F325" t="inlineStr">
        <is>
          <t>SKÅNE LÄN</t>
        </is>
      </c>
      <c r="G325" t="inlineStr">
        <is>
          <t>KRISTIANSTAD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46235</v>
      </c>
      <c r="F326" t="inlineStr">
        <is>
          <t>SKÅNE LÄN</t>
        </is>
      </c>
      <c r="G326" t="inlineStr">
        <is>
          <t>KRISTIANSTAD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46235</v>
      </c>
      <c r="F327" t="inlineStr">
        <is>
          <t>SKÅNE LÄN</t>
        </is>
      </c>
      <c r="G327" t="inlineStr">
        <is>
          <t>KRISTIANSTAD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46235</v>
      </c>
      <c r="F328" t="inlineStr">
        <is>
          <t>SKÅNE LÄN</t>
        </is>
      </c>
      <c r="G328" t="inlineStr">
        <is>
          <t>KRISTIANSTAD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46235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44634</v>
      </c>
      <c r="E330" s="1" t="n">
        <v>46235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46235</v>
      </c>
      <c r="F331" t="inlineStr">
        <is>
          <t>SKÅNE LÄN</t>
        </is>
      </c>
      <c r="G331" t="inlineStr">
        <is>
          <t>KRISTIANSTAD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46235</v>
      </c>
      <c r="F332" t="inlineStr">
        <is>
          <t>SKÅNE LÄN</t>
        </is>
      </c>
      <c r="G332" t="inlineStr">
        <is>
          <t>KRISTIANSTAD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20651-2026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46141</v>
      </c>
      <c r="E333" s="1" t="n">
        <v>46235</v>
      </c>
      <c r="F333" t="inlineStr">
        <is>
          <t>SKÅNE LÄN</t>
        </is>
      </c>
      <c r="G333" t="inlineStr">
        <is>
          <t>KRISTIANSTAD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45180</v>
      </c>
      <c r="E334" s="1" t="n">
        <v>46235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46235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46235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45112</v>
      </c>
      <c r="E337" s="1" t="n">
        <v>46235</v>
      </c>
      <c r="F337" t="inlineStr">
        <is>
          <t>SKÅNE LÄN</t>
        </is>
      </c>
      <c r="G337" t="inlineStr">
        <is>
          <t>KRISTIANSTAD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46235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46235</v>
      </c>
      <c r="F339" t="inlineStr">
        <is>
          <t>SKÅNE LÄN</t>
        </is>
      </c>
      <c r="G339" t="inlineStr">
        <is>
          <t>KRISTIANSTAD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46235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45307</v>
      </c>
      <c r="E341" s="1" t="n">
        <v>46235</v>
      </c>
      <c r="F341" t="inlineStr">
        <is>
          <t>SKÅNE LÄN</t>
        </is>
      </c>
      <c r="G341" t="inlineStr">
        <is>
          <t>KRISTIANSTAD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46235</v>
      </c>
      <c r="F342" t="inlineStr">
        <is>
          <t>SKÅNE LÄN</t>
        </is>
      </c>
      <c r="G342" t="inlineStr">
        <is>
          <t>KRISTIANSTAD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45600</v>
      </c>
      <c r="E343" s="1" t="n">
        <v>46235</v>
      </c>
      <c r="F343" t="inlineStr">
        <is>
          <t>SKÅNE LÄN</t>
        </is>
      </c>
      <c r="G343" t="inlineStr">
        <is>
          <t>KRISTIANSTAD</t>
        </is>
      </c>
      <c r="I343" t="n">
        <v>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43966-2025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45915</v>
      </c>
      <c r="E344" s="1" t="n">
        <v>46235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46235</v>
      </c>
      <c r="F345" t="inlineStr">
        <is>
          <t>SKÅNE LÄN</t>
        </is>
      </c>
      <c r="G345" t="inlineStr">
        <is>
          <t>KRISTIANSTAD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46235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46235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46235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46235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46235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46235</v>
      </c>
      <c r="F351" t="inlineStr">
        <is>
          <t>SKÅNE LÄN</t>
        </is>
      </c>
      <c r="G351" t="inlineStr">
        <is>
          <t>KRISTIANSTAD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45077</v>
      </c>
      <c r="E352" s="1" t="n">
        <v>46235</v>
      </c>
      <c r="F352" t="inlineStr">
        <is>
          <t>SKÅNE LÄN</t>
        </is>
      </c>
      <c r="G352" t="inlineStr">
        <is>
          <t>KRISTIANSTAD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46235</v>
      </c>
      <c r="F353" t="inlineStr">
        <is>
          <t>SKÅNE LÄN</t>
        </is>
      </c>
      <c r="G353" t="inlineStr">
        <is>
          <t>KRISTIANSTAD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46235</v>
      </c>
      <c r="F354" t="inlineStr">
        <is>
          <t>SKÅNE LÄN</t>
        </is>
      </c>
      <c r="G354" t="inlineStr">
        <is>
          <t>KRISTIANSTAD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45144</v>
      </c>
      <c r="E355" s="1" t="n">
        <v>46235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45470</v>
      </c>
      <c r="E356" s="1" t="n">
        <v>46235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46235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46235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45275</v>
      </c>
      <c r="E359" s="1" t="n">
        <v>46235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46235</v>
      </c>
      <c r="F360" t="inlineStr">
        <is>
          <t>SKÅNE LÄN</t>
        </is>
      </c>
      <c r="G360" t="inlineStr">
        <is>
          <t>KRISTIANSTAD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53982-2022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44876</v>
      </c>
      <c r="E361" s="1" t="n">
        <v>46235</v>
      </c>
      <c r="F361" t="inlineStr">
        <is>
          <t>SKÅNE LÄN</t>
        </is>
      </c>
      <c r="G361" t="inlineStr">
        <is>
          <t>KRISTIANSTAD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46235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46235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46235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18146-2022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44684</v>
      </c>
      <c r="E365" s="1" t="n">
        <v>46235</v>
      </c>
      <c r="F365" t="inlineStr">
        <is>
          <t>SKÅNE LÄN</t>
        </is>
      </c>
      <c r="G365" t="inlineStr">
        <is>
          <t>KRISTIANSTAD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46235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46235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46235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46235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46235</v>
      </c>
      <c r="F370" t="inlineStr">
        <is>
          <t>SKÅNE LÄN</t>
        </is>
      </c>
      <c r="G370" t="inlineStr">
        <is>
          <t>KRISTIANSTAD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46235</v>
      </c>
      <c r="F371" t="inlineStr">
        <is>
          <t>SKÅNE LÄN</t>
        </is>
      </c>
      <c r="G371" t="inlineStr">
        <is>
          <t>KRISTIANSTAD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46235</v>
      </c>
      <c r="F372" t="inlineStr">
        <is>
          <t>SKÅNE LÄN</t>
        </is>
      </c>
      <c r="G372" t="inlineStr">
        <is>
          <t>KRISTIANSTAD</t>
        </is>
      </c>
      <c r="H372" t="inlineStr">
        <is>
          <t>Kommuner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46235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45755</v>
      </c>
      <c r="E374" s="1" t="n">
        <v>46235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46235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45664</v>
      </c>
      <c r="E376" s="1" t="n">
        <v>46235</v>
      </c>
      <c r="F376" t="inlineStr">
        <is>
          <t>SKÅNE LÄN</t>
        </is>
      </c>
      <c r="G376" t="inlineStr">
        <is>
          <t>KRISTIANSTAD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46235</v>
      </c>
      <c r="F377" t="inlineStr">
        <is>
          <t>SKÅNE LÄN</t>
        </is>
      </c>
      <c r="G377" t="inlineStr">
        <is>
          <t>KRISTIANSTAD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46235</v>
      </c>
      <c r="F378" t="inlineStr">
        <is>
          <t>SKÅNE LÄN</t>
        </is>
      </c>
      <c r="G378" t="inlineStr">
        <is>
          <t>KRISTIANSTAD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46235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45465</v>
      </c>
      <c r="E380" s="1" t="n">
        <v>46235</v>
      </c>
      <c r="F380" t="inlineStr">
        <is>
          <t>SKÅNE LÄN</t>
        </is>
      </c>
      <c r="G380" t="inlineStr">
        <is>
          <t>KRISTIANSTAD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44923</v>
      </c>
      <c r="E381" s="1" t="n">
        <v>46235</v>
      </c>
      <c r="F381" t="inlineStr">
        <is>
          <t>SKÅNE LÄN</t>
        </is>
      </c>
      <c r="G381" t="inlineStr">
        <is>
          <t>KRISTIANSTAD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46235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46235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46235</v>
      </c>
      <c r="F384" t="inlineStr">
        <is>
          <t>SKÅNE LÄN</t>
        </is>
      </c>
      <c r="G384" t="inlineStr">
        <is>
          <t>KRISTIANSTAD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45668</v>
      </c>
      <c r="E385" s="1" t="n">
        <v>46235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46235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45954</v>
      </c>
      <c r="E387" s="1" t="n">
        <v>46235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46235</v>
      </c>
      <c r="F388" t="inlineStr">
        <is>
          <t>SKÅNE LÄN</t>
        </is>
      </c>
      <c r="G388" t="inlineStr">
        <is>
          <t>KRISTIANSTAD</t>
        </is>
      </c>
      <c r="H388" t="inlineStr">
        <is>
          <t>Kyrkan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46235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46235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45310</v>
      </c>
      <c r="E391" s="1" t="n">
        <v>46235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46235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46235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46235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45455</v>
      </c>
      <c r="E395" s="1" t="n">
        <v>46235</v>
      </c>
      <c r="F395" t="inlineStr">
        <is>
          <t>SKÅNE LÄN</t>
        </is>
      </c>
      <c r="G395" t="inlineStr">
        <is>
          <t>KRISTIANSTAD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46235</v>
      </c>
      <c r="F396" t="inlineStr">
        <is>
          <t>SKÅNE LÄN</t>
        </is>
      </c>
      <c r="G396" t="inlineStr">
        <is>
          <t>KRISTIANSTAD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46235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46235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46235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46235</v>
      </c>
      <c r="F400" t="inlineStr">
        <is>
          <t>SKÅNE LÄN</t>
        </is>
      </c>
      <c r="G400" t="inlineStr">
        <is>
          <t>KRISTIANSTAD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8455-2025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45709</v>
      </c>
      <c r="E401" s="1" t="n">
        <v>46235</v>
      </c>
      <c r="F401" t="inlineStr">
        <is>
          <t>SKÅNE LÄN</t>
        </is>
      </c>
      <c r="G401" t="inlineStr">
        <is>
          <t>KRISTIANSTAD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46235</v>
      </c>
      <c r="F402" t="inlineStr">
        <is>
          <t>SKÅNE LÄN</t>
        </is>
      </c>
      <c r="G402" t="inlineStr">
        <is>
          <t>KRISTIANSTAD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46235</v>
      </c>
      <c r="F403" t="inlineStr">
        <is>
          <t>SKÅNE LÄN</t>
        </is>
      </c>
      <c r="G403" t="inlineStr">
        <is>
          <t>KRISTIANSTAD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45972</v>
      </c>
      <c r="E404" s="1" t="n">
        <v>46235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46235</v>
      </c>
      <c r="F405" t="inlineStr">
        <is>
          <t>SKÅNE LÄN</t>
        </is>
      </c>
      <c r="G405" t="inlineStr">
        <is>
          <t>KRISTIANSTAD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2472-2022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44579</v>
      </c>
      <c r="E406" s="1" t="n">
        <v>46235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46235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25671-2023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45089</v>
      </c>
      <c r="E408" s="1" t="n">
        <v>46235</v>
      </c>
      <c r="F408" t="inlineStr">
        <is>
          <t>SKÅNE LÄN</t>
        </is>
      </c>
      <c r="G408" t="inlineStr">
        <is>
          <t>KRISTIANSTAD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46235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46235</v>
      </c>
      <c r="F410" t="inlineStr">
        <is>
          <t>SKÅNE LÄN</t>
        </is>
      </c>
      <c r="G410" t="inlineStr">
        <is>
          <t>KRISTIANSTAD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46235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46235</v>
      </c>
      <c r="F412" t="inlineStr">
        <is>
          <t>SKÅNE LÄN</t>
        </is>
      </c>
      <c r="G412" t="inlineStr">
        <is>
          <t>KRISTIANSTAD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45887</v>
      </c>
      <c r="E413" s="1" t="n">
        <v>46235</v>
      </c>
      <c r="F413" t="inlineStr">
        <is>
          <t>SKÅNE LÄN</t>
        </is>
      </c>
      <c r="G413" t="inlineStr">
        <is>
          <t>KRISTIANSTAD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46235</v>
      </c>
      <c r="F414" t="inlineStr">
        <is>
          <t>SKÅNE LÄN</t>
        </is>
      </c>
      <c r="G414" t="inlineStr">
        <is>
          <t>KRISTIANSTAD</t>
        </is>
      </c>
      <c r="I414" t="n">
        <v>11.9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46235</v>
      </c>
      <c r="F415" t="inlineStr">
        <is>
          <t>SKÅNE LÄN</t>
        </is>
      </c>
      <c r="G415" t="inlineStr">
        <is>
          <t>KRISTIANSTAD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46235</v>
      </c>
      <c r="F416" t="inlineStr">
        <is>
          <t>SKÅNE LÄN</t>
        </is>
      </c>
      <c r="G416" t="inlineStr">
        <is>
          <t>KRISTIANSTAD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45022</v>
      </c>
      <c r="E417" s="1" t="n">
        <v>46235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46235</v>
      </c>
      <c r="F418" t="inlineStr">
        <is>
          <t>SKÅNE LÄN</t>
        </is>
      </c>
      <c r="G418" t="inlineStr">
        <is>
          <t>KRISTIANSTAD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46235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46235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45738</v>
      </c>
      <c r="E421" s="1" t="n">
        <v>46235</v>
      </c>
      <c r="F421" t="inlineStr">
        <is>
          <t>SKÅNE LÄN</t>
        </is>
      </c>
      <c r="G421" t="inlineStr">
        <is>
          <t>KRISTIANSTAD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45874</v>
      </c>
      <c r="E422" s="1" t="n">
        <v>46235</v>
      </c>
      <c r="F422" t="inlineStr">
        <is>
          <t>SKÅNE LÄN</t>
        </is>
      </c>
      <c r="G422" t="inlineStr">
        <is>
          <t>KRISTIANSTAD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46235</v>
      </c>
      <c r="F423" t="inlineStr">
        <is>
          <t>SKÅNE LÄN</t>
        </is>
      </c>
      <c r="G423" t="inlineStr">
        <is>
          <t>KRISTIANSTAD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45197</v>
      </c>
      <c r="E424" s="1" t="n">
        <v>46235</v>
      </c>
      <c r="F424" t="inlineStr">
        <is>
          <t>SKÅNE LÄN</t>
        </is>
      </c>
      <c r="G424" t="inlineStr">
        <is>
          <t>KRISTIANSTAD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46235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46235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46235</v>
      </c>
      <c r="F427" t="inlineStr">
        <is>
          <t>SKÅNE LÄN</t>
        </is>
      </c>
      <c r="G427" t="inlineStr">
        <is>
          <t>KRISTIANSTAD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27590-2024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45474</v>
      </c>
      <c r="E428" s="1" t="n">
        <v>46235</v>
      </c>
      <c r="F428" t="inlineStr">
        <is>
          <t>SKÅNE LÄN</t>
        </is>
      </c>
      <c r="G428" t="inlineStr">
        <is>
          <t>KRISTIANSTAD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44918</v>
      </c>
      <c r="E429" s="1" t="n">
        <v>46235</v>
      </c>
      <c r="F429" t="inlineStr">
        <is>
          <t>SKÅNE LÄN</t>
        </is>
      </c>
      <c r="G429" t="inlineStr">
        <is>
          <t>KRISTIANSTAD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46235</v>
      </c>
      <c r="F430" t="inlineStr">
        <is>
          <t>SKÅNE LÄN</t>
        </is>
      </c>
      <c r="G430" t="inlineStr">
        <is>
          <t>KRISTIANSTAD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45054</v>
      </c>
      <c r="E431" s="1" t="n">
        <v>46235</v>
      </c>
      <c r="F431" t="inlineStr">
        <is>
          <t>SKÅNE LÄN</t>
        </is>
      </c>
      <c r="G431" t="inlineStr">
        <is>
          <t>KRISTIANSTAD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44991</v>
      </c>
      <c r="E432" s="1" t="n">
        <v>46235</v>
      </c>
      <c r="F432" t="inlineStr">
        <is>
          <t>SKÅNE LÄN</t>
        </is>
      </c>
      <c r="G432" t="inlineStr">
        <is>
          <t>KRISTIANSTAD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46235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45465</v>
      </c>
      <c r="E434" s="1" t="n">
        <v>46235</v>
      </c>
      <c r="F434" t="inlineStr">
        <is>
          <t>SKÅNE LÄN</t>
        </is>
      </c>
      <c r="G434" t="inlineStr">
        <is>
          <t>KRISTIANSTAD</t>
        </is>
      </c>
      <c r="I434" t="n">
        <v>16.6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46235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46235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24947-2023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45085</v>
      </c>
      <c r="E437" s="1" t="n">
        <v>46235</v>
      </c>
      <c r="F437" t="inlineStr">
        <is>
          <t>SKÅNE LÄN</t>
        </is>
      </c>
      <c r="G437" t="inlineStr">
        <is>
          <t>KRISTIANSTAD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45049</v>
      </c>
      <c r="E438" s="1" t="n">
        <v>46235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46235</v>
      </c>
      <c r="F439" t="inlineStr">
        <is>
          <t>SKÅNE LÄN</t>
        </is>
      </c>
      <c r="G439" t="inlineStr">
        <is>
          <t>KRISTIANSTAD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46235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45357</v>
      </c>
      <c r="E441" s="1" t="n">
        <v>46235</v>
      </c>
      <c r="F441" t="inlineStr">
        <is>
          <t>SKÅNE LÄN</t>
        </is>
      </c>
      <c r="G441" t="inlineStr">
        <is>
          <t>KRISTIANSTAD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45144</v>
      </c>
      <c r="E442" s="1" t="n">
        <v>46235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46235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46235</v>
      </c>
      <c r="F444" t="inlineStr">
        <is>
          <t>SKÅNE LÄN</t>
        </is>
      </c>
      <c r="G444" t="inlineStr">
        <is>
          <t>KRISTIANSTAD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45532</v>
      </c>
      <c r="E445" s="1" t="n">
        <v>46235</v>
      </c>
      <c r="F445" t="inlineStr">
        <is>
          <t>SKÅNE LÄN</t>
        </is>
      </c>
      <c r="G445" t="inlineStr">
        <is>
          <t>KRISTIANSTAD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46235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46235</v>
      </c>
      <c r="F447" t="inlineStr">
        <is>
          <t>SKÅNE LÄN</t>
        </is>
      </c>
      <c r="G447" t="inlineStr">
        <is>
          <t>KRISTIANSTAD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46235</v>
      </c>
      <c r="F448" t="inlineStr">
        <is>
          <t>SKÅNE LÄN</t>
        </is>
      </c>
      <c r="G448" t="inlineStr">
        <is>
          <t>KRISTIANSTAD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46235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46235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46235</v>
      </c>
      <c r="F451" t="inlineStr">
        <is>
          <t>SKÅNE LÄN</t>
        </is>
      </c>
      <c r="G451" t="inlineStr">
        <is>
          <t>KRISTIANSTAD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46235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45119</v>
      </c>
      <c r="E453" s="1" t="n">
        <v>46235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46235</v>
      </c>
      <c r="F454" t="inlineStr">
        <is>
          <t>SKÅNE LÄN</t>
        </is>
      </c>
      <c r="G454" t="inlineStr">
        <is>
          <t>KRISTIANSTAD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45555</v>
      </c>
      <c r="E455" s="1" t="n">
        <v>46235</v>
      </c>
      <c r="F455" t="inlineStr">
        <is>
          <t>SKÅNE LÄN</t>
        </is>
      </c>
      <c r="G455" t="inlineStr">
        <is>
          <t>KRISTIANSTAD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46235</v>
      </c>
      <c r="F456" t="inlineStr">
        <is>
          <t>SKÅNE LÄN</t>
        </is>
      </c>
      <c r="G456" t="inlineStr">
        <is>
          <t>KRISTIANSTAD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46235</v>
      </c>
      <c r="F457" t="inlineStr">
        <is>
          <t>SKÅNE LÄN</t>
        </is>
      </c>
      <c r="G457" t="inlineStr">
        <is>
          <t>KRISTIANSTAD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46235</v>
      </c>
      <c r="F458" t="inlineStr">
        <is>
          <t>SKÅNE LÄN</t>
        </is>
      </c>
      <c r="G458" t="inlineStr">
        <is>
          <t>KRISTIANSTAD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46235</v>
      </c>
      <c r="F459" t="inlineStr">
        <is>
          <t>SKÅNE LÄN</t>
        </is>
      </c>
      <c r="G459" t="inlineStr">
        <is>
          <t>KRISTIANSTAD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44963</v>
      </c>
      <c r="E460" s="1" t="n">
        <v>46235</v>
      </c>
      <c r="F460" t="inlineStr">
        <is>
          <t>SKÅNE LÄN</t>
        </is>
      </c>
      <c r="G460" t="inlineStr">
        <is>
          <t>KRISTIANSTAD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45493</v>
      </c>
      <c r="E461" s="1" t="n">
        <v>46235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46235</v>
      </c>
      <c r="F462" t="inlineStr">
        <is>
          <t>SKÅNE LÄN</t>
        </is>
      </c>
      <c r="G462" t="inlineStr">
        <is>
          <t>KRISTIANSTAD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46235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46235</v>
      </c>
      <c r="F464" t="inlineStr">
        <is>
          <t>SKÅNE LÄN</t>
        </is>
      </c>
      <c r="G464" t="inlineStr">
        <is>
          <t>KRISTIANSTAD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45738</v>
      </c>
      <c r="E465" s="1" t="n">
        <v>46235</v>
      </c>
      <c r="F465" t="inlineStr">
        <is>
          <t>SKÅNE LÄN</t>
        </is>
      </c>
      <c r="G465" t="inlineStr">
        <is>
          <t>KRISTIANSTAD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45738</v>
      </c>
      <c r="E466" s="1" t="n">
        <v>46235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46235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46235</v>
      </c>
      <c r="F468" t="inlineStr">
        <is>
          <t>SKÅNE LÄN</t>
        </is>
      </c>
      <c r="G468" t="inlineStr">
        <is>
          <t>KRISTIANSTAD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46235</v>
      </c>
      <c r="F469" t="inlineStr">
        <is>
          <t>SKÅNE LÄN</t>
        </is>
      </c>
      <c r="G469" t="inlineStr">
        <is>
          <t>KRISTIANSTAD</t>
        </is>
      </c>
      <c r="I469" t="n">
        <v>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45311</v>
      </c>
      <c r="E470" s="1" t="n">
        <v>46235</v>
      </c>
      <c r="F470" t="inlineStr">
        <is>
          <t>SKÅNE LÄN</t>
        </is>
      </c>
      <c r="G470" t="inlineStr">
        <is>
          <t>KRISTIANSTAD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46235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46235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46235</v>
      </c>
      <c r="F473" t="inlineStr">
        <is>
          <t>SKÅNE LÄN</t>
        </is>
      </c>
      <c r="G473" t="inlineStr">
        <is>
          <t>KRISTIANSTAD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46235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46235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46235</v>
      </c>
      <c r="F476" t="inlineStr">
        <is>
          <t>SKÅNE LÄN</t>
        </is>
      </c>
      <c r="G476" t="inlineStr">
        <is>
          <t>KRISTIANSTAD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46235</v>
      </c>
      <c r="F477" t="inlineStr">
        <is>
          <t>SKÅNE LÄN</t>
        </is>
      </c>
      <c r="G477" t="inlineStr">
        <is>
          <t>KRISTIANSTAD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10464-2024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46235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46235</v>
      </c>
      <c r="F479" t="inlineStr">
        <is>
          <t>SKÅNE LÄN</t>
        </is>
      </c>
      <c r="G479" t="inlineStr">
        <is>
          <t>KRISTIANSTAD</t>
        </is>
      </c>
      <c r="H479" t="inlineStr">
        <is>
          <t>Sveaskog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46235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46235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46235</v>
      </c>
      <c r="F482" t="inlineStr">
        <is>
          <t>SKÅNE LÄN</t>
        </is>
      </c>
      <c r="G482" t="inlineStr">
        <is>
          <t>KRISTIANSTAD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45116</v>
      </c>
      <c r="E483" s="1" t="n">
        <v>46235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45307</v>
      </c>
      <c r="E484" s="1" t="n">
        <v>46235</v>
      </c>
      <c r="F484" t="inlineStr">
        <is>
          <t>SKÅNE LÄN</t>
        </is>
      </c>
      <c r="G484" t="inlineStr">
        <is>
          <t>KRISTIANSTAD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46235</v>
      </c>
      <c r="F485" t="inlineStr">
        <is>
          <t>SKÅNE LÄN</t>
        </is>
      </c>
      <c r="G485" t="inlineStr">
        <is>
          <t>KRISTIANSTAD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46235</v>
      </c>
      <c r="F486" t="inlineStr">
        <is>
          <t>SKÅNE LÄN</t>
        </is>
      </c>
      <c r="G486" t="inlineStr">
        <is>
          <t>KRISTIANSTAD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46235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45190</v>
      </c>
      <c r="E488" s="1" t="n">
        <v>46235</v>
      </c>
      <c r="F488" t="inlineStr">
        <is>
          <t>SKÅNE LÄN</t>
        </is>
      </c>
      <c r="G488" t="inlineStr">
        <is>
          <t>KRISTIANSTAD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46235</v>
      </c>
      <c r="F489" t="inlineStr">
        <is>
          <t>SKÅNE LÄN</t>
        </is>
      </c>
      <c r="G489" t="inlineStr">
        <is>
          <t>KRISTIANSTAD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45658-2024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46235</v>
      </c>
      <c r="F490" t="inlineStr">
        <is>
          <t>SKÅNE LÄN</t>
        </is>
      </c>
      <c r="G490" t="inlineStr">
        <is>
          <t>KRISTIANSTAD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10748-2023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44984</v>
      </c>
      <c r="E491" s="1" t="n">
        <v>46235</v>
      </c>
      <c r="F491" t="inlineStr">
        <is>
          <t>SKÅNE LÄN</t>
        </is>
      </c>
      <c r="G491" t="inlineStr">
        <is>
          <t>KRISTIANSTAD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44894</v>
      </c>
      <c r="E492" s="1" t="n">
        <v>46235</v>
      </c>
      <c r="F492" t="inlineStr">
        <is>
          <t>SKÅNE LÄN</t>
        </is>
      </c>
      <c r="G492" t="inlineStr">
        <is>
          <t>KRISTIANSTAD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46214</v>
      </c>
      <c r="E493" s="1" t="n">
        <v>46235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44579-2023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45189</v>
      </c>
      <c r="E494" s="1" t="n">
        <v>46235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32714-2023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45121</v>
      </c>
      <c r="E495" s="1" t="n">
        <v>46235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45506</v>
      </c>
      <c r="E496" s="1" t="n">
        <v>46235</v>
      </c>
      <c r="F496" t="inlineStr">
        <is>
          <t>SKÅNE LÄN</t>
        </is>
      </c>
      <c r="G496" t="inlineStr">
        <is>
          <t>KRISTIANSTAD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46235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46235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45727</v>
      </c>
      <c r="E499" s="1" t="n">
        <v>46235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46235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31292-2026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46218</v>
      </c>
      <c r="E501" s="1" t="n">
        <v>46235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7055-2024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46235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45247</v>
      </c>
      <c r="E503" s="1" t="n">
        <v>46235</v>
      </c>
      <c r="F503" t="inlineStr">
        <is>
          <t>SKÅNE LÄN</t>
        </is>
      </c>
      <c r="G503" t="inlineStr">
        <is>
          <t>KRISTIANSTAD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46235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45306</v>
      </c>
      <c r="E505" s="1" t="n">
        <v>46235</v>
      </c>
      <c r="F505" t="inlineStr">
        <is>
          <t>SKÅNE LÄN</t>
        </is>
      </c>
      <c r="G505" t="inlineStr">
        <is>
          <t>KRISTIANSTAD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46235</v>
      </c>
      <c r="F506" t="inlineStr">
        <is>
          <t>SKÅNE LÄN</t>
        </is>
      </c>
      <c r="G506" t="inlineStr">
        <is>
          <t>KRISTIANSTAD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46235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46235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46235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45478</v>
      </c>
      <c r="E510" s="1" t="n">
        <v>46235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31219-2026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46217</v>
      </c>
      <c r="E511" s="1" t="n">
        <v>46235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46235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46235</v>
      </c>
      <c r="F513" t="inlineStr">
        <is>
          <t>SKÅNE LÄN</t>
        </is>
      </c>
      <c r="G513" t="inlineStr">
        <is>
          <t>KRISTIANSTAD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13070-2023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45002</v>
      </c>
      <c r="E514" s="1" t="n">
        <v>46235</v>
      </c>
      <c r="F514" t="inlineStr">
        <is>
          <t>SKÅNE LÄN</t>
        </is>
      </c>
      <c r="G514" t="inlineStr">
        <is>
          <t>KRISTIANSTAD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46235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46031</v>
      </c>
      <c r="E516" s="1" t="n">
        <v>46235</v>
      </c>
      <c r="F516" t="inlineStr">
        <is>
          <t>SKÅNE LÄN</t>
        </is>
      </c>
      <c r="G516" t="inlineStr">
        <is>
          <t>KRISTIANSTAD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46235</v>
      </c>
      <c r="F517" t="inlineStr">
        <is>
          <t>SKÅNE LÄN</t>
        </is>
      </c>
      <c r="G517" t="inlineStr">
        <is>
          <t>KRISTIANSTAD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46235</v>
      </c>
      <c r="F518" t="inlineStr">
        <is>
          <t>SKÅNE LÄN</t>
        </is>
      </c>
      <c r="G518" t="inlineStr">
        <is>
          <t>KRISTIANSTAD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46235</v>
      </c>
      <c r="F519" t="inlineStr">
        <is>
          <t>SKÅNE LÄN</t>
        </is>
      </c>
      <c r="G519" t="inlineStr">
        <is>
          <t>KRISTIANSTAD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46235</v>
      </c>
      <c r="F520" t="inlineStr">
        <is>
          <t>SKÅNE LÄN</t>
        </is>
      </c>
      <c r="G520" t="inlineStr">
        <is>
          <t>KRISTIANSTAD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46235</v>
      </c>
      <c r="F521" t="inlineStr">
        <is>
          <t>SKÅNE LÄN</t>
        </is>
      </c>
      <c r="G521" t="inlineStr">
        <is>
          <t>KRISTIANSTAD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46235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37983-2024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45544</v>
      </c>
      <c r="E523" s="1" t="n">
        <v>46235</v>
      </c>
      <c r="F523" t="inlineStr">
        <is>
          <t>SKÅNE LÄN</t>
        </is>
      </c>
      <c r="G523" t="inlineStr">
        <is>
          <t>KRISTIANSTAD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45812</v>
      </c>
      <c r="E524" s="1" t="n">
        <v>46235</v>
      </c>
      <c r="F524" t="inlineStr">
        <is>
          <t>SKÅNE LÄN</t>
        </is>
      </c>
      <c r="G524" t="inlineStr">
        <is>
          <t>KRISTIANSTAD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46235</v>
      </c>
      <c r="F525" t="inlineStr">
        <is>
          <t>SKÅNE LÄN</t>
        </is>
      </c>
      <c r="G525" t="inlineStr">
        <is>
          <t>KRISTIANSTAD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46041</v>
      </c>
      <c r="E526" s="1" t="n">
        <v>46235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44824</v>
      </c>
      <c r="E527" s="1" t="n">
        <v>46235</v>
      </c>
      <c r="F527" t="inlineStr">
        <is>
          <t>SKÅNE LÄN</t>
        </is>
      </c>
      <c r="G527" t="inlineStr">
        <is>
          <t>KRISTIANSTAD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46235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46235</v>
      </c>
      <c r="F529" t="inlineStr">
        <is>
          <t>SKÅNE LÄN</t>
        </is>
      </c>
      <c r="G529" t="inlineStr">
        <is>
          <t>KRISTIANSTAD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46235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46235</v>
      </c>
      <c r="F531" t="inlineStr">
        <is>
          <t>SKÅNE LÄN</t>
        </is>
      </c>
      <c r="G531" t="inlineStr">
        <is>
          <t>KRISTIANSTAD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46235</v>
      </c>
      <c r="F532" t="inlineStr">
        <is>
          <t>SKÅNE LÄN</t>
        </is>
      </c>
      <c r="G532" t="inlineStr">
        <is>
          <t>KRISTIANSTAD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72100-2021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44544</v>
      </c>
      <c r="E533" s="1" t="n">
        <v>46235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46235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46235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46235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46223</v>
      </c>
      <c r="E537" s="1" t="n">
        <v>46235</v>
      </c>
      <c r="F537" t="inlineStr">
        <is>
          <t>SKÅNE LÄN</t>
        </is>
      </c>
      <c r="G537" t="inlineStr">
        <is>
          <t>KRISTIANSTAD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46235</v>
      </c>
      <c r="F538" t="inlineStr">
        <is>
          <t>SKÅNE LÄN</t>
        </is>
      </c>
      <c r="G538" t="inlineStr">
        <is>
          <t>KRISTIANSTAD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46235</v>
      </c>
      <c r="F539" t="inlineStr">
        <is>
          <t>SKÅNE LÄN</t>
        </is>
      </c>
      <c r="G539" t="inlineStr">
        <is>
          <t>KRISTIANSTAD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45338</v>
      </c>
      <c r="E540" s="1" t="n">
        <v>46235</v>
      </c>
      <c r="F540" t="inlineStr">
        <is>
          <t>SKÅNE LÄN</t>
        </is>
      </c>
      <c r="G540" t="inlineStr">
        <is>
          <t>KRISTIANSTAD</t>
        </is>
      </c>
      <c r="I540" t="n">
        <v>15.8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45577</v>
      </c>
      <c r="E541" s="1" t="n">
        <v>46235</v>
      </c>
      <c r="F541" t="inlineStr">
        <is>
          <t>SKÅNE LÄN</t>
        </is>
      </c>
      <c r="G541" t="inlineStr">
        <is>
          <t>KRISTIANSTAD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46235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45007</v>
      </c>
      <c r="E543" s="1" t="n">
        <v>46235</v>
      </c>
      <c r="F543" t="inlineStr">
        <is>
          <t>SKÅNE LÄN</t>
        </is>
      </c>
      <c r="G543" t="inlineStr">
        <is>
          <t>KRISTIANSTAD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46235</v>
      </c>
      <c r="F544" t="inlineStr">
        <is>
          <t>SKÅNE LÄN</t>
        </is>
      </c>
      <c r="G544" t="inlineStr">
        <is>
          <t>KRISTIANSTAD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46235</v>
      </c>
      <c r="F545" t="inlineStr">
        <is>
          <t>SKÅNE LÄN</t>
        </is>
      </c>
      <c r="G545" t="inlineStr">
        <is>
          <t>KRISTIANSTAD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45180</v>
      </c>
      <c r="E546" s="1" t="n">
        <v>46235</v>
      </c>
      <c r="F546" t="inlineStr">
        <is>
          <t>SKÅNE LÄN</t>
        </is>
      </c>
      <c r="G546" t="inlineStr">
        <is>
          <t>KRISTIANSTAD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46235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46235</v>
      </c>
      <c r="F548" t="inlineStr">
        <is>
          <t>SKÅNE LÄN</t>
        </is>
      </c>
      <c r="G548" t="inlineStr">
        <is>
          <t>KRISTIANSTAD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46235</v>
      </c>
      <c r="F549" t="inlineStr">
        <is>
          <t>SKÅNE LÄN</t>
        </is>
      </c>
      <c r="G549" t="inlineStr">
        <is>
          <t>KRISTIANSTAD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44992</v>
      </c>
      <c r="E550" s="1" t="n">
        <v>46235</v>
      </c>
      <c r="F550" t="inlineStr">
        <is>
          <t>SKÅNE LÄN</t>
        </is>
      </c>
      <c r="G550" t="inlineStr">
        <is>
          <t>KRISTIANSTAD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46235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39935-2023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46235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44587</v>
      </c>
      <c r="E553" s="1" t="n">
        <v>46235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44933</v>
      </c>
      <c r="E554" s="1" t="n">
        <v>46235</v>
      </c>
      <c r="F554" t="inlineStr">
        <is>
          <t>SKÅNE LÄN</t>
        </is>
      </c>
      <c r="G554" t="inlineStr">
        <is>
          <t>KRISTIANSTAD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46235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45197</v>
      </c>
      <c r="E556" s="1" t="n">
        <v>46235</v>
      </c>
      <c r="F556" t="inlineStr">
        <is>
          <t>SKÅNE LÄN</t>
        </is>
      </c>
      <c r="G556" t="inlineStr">
        <is>
          <t>KRISTIANSTAD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46235</v>
      </c>
      <c r="F557" t="inlineStr">
        <is>
          <t>SKÅNE LÄN</t>
        </is>
      </c>
      <c r="G557" t="inlineStr">
        <is>
          <t>KRISTIANSTAD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46235</v>
      </c>
      <c r="F558" t="inlineStr">
        <is>
          <t>SKÅNE LÄN</t>
        </is>
      </c>
      <c r="G558" t="inlineStr">
        <is>
          <t>KRISTIANSTAD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46235</v>
      </c>
      <c r="F559" t="inlineStr">
        <is>
          <t>SKÅNE LÄN</t>
        </is>
      </c>
      <c r="G559" t="inlineStr">
        <is>
          <t>KRISTIANSTAD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46235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42061-2024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45561</v>
      </c>
      <c r="E561" s="1" t="n">
        <v>46235</v>
      </c>
      <c r="F561" t="inlineStr">
        <is>
          <t>SKÅNE LÄN</t>
        </is>
      </c>
      <c r="G561" t="inlineStr">
        <is>
          <t>KRISTIANSTAD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46235</v>
      </c>
      <c r="F562" t="inlineStr">
        <is>
          <t>SKÅNE LÄN</t>
        </is>
      </c>
      <c r="G562" t="inlineStr">
        <is>
          <t>KRISTIANSTAD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46235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61701-2024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45648</v>
      </c>
      <c r="E564" s="1" t="n">
        <v>46235</v>
      </c>
      <c r="F564" t="inlineStr">
        <is>
          <t>SKÅNE LÄN</t>
        </is>
      </c>
      <c r="G564" t="inlineStr">
        <is>
          <t>KRISTIANSTAD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45127</v>
      </c>
      <c r="E565" s="1" t="n">
        <v>46235</v>
      </c>
      <c r="F565" t="inlineStr">
        <is>
          <t>SKÅNE LÄN</t>
        </is>
      </c>
      <c r="G565" t="inlineStr">
        <is>
          <t>KRISTIANSTAD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45315</v>
      </c>
      <c r="E566" s="1" t="n">
        <v>46235</v>
      </c>
      <c r="F566" t="inlineStr">
        <is>
          <t>SKÅNE LÄN</t>
        </is>
      </c>
      <c r="G566" t="inlineStr">
        <is>
          <t>KRISTIANSTAD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46235</v>
      </c>
      <c r="F567" t="inlineStr">
        <is>
          <t>SKÅNE LÄN</t>
        </is>
      </c>
      <c r="G567" t="inlineStr">
        <is>
          <t>KRISTIANSTAD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46235</v>
      </c>
      <c r="F568" t="inlineStr">
        <is>
          <t>SKÅNE LÄN</t>
        </is>
      </c>
      <c r="G568" t="inlineStr">
        <is>
          <t>KRISTIANSTAD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45307</v>
      </c>
      <c r="E569" s="1" t="n">
        <v>46235</v>
      </c>
      <c r="F569" t="inlineStr">
        <is>
          <t>SKÅNE LÄN</t>
        </is>
      </c>
      <c r="G569" t="inlineStr">
        <is>
          <t>KRISTIANSTAD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32814-2023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45124</v>
      </c>
      <c r="E570" s="1" t="n">
        <v>46235</v>
      </c>
      <c r="F570" t="inlineStr">
        <is>
          <t>SKÅNE LÄN</t>
        </is>
      </c>
      <c r="G570" t="inlineStr">
        <is>
          <t>KRISTIANSTAD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45467</v>
      </c>
      <c r="E571" s="1" t="n">
        <v>46235</v>
      </c>
      <c r="F571" t="inlineStr">
        <is>
          <t>SKÅNE LÄN</t>
        </is>
      </c>
      <c r="G571" t="inlineStr">
        <is>
          <t>KRISTIANSTAD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46235</v>
      </c>
      <c r="F572" t="inlineStr">
        <is>
          <t>SKÅNE LÄN</t>
        </is>
      </c>
      <c r="G572" t="inlineStr">
        <is>
          <t>KRISTIANSTAD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45414</v>
      </c>
      <c r="E573" s="1" t="n">
        <v>46235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44596</v>
      </c>
      <c r="E574" s="1" t="n">
        <v>46235</v>
      </c>
      <c r="F574" t="inlineStr">
        <is>
          <t>SKÅNE LÄN</t>
        </is>
      </c>
      <c r="G574" t="inlineStr">
        <is>
          <t>KRISTIANSTAD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12315-2025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45729</v>
      </c>
      <c r="E575" s="1" t="n">
        <v>46235</v>
      </c>
      <c r="F575" t="inlineStr">
        <is>
          <t>SKÅNE LÄN</t>
        </is>
      </c>
      <c r="G575" t="inlineStr">
        <is>
          <t>KRISTIANSTAD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46235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44774</v>
      </c>
      <c r="E577" s="1" t="n">
        <v>46235</v>
      </c>
      <c r="F577" t="inlineStr">
        <is>
          <t>SKÅNE LÄN</t>
        </is>
      </c>
      <c r="G577" t="inlineStr">
        <is>
          <t>KRISTIANSTAD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46235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46235</v>
      </c>
      <c r="F579" t="inlineStr">
        <is>
          <t>SKÅNE LÄN</t>
        </is>
      </c>
      <c r="G579" t="inlineStr">
        <is>
          <t>KRISTIANSTAD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46235</v>
      </c>
      <c r="F580" t="inlineStr">
        <is>
          <t>SKÅNE LÄN</t>
        </is>
      </c>
      <c r="G580" t="inlineStr">
        <is>
          <t>KRISTIANSTAD</t>
        </is>
      </c>
      <c r="I580" t="n">
        <v>11.1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47231-2024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46235</v>
      </c>
      <c r="F581" t="inlineStr">
        <is>
          <t>SKÅNE LÄN</t>
        </is>
      </c>
      <c r="G581" t="inlineStr">
        <is>
          <t>KRISTIANSTAD</t>
        </is>
      </c>
      <c r="H581" t="inlineStr">
        <is>
          <t>Övriga Aktiebolag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47237-2024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45586</v>
      </c>
      <c r="E582" s="1" t="n">
        <v>46235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50516-2022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44866</v>
      </c>
      <c r="E583" s="1" t="n">
        <v>46235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45668</v>
      </c>
      <c r="E584" s="1" t="n">
        <v>46235</v>
      </c>
      <c r="F584" t="inlineStr">
        <is>
          <t>SKÅNE LÄN</t>
        </is>
      </c>
      <c r="G584" t="inlineStr">
        <is>
          <t>KRISTIANSTAD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45334</v>
      </c>
      <c r="E585" s="1" t="n">
        <v>46235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38021-2023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45159</v>
      </c>
      <c r="E586" s="1" t="n">
        <v>46235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45338</v>
      </c>
      <c r="E587" s="1" t="n">
        <v>46235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46235</v>
      </c>
      <c r="F588" t="inlineStr">
        <is>
          <t>SKÅNE LÄN</t>
        </is>
      </c>
      <c r="G588" t="inlineStr">
        <is>
          <t>KRISTIANSTAD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46235</v>
      </c>
      <c r="F589" t="inlineStr">
        <is>
          <t>SKÅNE LÄN</t>
        </is>
      </c>
      <c r="G589" t="inlineStr">
        <is>
          <t>KRISTIANSTAD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44363-2024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45573</v>
      </c>
      <c r="E590" s="1" t="n">
        <v>46235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29854-2026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46235</v>
      </c>
      <c r="F591" t="inlineStr">
        <is>
          <t>SKÅNE LÄN</t>
        </is>
      </c>
      <c r="G591" t="inlineStr">
        <is>
          <t>KRISTIANSTAD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46235</v>
      </c>
      <c r="F592" t="inlineStr">
        <is>
          <t>SKÅNE LÄN</t>
        </is>
      </c>
      <c r="G592" t="inlineStr">
        <is>
          <t>KRISTIANSTAD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46076</v>
      </c>
      <c r="E593" s="1" t="n">
        <v>46235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45049</v>
      </c>
      <c r="E594" s="1" t="n">
        <v>46235</v>
      </c>
      <c r="F594" t="inlineStr">
        <is>
          <t>SKÅNE LÄN</t>
        </is>
      </c>
      <c r="G594" t="inlineStr">
        <is>
          <t>KRISTIANSTAD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46235</v>
      </c>
      <c r="F595" t="inlineStr">
        <is>
          <t>SKÅNE LÄN</t>
        </is>
      </c>
      <c r="G595" t="inlineStr">
        <is>
          <t>KRISTIANSTAD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45119</v>
      </c>
      <c r="E596" s="1" t="n">
        <v>46235</v>
      </c>
      <c r="F596" t="inlineStr">
        <is>
          <t>SKÅNE LÄN</t>
        </is>
      </c>
      <c r="G596" t="inlineStr">
        <is>
          <t>KRISTIANSTAD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40419-2024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45555</v>
      </c>
      <c r="E597" s="1" t="n">
        <v>46235</v>
      </c>
      <c r="F597" t="inlineStr">
        <is>
          <t>SKÅNE LÄN</t>
        </is>
      </c>
      <c r="G597" t="inlineStr">
        <is>
          <t>KRISTIANSTAD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45189</v>
      </c>
      <c r="E598" s="1" t="n">
        <v>46235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46083</v>
      </c>
      <c r="E599" s="1" t="n">
        <v>46235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46235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46235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46235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39997-2025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45894</v>
      </c>
      <c r="E603" s="1" t="n">
        <v>46235</v>
      </c>
      <c r="F603" t="inlineStr">
        <is>
          <t>SKÅNE LÄN</t>
        </is>
      </c>
      <c r="G603" t="inlineStr">
        <is>
          <t>KRISTIANSTAD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45894</v>
      </c>
      <c r="E604" s="1" t="n">
        <v>46235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46235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13952-2025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45737</v>
      </c>
      <c r="E606" s="1" t="n">
        <v>46235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45738</v>
      </c>
      <c r="E607" s="1" t="n">
        <v>46235</v>
      </c>
      <c r="F607" t="inlineStr">
        <is>
          <t>SKÅNE LÄN</t>
        </is>
      </c>
      <c r="G607" t="inlineStr">
        <is>
          <t>KRISTIANSTAD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45882</v>
      </c>
      <c r="E608" s="1" t="n">
        <v>46235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46235</v>
      </c>
      <c r="F609" t="inlineStr">
        <is>
          <t>SKÅNE LÄN</t>
        </is>
      </c>
      <c r="G609" t="inlineStr">
        <is>
          <t>KRISTIANSTAD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46235</v>
      </c>
      <c r="F610" t="inlineStr">
        <is>
          <t>SKÅNE LÄN</t>
        </is>
      </c>
      <c r="G610" t="inlineStr">
        <is>
          <t>KRISTIANSTAD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45000</v>
      </c>
      <c r="E611" s="1" t="n">
        <v>46235</v>
      </c>
      <c r="F611" t="inlineStr">
        <is>
          <t>SKÅNE LÄN</t>
        </is>
      </c>
      <c r="G611" t="inlineStr">
        <is>
          <t>KRISTIANSTAD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30233-2023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46235</v>
      </c>
      <c r="F612" t="inlineStr">
        <is>
          <t>SKÅNE LÄN</t>
        </is>
      </c>
      <c r="G612" t="inlineStr">
        <is>
          <t>KRISTIANSTAD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46235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60997-2024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46235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45554</v>
      </c>
      <c r="E615" s="1" t="n">
        <v>46235</v>
      </c>
      <c r="F615" t="inlineStr">
        <is>
          <t>SKÅNE LÄN</t>
        </is>
      </c>
      <c r="G615" t="inlineStr">
        <is>
          <t>KRISTIANSTAD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46235</v>
      </c>
      <c r="F616" t="inlineStr">
        <is>
          <t>SKÅNE LÄN</t>
        </is>
      </c>
      <c r="G616" t="inlineStr">
        <is>
          <t>KRISTIANSTAD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45343</v>
      </c>
      <c r="E617" s="1" t="n">
        <v>46235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45490</v>
      </c>
      <c r="E618" s="1" t="n">
        <v>46235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46092</v>
      </c>
      <c r="E619" s="1" t="n">
        <v>46235</v>
      </c>
      <c r="F619" t="inlineStr">
        <is>
          <t>SKÅNE LÄN</t>
        </is>
      </c>
      <c r="G619" t="inlineStr">
        <is>
          <t>KRISTIANSTAD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45554</v>
      </c>
      <c r="E620" s="1" t="n">
        <v>46235</v>
      </c>
      <c r="F620" t="inlineStr">
        <is>
          <t>SKÅNE LÄN</t>
        </is>
      </c>
      <c r="G620" t="inlineStr">
        <is>
          <t>KRISTIANSTAD</t>
        </is>
      </c>
      <c r="I620" t="n">
        <v>12.6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751-2025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45665</v>
      </c>
      <c r="E621" s="1" t="n">
        <v>46235</v>
      </c>
      <c r="F621" t="inlineStr">
        <is>
          <t>SKÅNE LÄN</t>
        </is>
      </c>
      <c r="G621" t="inlineStr">
        <is>
          <t>KRISTIANSTAD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46235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46095</v>
      </c>
      <c r="E623" s="1" t="n">
        <v>46235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46235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46235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45134</v>
      </c>
      <c r="E626" s="1" t="n">
        <v>46235</v>
      </c>
      <c r="F626" t="inlineStr">
        <is>
          <t>SKÅNE LÄN</t>
        </is>
      </c>
      <c r="G626" t="inlineStr">
        <is>
          <t>KRISTIANSTAD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45141</v>
      </c>
      <c r="E627" s="1" t="n">
        <v>46235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45141</v>
      </c>
      <c r="E628" s="1" t="n">
        <v>46235</v>
      </c>
      <c r="F628" t="inlineStr">
        <is>
          <t>SKÅNE LÄN</t>
        </is>
      </c>
      <c r="G628" t="inlineStr">
        <is>
          <t>KRISTIANSTAD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46235</v>
      </c>
      <c r="F629" t="inlineStr">
        <is>
          <t>SKÅNE LÄN</t>
        </is>
      </c>
      <c r="G629" t="inlineStr">
        <is>
          <t>KRISTIANSTAD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45083</v>
      </c>
      <c r="E630" s="1" t="n">
        <v>46235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10.5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46235</v>
      </c>
      <c r="F631" t="inlineStr">
        <is>
          <t>SKÅNE LÄN</t>
        </is>
      </c>
      <c r="G631" t="inlineStr">
        <is>
          <t>KRISTIANSTAD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45665</v>
      </c>
      <c r="E632" s="1" t="n">
        <v>46235</v>
      </c>
      <c r="F632" t="inlineStr">
        <is>
          <t>SKÅNE LÄN</t>
        </is>
      </c>
      <c r="G632" t="inlineStr">
        <is>
          <t>KRISTIANSTAD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45609-2023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45194</v>
      </c>
      <c r="E633" s="1" t="n">
        <v>46235</v>
      </c>
      <c r="F633" t="inlineStr">
        <is>
          <t>SKÅNE LÄN</t>
        </is>
      </c>
      <c r="G633" t="inlineStr">
        <is>
          <t>KRISTIANSTAD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46235</v>
      </c>
      <c r="F634" t="inlineStr">
        <is>
          <t>SKÅNE LÄN</t>
        </is>
      </c>
      <c r="G634" t="inlineStr">
        <is>
          <t>KRISTIANSTAD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37999-2024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46235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19642-2022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46235</v>
      </c>
      <c r="F636" t="inlineStr">
        <is>
          <t>SKÅNE LÄN</t>
        </is>
      </c>
      <c r="G636" t="inlineStr">
        <is>
          <t>KRISTIANSTAD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46235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48853-2023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46235</v>
      </c>
      <c r="F638" t="inlineStr">
        <is>
          <t>SKÅNE LÄN</t>
        </is>
      </c>
      <c r="G638" t="inlineStr">
        <is>
          <t>KRISTIANSTAD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33592-2023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45132</v>
      </c>
      <c r="E639" s="1" t="n">
        <v>46235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17571-2024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45415</v>
      </c>
      <c r="E640" s="1" t="n">
        <v>46235</v>
      </c>
      <c r="F640" t="inlineStr">
        <is>
          <t>SKÅNE LÄN</t>
        </is>
      </c>
      <c r="G640" t="inlineStr">
        <is>
          <t>KRISTIANSTAD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10062-2024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45364</v>
      </c>
      <c r="E641" s="1" t="n">
        <v>46235</v>
      </c>
      <c r="F641" t="inlineStr">
        <is>
          <t>SKÅNE LÄN</t>
        </is>
      </c>
      <c r="G641" t="inlineStr">
        <is>
          <t>KRISTIANSTAD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6597-2025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45700</v>
      </c>
      <c r="E642" s="1" t="n">
        <v>46235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16384-2026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46235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46235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46235</v>
      </c>
      <c r="F645" t="inlineStr">
        <is>
          <t>SKÅNE LÄN</t>
        </is>
      </c>
      <c r="G645" t="inlineStr">
        <is>
          <t>KRISTIANSTAD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14524-2022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44655</v>
      </c>
      <c r="E646" s="1" t="n">
        <v>46235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45776</v>
      </c>
      <c r="E647" s="1" t="n">
        <v>46235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45387</v>
      </c>
      <c r="E648" s="1" t="n">
        <v>46235</v>
      </c>
      <c r="F648" t="inlineStr">
        <is>
          <t>SKÅNE LÄN</t>
        </is>
      </c>
      <c r="G648" t="inlineStr">
        <is>
          <t>KRISTIANSTAD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46235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46235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46235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46235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46235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25249-2022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44729</v>
      </c>
      <c r="E654" s="1" t="n">
        <v>46235</v>
      </c>
      <c r="F654" t="inlineStr">
        <is>
          <t>SKÅNE LÄN</t>
        </is>
      </c>
      <c r="G654" t="inlineStr">
        <is>
          <t>KRISTIANSTAD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46235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46235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63942-2023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46235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49233-2022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46235</v>
      </c>
      <c r="F658" t="inlineStr">
        <is>
          <t>SKÅNE LÄN</t>
        </is>
      </c>
      <c r="G658" t="inlineStr">
        <is>
          <t>KRISTIANSTAD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45443</v>
      </c>
      <c r="E659" s="1" t="n">
        <v>46235</v>
      </c>
      <c r="F659" t="inlineStr">
        <is>
          <t>SKÅNE LÄN</t>
        </is>
      </c>
      <c r="G659" t="inlineStr">
        <is>
          <t>KRISTIANSTAD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61137-2021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44497</v>
      </c>
      <c r="E660" s="1" t="n">
        <v>46235</v>
      </c>
      <c r="F660" t="inlineStr">
        <is>
          <t>SKÅNE LÄN</t>
        </is>
      </c>
      <c r="G660" t="inlineStr">
        <is>
          <t>KRISTIANSTAD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45217</v>
      </c>
      <c r="E661" s="1" t="n">
        <v>46235</v>
      </c>
      <c r="F661" t="inlineStr">
        <is>
          <t>SKÅNE LÄN</t>
        </is>
      </c>
      <c r="G661" t="inlineStr">
        <is>
          <t>KRISTIANSTAD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44816</v>
      </c>
      <c r="E662" s="1" t="n">
        <v>46235</v>
      </c>
      <c r="F662" t="inlineStr">
        <is>
          <t>SKÅNE LÄN</t>
        </is>
      </c>
      <c r="G662" t="inlineStr">
        <is>
          <t>KRISTIANSTAD</t>
        </is>
      </c>
      <c r="I662" t="n">
        <v>17.1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9002-2024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45357</v>
      </c>
      <c r="E663" s="1" t="n">
        <v>46235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45173</v>
      </c>
      <c r="E664" s="1" t="n">
        <v>46235</v>
      </c>
      <c r="F664" t="inlineStr">
        <is>
          <t>SKÅNE LÄN</t>
        </is>
      </c>
      <c r="G664" t="inlineStr">
        <is>
          <t>KRISTIANSTAD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18945-2026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46129</v>
      </c>
      <c r="E665" s="1" t="n">
        <v>46235</v>
      </c>
      <c r="F665" t="inlineStr">
        <is>
          <t>SKÅNE LÄN</t>
        </is>
      </c>
      <c r="G665" t="inlineStr">
        <is>
          <t>KRISTIANSTAD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45300</v>
      </c>
      <c r="E666" s="1" t="n">
        <v>46235</v>
      </c>
      <c r="F666" t="inlineStr">
        <is>
          <t>SKÅNE LÄN</t>
        </is>
      </c>
      <c r="G666" t="inlineStr">
        <is>
          <t>KRISTIANSTAD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55961-2023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45233</v>
      </c>
      <c r="E667" s="1" t="n">
        <v>46235</v>
      </c>
      <c r="F667" t="inlineStr">
        <is>
          <t>SKÅNE LÄN</t>
        </is>
      </c>
      <c r="G667" t="inlineStr">
        <is>
          <t>KRISTIANSTAD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45414</v>
      </c>
      <c r="E668" s="1" t="n">
        <v>46235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46235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45315</v>
      </c>
      <c r="E670" s="1" t="n">
        <v>46235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45315</v>
      </c>
      <c r="E671" s="1" t="n">
        <v>46235</v>
      </c>
      <c r="F671" t="inlineStr">
        <is>
          <t>SKÅNE LÄN</t>
        </is>
      </c>
      <c r="G671" t="inlineStr">
        <is>
          <t>KRISTIANSTAD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45328</v>
      </c>
      <c r="E672" s="1" t="n">
        <v>46235</v>
      </c>
      <c r="F672" t="inlineStr">
        <is>
          <t>SKÅNE LÄN</t>
        </is>
      </c>
      <c r="G672" t="inlineStr">
        <is>
          <t>KRISTIANSTAD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20891-2025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46235</v>
      </c>
      <c r="F673" t="inlineStr">
        <is>
          <t>SKÅNE LÄN</t>
        </is>
      </c>
      <c r="G673" t="inlineStr">
        <is>
          <t>KRISTIANSTAD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46235</v>
      </c>
      <c r="F674" t="inlineStr">
        <is>
          <t>SKÅNE LÄN</t>
        </is>
      </c>
      <c r="G674" t="inlineStr">
        <is>
          <t>KRISTIANSTAD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45338</v>
      </c>
      <c r="E675" s="1" t="n">
        <v>46235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46235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7016-2024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46235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44538-2024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45574</v>
      </c>
      <c r="E678" s="1" t="n">
        <v>46235</v>
      </c>
      <c r="F678" t="inlineStr">
        <is>
          <t>SKÅNE LÄN</t>
        </is>
      </c>
      <c r="G678" t="inlineStr">
        <is>
          <t>KRISTIANSTAD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45482</v>
      </c>
      <c r="E679" s="1" t="n">
        <v>46235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48693-2022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44855</v>
      </c>
      <c r="E680" s="1" t="n">
        <v>46235</v>
      </c>
      <c r="F680" t="inlineStr">
        <is>
          <t>SKÅNE LÄN</t>
        </is>
      </c>
      <c r="G680" t="inlineStr">
        <is>
          <t>KRISTIANSTAD</t>
        </is>
      </c>
      <c r="I680" t="n">
        <v>6.4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46235</v>
      </c>
      <c r="F681" t="inlineStr">
        <is>
          <t>SKÅNE LÄN</t>
        </is>
      </c>
      <c r="G681" t="inlineStr">
        <is>
          <t>KRISTIANSTAD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45474</v>
      </c>
      <c r="E682" s="1" t="n">
        <v>46235</v>
      </c>
      <c r="F682" t="inlineStr">
        <is>
          <t>SKÅNE LÄN</t>
        </is>
      </c>
      <c r="G682" t="inlineStr">
        <is>
          <t>KRISTIANSTAD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46235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6858-2025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45700</v>
      </c>
      <c r="E684" s="1" t="n">
        <v>46235</v>
      </c>
      <c r="F684" t="inlineStr">
        <is>
          <t>SKÅNE LÄN</t>
        </is>
      </c>
      <c r="G684" t="inlineStr">
        <is>
          <t>KRISTIANSTAD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44961</v>
      </c>
      <c r="E685" s="1" t="n">
        <v>46235</v>
      </c>
      <c r="F685" t="inlineStr">
        <is>
          <t>SKÅNE LÄN</t>
        </is>
      </c>
      <c r="G685" t="inlineStr">
        <is>
          <t>KRISTIANSTAD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46235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5590-2022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44595</v>
      </c>
      <c r="E687" s="1" t="n">
        <v>46235</v>
      </c>
      <c r="F687" t="inlineStr">
        <is>
          <t>SKÅNE LÄN</t>
        </is>
      </c>
      <c r="G687" t="inlineStr">
        <is>
          <t>KRISTIANSTAD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61198-2021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44497</v>
      </c>
      <c r="E688" s="1" t="n">
        <v>46235</v>
      </c>
      <c r="F688" t="inlineStr">
        <is>
          <t>SKÅNE LÄN</t>
        </is>
      </c>
      <c r="G688" t="inlineStr">
        <is>
          <t>KRISTIANSTAD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62350-2023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45267</v>
      </c>
      <c r="E689" s="1" t="n">
        <v>46235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45282</v>
      </c>
      <c r="E690" s="1" t="n">
        <v>46235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51248-2024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46235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46235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48217-2022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44853</v>
      </c>
      <c r="E693" s="1" t="n">
        <v>46235</v>
      </c>
      <c r="F693" t="inlineStr">
        <is>
          <t>SKÅNE LÄN</t>
        </is>
      </c>
      <c r="G693" t="inlineStr">
        <is>
          <t>KRISTIANSTAD</t>
        </is>
      </c>
      <c r="H693" t="inlineStr">
        <is>
          <t>Kyrkan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61550-2023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45265</v>
      </c>
      <c r="E694" s="1" t="n">
        <v>46235</v>
      </c>
      <c r="F694" t="inlineStr">
        <is>
          <t>SKÅNE LÄN</t>
        </is>
      </c>
      <c r="G694" t="inlineStr">
        <is>
          <t>KRISTIANSTAD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45226</v>
      </c>
      <c r="E695" s="1" t="n">
        <v>46235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43321-2023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45183</v>
      </c>
      <c r="E696" s="1" t="n">
        <v>46235</v>
      </c>
      <c r="F696" t="inlineStr">
        <is>
          <t>SKÅNE LÄN</t>
        </is>
      </c>
      <c r="G696" t="inlineStr">
        <is>
          <t>KRISTIANSTAD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45405</v>
      </c>
      <c r="E697" s="1" t="n">
        <v>46235</v>
      </c>
      <c r="F697" t="inlineStr">
        <is>
          <t>SKÅNE LÄN</t>
        </is>
      </c>
      <c r="G697" t="inlineStr">
        <is>
          <t>KRISTIANSTAD</t>
        </is>
      </c>
      <c r="I697" t="n">
        <v>12.2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32990-2024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45517</v>
      </c>
      <c r="E698" s="1" t="n">
        <v>46235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46515-2022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44847</v>
      </c>
      <c r="E699" s="1" t="n">
        <v>46235</v>
      </c>
      <c r="F699" t="inlineStr">
        <is>
          <t>SKÅNE LÄN</t>
        </is>
      </c>
      <c r="G699" t="inlineStr">
        <is>
          <t>KRISTIANSTAD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59597-2023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45254</v>
      </c>
      <c r="E700" s="1" t="n">
        <v>46235</v>
      </c>
      <c r="F700" t="inlineStr">
        <is>
          <t>SKÅNE LÄN</t>
        </is>
      </c>
      <c r="G700" t="inlineStr">
        <is>
          <t>KRISTIANSTAD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46235</v>
      </c>
      <c r="F701" t="inlineStr">
        <is>
          <t>SKÅNE LÄN</t>
        </is>
      </c>
      <c r="G701" t="inlineStr">
        <is>
          <t>KRISTIANSTAD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61878-2024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45652</v>
      </c>
      <c r="E702" s="1" t="n">
        <v>46235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45498</v>
      </c>
      <c r="E703" s="1" t="n">
        <v>46235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44513</v>
      </c>
      <c r="E704" s="1" t="n">
        <v>46235</v>
      </c>
      <c r="F704" t="inlineStr">
        <is>
          <t>SKÅNE LÄN</t>
        </is>
      </c>
      <c r="G704" t="inlineStr">
        <is>
          <t>KRISTIANSTAD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63561-2023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45274</v>
      </c>
      <c r="E705" s="1" t="n">
        <v>46235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24303-2025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45797</v>
      </c>
      <c r="E706" s="1" t="n">
        <v>46235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45533</v>
      </c>
      <c r="E707" s="1" t="n">
        <v>46235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45670</v>
      </c>
      <c r="E708" s="1" t="n">
        <v>46235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24798-2025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45799</v>
      </c>
      <c r="E709" s="1" t="n">
        <v>46235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10.1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45648</v>
      </c>
      <c r="E710" s="1" t="n">
        <v>46235</v>
      </c>
      <c r="F710" t="inlineStr">
        <is>
          <t>SKÅNE LÄN</t>
        </is>
      </c>
      <c r="G710" t="inlineStr">
        <is>
          <t>KRISTIANSTAD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39944-2024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45553</v>
      </c>
      <c r="E711" s="1" t="n">
        <v>46235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25860-2025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45804</v>
      </c>
      <c r="E712" s="1" t="n">
        <v>46235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46235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46235</v>
      </c>
      <c r="F714" t="inlineStr">
        <is>
          <t>SKÅNE LÄN</t>
        </is>
      </c>
      <c r="G714" t="inlineStr">
        <is>
          <t>KRISTIANSTAD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14611-2024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45396</v>
      </c>
      <c r="E715" s="1" t="n">
        <v>46235</v>
      </c>
      <c r="F715" t="inlineStr">
        <is>
          <t>SKÅNE LÄN</t>
        </is>
      </c>
      <c r="G715" t="inlineStr">
        <is>
          <t>KRISTIANSTAD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45810</v>
      </c>
      <c r="E716" s="1" t="n">
        <v>46235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46235</v>
      </c>
      <c r="F717" t="inlineStr">
        <is>
          <t>SKÅNE LÄN</t>
        </is>
      </c>
      <c r="G717" t="inlineStr">
        <is>
          <t>KRISTIANSTAD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45420</v>
      </c>
      <c r="E718" s="1" t="n">
        <v>46235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70705-2021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44537</v>
      </c>
      <c r="E719" s="1" t="n">
        <v>46235</v>
      </c>
      <c r="F719" t="inlineStr">
        <is>
          <t>SKÅNE LÄN</t>
        </is>
      </c>
      <c r="G719" t="inlineStr">
        <is>
          <t>KRISTIANSTAD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33984-2025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45843</v>
      </c>
      <c r="E720" s="1" t="n">
        <v>46235</v>
      </c>
      <c r="F720" t="inlineStr">
        <is>
          <t>SKÅNE LÄN</t>
        </is>
      </c>
      <c r="G720" t="inlineStr">
        <is>
          <t>KRISTIANSTAD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45706</v>
      </c>
      <c r="E721" s="1" t="n">
        <v>46235</v>
      </c>
      <c r="F721" t="inlineStr">
        <is>
          <t>SKÅNE LÄN</t>
        </is>
      </c>
      <c r="G721" t="inlineStr">
        <is>
          <t>KRISTIANSTAD</t>
        </is>
      </c>
      <c r="I721" t="n">
        <v>11.8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45737</v>
      </c>
      <c r="E722" s="1" t="n">
        <v>46235</v>
      </c>
      <c r="F722" t="inlineStr">
        <is>
          <t>SKÅNE LÄN</t>
        </is>
      </c>
      <c r="G722" t="inlineStr">
        <is>
          <t>KRISTIANSTAD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31105-2025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45832</v>
      </c>
      <c r="E723" s="1" t="n">
        <v>46235</v>
      </c>
      <c r="F723" t="inlineStr">
        <is>
          <t>SKÅNE LÄN</t>
        </is>
      </c>
      <c r="G723" t="inlineStr">
        <is>
          <t>KRISTIANSTAD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45737</v>
      </c>
      <c r="E724" s="1" t="n">
        <v>46235</v>
      </c>
      <c r="F724" t="inlineStr">
        <is>
          <t>SKÅNE LÄN</t>
        </is>
      </c>
      <c r="G724" t="inlineStr">
        <is>
          <t>KRISTIANSTAD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13928-2025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45737</v>
      </c>
      <c r="E725" s="1" t="n">
        <v>46235</v>
      </c>
      <c r="F725" t="inlineStr">
        <is>
          <t>SKÅNE LÄN</t>
        </is>
      </c>
      <c r="G725" t="inlineStr">
        <is>
          <t>KRISTIANSTAD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46235</v>
      </c>
      <c r="F726" t="inlineStr">
        <is>
          <t>SKÅNE LÄN</t>
        </is>
      </c>
      <c r="G726" t="inlineStr">
        <is>
          <t>KRISTIANSTAD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45833</v>
      </c>
      <c r="E727" s="1" t="n">
        <v>46235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21238-2024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46235</v>
      </c>
      <c r="F728" t="inlineStr">
        <is>
          <t>SKÅNE LÄN</t>
        </is>
      </c>
      <c r="G728" t="inlineStr">
        <is>
          <t>KRISTIANSTAD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17753-2025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45758</v>
      </c>
      <c r="E729" s="1" t="n">
        <v>46235</v>
      </c>
      <c r="F729" t="inlineStr">
        <is>
          <t>SKÅNE LÄN</t>
        </is>
      </c>
      <c r="G729" t="inlineStr">
        <is>
          <t>KRISTIANSTAD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45321</v>
      </c>
      <c r="E730" s="1" t="n">
        <v>46235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45408</v>
      </c>
      <c r="E731" s="1" t="n">
        <v>46235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9596-2025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45715</v>
      </c>
      <c r="E732" s="1" t="n">
        <v>46235</v>
      </c>
      <c r="F732" t="inlineStr">
        <is>
          <t>SKÅNE LÄN</t>
        </is>
      </c>
      <c r="G732" t="inlineStr">
        <is>
          <t>KRISTIANSTAD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13562-2025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45736</v>
      </c>
      <c r="E733" s="1" t="n">
        <v>46235</v>
      </c>
      <c r="F733" t="inlineStr">
        <is>
          <t>SKÅNE LÄN</t>
        </is>
      </c>
      <c r="G733" t="inlineStr">
        <is>
          <t>KRISTIANSTAD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14682-2023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46235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45845</v>
      </c>
      <c r="E735" s="1" t="n">
        <v>46235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46235</v>
      </c>
      <c r="F736" t="inlineStr">
        <is>
          <t>SKÅNE LÄN</t>
        </is>
      </c>
      <c r="G736" t="inlineStr">
        <is>
          <t>KRISTIANSTAD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45736</v>
      </c>
      <c r="E737" s="1" t="n">
        <v>46235</v>
      </c>
      <c r="F737" t="inlineStr">
        <is>
          <t>SKÅNE LÄN</t>
        </is>
      </c>
      <c r="G737" t="inlineStr">
        <is>
          <t>KRISTIANSTAD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52495-2024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45609</v>
      </c>
      <c r="E738" s="1" t="n">
        <v>46235</v>
      </c>
      <c r="F738" t="inlineStr">
        <is>
          <t>SKÅNE LÄN</t>
        </is>
      </c>
      <c r="G738" t="inlineStr">
        <is>
          <t>KRISTIANSTAD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45749</v>
      </c>
      <c r="E739" s="1" t="n">
        <v>46235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28161-2025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45818</v>
      </c>
      <c r="E740" s="1" t="n">
        <v>46235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35721-2025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45860</v>
      </c>
      <c r="E741" s="1" t="n">
        <v>46235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30457-2025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45827</v>
      </c>
      <c r="E742" s="1" t="n">
        <v>46235</v>
      </c>
      <c r="F742" t="inlineStr">
        <is>
          <t>SKÅNE LÄN</t>
        </is>
      </c>
      <c r="G742" t="inlineStr">
        <is>
          <t>KRISTIANSTAD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22292-2022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44712</v>
      </c>
      <c r="E743" s="1" t="n">
        <v>46235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19.5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46235</v>
      </c>
      <c r="F744" t="inlineStr">
        <is>
          <t>SKÅNE LÄN</t>
        </is>
      </c>
      <c r="G744" t="inlineStr">
        <is>
          <t>KRISTIANSTAD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45874</v>
      </c>
      <c r="E745" s="1" t="n">
        <v>46235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46235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22504-2022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44713</v>
      </c>
      <c r="E747" s="1" t="n">
        <v>46235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45418</v>
      </c>
      <c r="E748" s="1" t="n">
        <v>46235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38400-2024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45546</v>
      </c>
      <c r="E749" s="1" t="n">
        <v>46235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19.8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46182-2024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45581</v>
      </c>
      <c r="E750" s="1" t="n">
        <v>46235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51898-2024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45607</v>
      </c>
      <c r="E751" s="1" t="n">
        <v>46235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40896-2024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45558</v>
      </c>
      <c r="E752" s="1" t="n">
        <v>46235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40903-2024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45558</v>
      </c>
      <c r="E753" s="1" t="n">
        <v>46235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7546-2022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44607</v>
      </c>
      <c r="E754" s="1" t="n">
        <v>46235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46235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46235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2146-2022</t>
        </is>
      </c>
      <c r="B757" t="inlineStr">
        <is>
          <t>samrådsanmälan</t>
        </is>
      </c>
      <c r="C757" t="inlineStr">
        <is>
          <t>Skogsbilväg</t>
        </is>
      </c>
      <c r="D757" s="1" t="n">
        <v>44676</v>
      </c>
      <c r="E757" s="1" t="n">
        <v>46235</v>
      </c>
      <c r="F757" t="inlineStr">
        <is>
          <t>SKÅNE LÄN</t>
        </is>
      </c>
      <c r="G757" t="inlineStr">
        <is>
          <t>KRISTIANSTAD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46235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46235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46235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46235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46235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4893-2021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44417</v>
      </c>
      <c r="E763" s="1" t="n">
        <v>46235</v>
      </c>
      <c r="F763" t="inlineStr">
        <is>
          <t>SKÅNE LÄN</t>
        </is>
      </c>
      <c r="G763" t="inlineStr">
        <is>
          <t>KRISTIANSTAD</t>
        </is>
      </c>
      <c r="I763" t="n">
        <v>39.3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46235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46235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46235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46235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46235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46235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46235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46235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46235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307-2023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44956</v>
      </c>
      <c r="E773" s="1" t="n">
        <v>46235</v>
      </c>
      <c r="F773" t="inlineStr">
        <is>
          <t>SKÅNE LÄN</t>
        </is>
      </c>
      <c r="G773" t="inlineStr">
        <is>
          <t>KRISTIANSTAD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1731-2023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45069</v>
      </c>
      <c r="E774" s="1" t="n">
        <v>46235</v>
      </c>
      <c r="F774" t="inlineStr">
        <is>
          <t>SKÅNE LÄN</t>
        </is>
      </c>
      <c r="G774" t="inlineStr">
        <is>
          <t>KRISTIANSTAD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2492-2023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45120</v>
      </c>
      <c r="E775" s="1" t="n">
        <v>46235</v>
      </c>
      <c r="F775" t="inlineStr">
        <is>
          <t>SKÅNE LÄN</t>
        </is>
      </c>
      <c r="G775" t="inlineStr">
        <is>
          <t>KRISTIANSTAD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45728</v>
      </c>
      <c r="E776" s="1" t="n">
        <v>46235</v>
      </c>
      <c r="F776" t="inlineStr">
        <is>
          <t>SKÅNE LÄN</t>
        </is>
      </c>
      <c r="G776" t="inlineStr">
        <is>
          <t>KRISTIANSTAD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476-2025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46235</v>
      </c>
      <c r="F777" t="inlineStr">
        <is>
          <t>SKÅNE LÄN</t>
        </is>
      </c>
      <c r="G777" t="inlineStr">
        <is>
          <t>KRISTIANSTAD</t>
        </is>
      </c>
      <c r="I777" t="n">
        <v>58.6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46235</v>
      </c>
      <c r="F778" t="inlineStr">
        <is>
          <t>SKÅNE LÄN</t>
        </is>
      </c>
      <c r="G778" t="inlineStr">
        <is>
          <t>KRISTIANSTAD</t>
        </is>
      </c>
      <c r="I778" t="n">
        <v>67.7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760-2025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45726</v>
      </c>
      <c r="E779" s="1" t="n">
        <v>46235</v>
      </c>
      <c r="F779" t="inlineStr">
        <is>
          <t>SKÅNE LÄN</t>
        </is>
      </c>
      <c r="G779" t="inlineStr">
        <is>
          <t>KRISTIANSTAD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871-2025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45734</v>
      </c>
      <c r="E780" s="1" t="n">
        <v>46235</v>
      </c>
      <c r="F780" t="inlineStr">
        <is>
          <t>SKÅNE LÄN</t>
        </is>
      </c>
      <c r="G780" t="inlineStr">
        <is>
          <t>KRISTIANSTAD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1747-2025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46235</v>
      </c>
      <c r="F781" t="inlineStr">
        <is>
          <t>SKÅNE LÄN</t>
        </is>
      </c>
      <c r="G781" t="inlineStr">
        <is>
          <t>KRISTIANSTAD</t>
        </is>
      </c>
      <c r="I781" t="n">
        <v>11.3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46235</v>
      </c>
      <c r="F782" t="inlineStr">
        <is>
          <t>SKÅNE LÄN</t>
        </is>
      </c>
      <c r="G782" t="inlineStr">
        <is>
          <t>KRISTIANSTAD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1750-2025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46235</v>
      </c>
      <c r="F783" t="inlineStr">
        <is>
          <t>SKÅNE LÄN</t>
        </is>
      </c>
      <c r="G783" t="inlineStr">
        <is>
          <t>KRISTIANSTAD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2468-2025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45901</v>
      </c>
      <c r="E784" s="1" t="n">
        <v>46235</v>
      </c>
      <c r="F784" t="inlineStr">
        <is>
          <t>SKÅNE LÄN</t>
        </is>
      </c>
      <c r="G784" t="inlineStr">
        <is>
          <t>KRISTIANSTAD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45945</v>
      </c>
      <c r="E785" s="1" t="n">
        <v>46235</v>
      </c>
      <c r="F785" t="inlineStr">
        <is>
          <t>SKÅNE LÄN</t>
        </is>
      </c>
      <c r="G785" t="inlineStr">
        <is>
          <t>KRISTIANSTAD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2889-2025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45946</v>
      </c>
      <c r="E786" s="1" t="n">
        <v>46235</v>
      </c>
      <c r="F786" t="inlineStr">
        <is>
          <t>SKÅNE LÄN</t>
        </is>
      </c>
      <c r="G786" t="inlineStr">
        <is>
          <t>KRISTIANSTAD</t>
        </is>
      </c>
      <c r="I786" t="n">
        <v>43.6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1064-2026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46127</v>
      </c>
      <c r="E787" s="1" t="n">
        <v>46235</v>
      </c>
      <c r="F787" t="inlineStr">
        <is>
          <t>SKÅNE LÄN</t>
        </is>
      </c>
      <c r="G787" t="inlineStr">
        <is>
          <t>KRISTIANSTAD</t>
        </is>
      </c>
      <c r="I787" t="n">
        <v>69.8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1210-2026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46141</v>
      </c>
      <c r="E788" s="1" t="n">
        <v>46235</v>
      </c>
      <c r="F788" t="inlineStr">
        <is>
          <t>SKÅNE LÄN</t>
        </is>
      </c>
      <c r="G788" t="inlineStr">
        <is>
          <t>KRISTIANSTAD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1380-2026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46148</v>
      </c>
      <c r="E789" s="1" t="n">
        <v>46235</v>
      </c>
      <c r="F789" t="inlineStr">
        <is>
          <t>SKÅNE LÄN</t>
        </is>
      </c>
      <c r="G789" t="inlineStr">
        <is>
          <t>KRISTIANSTAD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2026-08-01T01:48:38Z</dcterms:modified>
</cp:coreProperties>
</file>