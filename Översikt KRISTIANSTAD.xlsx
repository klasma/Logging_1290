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46228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46228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46228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46228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46228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46228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46228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46228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46228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46228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46228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46228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46228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46228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46228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46228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46228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46228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46228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46228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46228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46228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46228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46228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46228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46228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46228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46228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46228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46228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46228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46228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46228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46228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46228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46228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46228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46228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46228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46228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46228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46228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46228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46228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46228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46228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46228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46228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46228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46228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46228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46228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46228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46228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46228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46228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46228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46228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46228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46228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46228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46228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46228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46228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46228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46228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46228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46228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46228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46228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46228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46228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46228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46228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27956-2022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46228</v>
      </c>
      <c r="F89" t="inlineStr">
        <is>
          <t>SKÅNE LÄN</t>
        </is>
      </c>
      <c r="G89" t="inlineStr">
        <is>
          <t>KRISTIANSTAD</t>
        </is>
      </c>
      <c r="I89" t="n">
        <v>14.1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Kärrviol</t>
        </is>
      </c>
      <c r="W89">
        <f>HYPERLINK("https://klasma.github.io/Logging_1290/artfynd/A 27956-2022 artfynd.xlsx", "A 27956-2022")</f>
        <v/>
      </c>
      <c r="X89">
        <f>HYPERLINK("https://klasma.github.io/Logging_1290/kartor/A 27956-2022 karta.png", "A 27956-2022")</f>
        <v/>
      </c>
      <c r="Y89">
        <f>HYPERLINK("https://klasma.github.io/Logging_1290/kartor_geotiff/A 27956-2022 georefererad karta.tif", "A 27956-2022")</f>
        <v/>
      </c>
      <c r="AA89">
        <f>HYPERLINK("https://klasma.github.io/Logging_1290/klagomål/A 27956-2022 FSC-klagomål.docx", "A 27956-2022")</f>
        <v/>
      </c>
      <c r="AB89">
        <f>HYPERLINK("https://klasma.github.io/Logging_1290/klagomålsmail/A 27956-2022 FSC-klagomål mail.docx", "A 27956-2022")</f>
        <v/>
      </c>
      <c r="AC89">
        <f>HYPERLINK("https://klasma.github.io/Logging_1290/tillsyn/A 27956-2022 tillsynsbegäran.docx", "A 27956-2022")</f>
        <v/>
      </c>
      <c r="AD89">
        <f>HYPERLINK("https://klasma.github.io/Logging_1290/tillsynsmail/A 27956-2022 tillsynsbegäran mail.docx", "A 27956-2022")</f>
        <v/>
      </c>
    </row>
    <row r="90" ht="15" customHeight="1">
      <c r="A90" t="inlineStr">
        <is>
          <t>A 28425-2024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46228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Missne</t>
        </is>
      </c>
      <c r="W90">
        <f>HYPERLINK("https://klasma.github.io/Logging_1290/artfynd/A 28425-2024 artfynd.xlsx", "A 28425-2024")</f>
        <v/>
      </c>
      <c r="X90">
        <f>HYPERLINK("https://klasma.github.io/Logging_1290/kartor/A 28425-2024 karta.png", "A 28425-2024")</f>
        <v/>
      </c>
      <c r="Y90">
        <f>HYPERLINK("https://klasma.github.io/Logging_1290/kartor_geotiff/A 28425-2024 georefererad karta.tif", "A 28425-2024")</f>
        <v/>
      </c>
      <c r="AA90">
        <f>HYPERLINK("https://klasma.github.io/Logging_1290/klagomål/A 28425-2024 FSC-klagomål.docx", "A 28425-2024")</f>
        <v/>
      </c>
      <c r="AB90">
        <f>HYPERLINK("https://klasma.github.io/Logging_1290/klagomålsmail/A 28425-2024 FSC-klagomål mail.docx", "A 28425-2024")</f>
        <v/>
      </c>
      <c r="AC90">
        <f>HYPERLINK("https://klasma.github.io/Logging_1290/tillsyn/A 28425-2024 tillsynsbegäran.docx", "A 28425-2024")</f>
        <v/>
      </c>
      <c r="AD90">
        <f>HYPERLINK("https://klasma.github.io/Logging_1290/tillsynsmail/A 28425-2024 tillsynsbegäran mail.docx", "A 28425-2024")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46228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13977-2025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45738</v>
      </c>
      <c r="E92" s="1" t="n">
        <v>46228</v>
      </c>
      <c r="F92" t="inlineStr">
        <is>
          <t>SKÅNE LÄN</t>
        </is>
      </c>
      <c r="G92" t="inlineStr">
        <is>
          <t>KRISTIANSTAD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Rostfläck</t>
        </is>
      </c>
      <c r="W92">
        <f>HYPERLINK("https://klasma.github.io/Logging_1290/artfynd/A 13977-2025 artfynd.xlsx", "A 13977-2025")</f>
        <v/>
      </c>
      <c r="X92">
        <f>HYPERLINK("https://klasma.github.io/Logging_1290/kartor/A 13977-2025 karta.png", "A 13977-2025")</f>
        <v/>
      </c>
      <c r="Y92">
        <f>HYPERLINK("https://klasma.github.io/Logging_1290/kartor_geotiff/A 13977-2025 georefererad karta.tif", "A 13977-2025")</f>
        <v/>
      </c>
      <c r="AA92">
        <f>HYPERLINK("https://klasma.github.io/Logging_1290/klagomål/A 13977-2025 FSC-klagomål.docx", "A 13977-2025")</f>
        <v/>
      </c>
      <c r="AB92">
        <f>HYPERLINK("https://klasma.github.io/Logging_1290/klagomålsmail/A 13977-2025 FSC-klagomål mail.docx", "A 13977-2025")</f>
        <v/>
      </c>
      <c r="AC92">
        <f>HYPERLINK("https://klasma.github.io/Logging_1290/tillsyn/A 13977-2025 tillsynsbegäran.docx", "A 13977-2025")</f>
        <v/>
      </c>
      <c r="AD92">
        <f>HYPERLINK("https://klasma.github.io/Logging_1290/tillsynsmail/A 13977-2025 tillsynsbegäran mail.docx", "A 13977-2025")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46228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46228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46228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HYPERLINK("https://klasma.github.io/Logging_1290/artfynd/A 61605-2023 artfynd.xlsx", "A 61605-2023")</f>
        <v/>
      </c>
      <c r="X95">
        <f>HYPERLINK("https://klasma.github.io/Logging_1290/kartor/A 61605-2023 karta.png", "A 61605-2023")</f>
        <v/>
      </c>
      <c r="Y95">
        <f>HYPERLINK("https://klasma.github.io/Logging_1290/kartor_geotiff/A 61605-2023 georefererad karta.tif", "A 61605-2023")</f>
        <v/>
      </c>
      <c r="AA95">
        <f>HYPERLINK("https://klasma.github.io/Logging_1290/klagomål/A 61605-2023 FSC-klagomål.docx", "A 61605-2023")</f>
        <v/>
      </c>
      <c r="AB95">
        <f>HYPERLINK("https://klasma.github.io/Logging_1290/klagomålsmail/A 61605-2023 FSC-klagomål mail.docx", "A 61605-2023")</f>
        <v/>
      </c>
      <c r="AC95">
        <f>HYPERLINK("https://klasma.github.io/Logging_1290/tillsyn/A 61605-2023 tillsynsbegäran.docx", "A 61605-2023")</f>
        <v/>
      </c>
      <c r="AD95">
        <f>HYPERLINK("https://klasma.github.io/Logging_1290/tillsynsmail/A 61605-2023 tillsynsbegäran mail.docx", "A 61605-2023")</f>
        <v/>
      </c>
    </row>
    <row r="96" ht="15" customHeight="1">
      <c r="A96" t="inlineStr">
        <is>
          <t>A 32101-2024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46228</v>
      </c>
      <c r="F96" t="inlineStr">
        <is>
          <t>SKÅNE LÄN</t>
        </is>
      </c>
      <c r="G96" t="inlineStr">
        <is>
          <t>KRISTIANSTAD</t>
        </is>
      </c>
      <c r="I96" t="n">
        <v>6.6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Skogsknipprot</t>
        </is>
      </c>
      <c r="W96">
        <f>HYPERLINK("https://klasma.github.io/Logging_1290/artfynd/A 32101-2024 artfynd.xlsx", "A 32101-2024")</f>
        <v/>
      </c>
      <c r="X96">
        <f>HYPERLINK("https://klasma.github.io/Logging_1290/kartor/A 32101-2024 karta.png", "A 32101-2024")</f>
        <v/>
      </c>
      <c r="Y96">
        <f>HYPERLINK("https://klasma.github.io/Logging_1290/kartor_geotiff/A 32101-2024 georefererad karta.tif", "A 32101-2024")</f>
        <v/>
      </c>
      <c r="AA96">
        <f>HYPERLINK("https://klasma.github.io/Logging_1290/klagomål/A 32101-2024 FSC-klagomål.docx", "A 32101-2024")</f>
        <v/>
      </c>
      <c r="AB96">
        <f>HYPERLINK("https://klasma.github.io/Logging_1290/klagomålsmail/A 32101-2024 FSC-klagomål mail.docx", "A 32101-2024")</f>
        <v/>
      </c>
      <c r="AC96">
        <f>HYPERLINK("https://klasma.github.io/Logging_1290/tillsyn/A 32101-2024 tillsynsbegäran.docx", "A 32101-2024")</f>
        <v/>
      </c>
      <c r="AD96">
        <f>HYPERLINK("https://klasma.github.io/Logging_1290/tillsynsmail/A 32101-2024 tillsynsbegäran mail.docx", "A 32101-2024")</f>
        <v/>
      </c>
    </row>
    <row r="97" ht="15" customHeight="1">
      <c r="A97" t="inlineStr">
        <is>
          <t>A 19704-2026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46228</v>
      </c>
      <c r="F97" t="inlineStr">
        <is>
          <t>SKÅNE LÄN</t>
        </is>
      </c>
      <c r="G97" t="inlineStr">
        <is>
          <t>KRISTIANSTAD</t>
        </is>
      </c>
      <c r="H97" t="inlineStr">
        <is>
          <t>Övriga Aktiebolag</t>
        </is>
      </c>
      <c r="I97" t="n">
        <v>6.3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Desmeknopp</t>
        </is>
      </c>
      <c r="W97">
        <f>HYPERLINK("https://klasma.github.io/Logging_1290/artfynd/A 19704-2026 artfynd.xlsx", "A 19704-2026")</f>
        <v/>
      </c>
      <c r="X97">
        <f>HYPERLINK("https://klasma.github.io/Logging_1290/kartor/A 19704-2026 karta.png", "A 19704-2026")</f>
        <v/>
      </c>
      <c r="Y97">
        <f>HYPERLINK("https://klasma.github.io/Logging_1290/kartor_geotiff/A 19704-2026 georefererad karta.tif", "A 19704-2026")</f>
        <v/>
      </c>
      <c r="AA97">
        <f>HYPERLINK("https://klasma.github.io/Logging_1290/klagomål/A 19704-2026 FSC-klagomål.docx", "A 19704-2026")</f>
        <v/>
      </c>
      <c r="AB97">
        <f>HYPERLINK("https://klasma.github.io/Logging_1290/klagomålsmail/A 19704-2026 FSC-klagomål mail.docx", "A 19704-2026")</f>
        <v/>
      </c>
      <c r="AC97">
        <f>HYPERLINK("https://klasma.github.io/Logging_1290/tillsyn/A 19704-2026 tillsynsbegäran.docx", "A 19704-2026")</f>
        <v/>
      </c>
      <c r="AD97">
        <f>HYPERLINK("https://klasma.github.io/Logging_1290/tillsynsmail/A 19704-2026 tillsynsbegäran mail.docx", "A 19704-2026")</f>
        <v/>
      </c>
    </row>
    <row r="98" ht="15" customHeight="1">
      <c r="A98" t="inlineStr">
        <is>
          <t>A 28342-2024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46228</v>
      </c>
      <c r="F98" t="inlineStr">
        <is>
          <t>SKÅNE LÄN</t>
        </is>
      </c>
      <c r="G98" t="inlineStr">
        <is>
          <t>KRISTIANSTAD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Knölspindel</t>
        </is>
      </c>
      <c r="W98">
        <f>HYPERLINK("https://klasma.github.io/Logging_1290/artfynd/A 28342-2024 artfynd.xlsx", "A 28342-2024")</f>
        <v/>
      </c>
      <c r="X98">
        <f>HYPERLINK("https://klasma.github.io/Logging_1290/kartor/A 28342-2024 karta.png", "A 28342-2024")</f>
        <v/>
      </c>
      <c r="Y98">
        <f>HYPERLINK("https://klasma.github.io/Logging_1290/kartor_geotiff/A 28342-2024 georefererad karta.tif", "A 28342-2024")</f>
        <v/>
      </c>
      <c r="AA98">
        <f>HYPERLINK("https://klasma.github.io/Logging_1290/klagomål/A 28342-2024 FSC-klagomål.docx", "A 28342-2024")</f>
        <v/>
      </c>
      <c r="AB98">
        <f>HYPERLINK("https://klasma.github.io/Logging_1290/klagomålsmail/A 28342-2024 FSC-klagomål mail.docx", "A 28342-2024")</f>
        <v/>
      </c>
      <c r="AC98">
        <f>HYPERLINK("https://klasma.github.io/Logging_1290/tillsyn/A 28342-2024 tillsynsbegäran.docx", "A 28342-2024")</f>
        <v/>
      </c>
      <c r="AD98">
        <f>HYPERLINK("https://klasma.github.io/Logging_1290/tillsynsmail/A 28342-2024 tillsynsbegäran mail.docx", "A 28342-2024")</f>
        <v/>
      </c>
    </row>
    <row r="99" ht="15" customHeight="1">
      <c r="A99" t="inlineStr">
        <is>
          <t>A 17023-2025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46228</v>
      </c>
      <c r="F99" t="inlineStr">
        <is>
          <t>SKÅNE LÄN</t>
        </is>
      </c>
      <c r="G99" t="inlineStr">
        <is>
          <t>KRISTIANSTAD</t>
        </is>
      </c>
      <c r="I99" t="n">
        <v>5.7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Ekskinn</t>
        </is>
      </c>
      <c r="W99">
        <f>HYPERLINK("https://klasma.github.io/Logging_1290/artfynd/A 17023-2025 artfynd.xlsx", "A 17023-2025")</f>
        <v/>
      </c>
      <c r="X99">
        <f>HYPERLINK("https://klasma.github.io/Logging_1290/kartor/A 17023-2025 karta.png", "A 17023-2025")</f>
        <v/>
      </c>
      <c r="Y99">
        <f>HYPERLINK("https://klasma.github.io/Logging_1290/kartor_geotiff/A 17023-2025 georefererad karta.tif", "A 17023-2025")</f>
        <v/>
      </c>
      <c r="AA99">
        <f>HYPERLINK("https://klasma.github.io/Logging_1290/klagomål/A 17023-2025 FSC-klagomål.docx", "A 17023-2025")</f>
        <v/>
      </c>
      <c r="AB99">
        <f>HYPERLINK("https://klasma.github.io/Logging_1290/klagomålsmail/A 17023-2025 FSC-klagomål mail.docx", "A 17023-2025")</f>
        <v/>
      </c>
      <c r="AC99">
        <f>HYPERLINK("https://klasma.github.io/Logging_1290/tillsyn/A 17023-2025 tillsynsbegäran.docx", "A 17023-2025")</f>
        <v/>
      </c>
      <c r="AD99">
        <f>HYPERLINK("https://klasma.github.io/Logging_1290/tillsynsmail/A 17023-2025 tillsynsbegäran mail.docx", "A 17023-2025")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46228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46931-2025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46228</v>
      </c>
      <c r="F101" t="inlineStr">
        <is>
          <t>SKÅNE LÄN</t>
        </is>
      </c>
      <c r="G101" t="inlineStr">
        <is>
          <t>KRISTIANSTAD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Blåmossa</t>
        </is>
      </c>
      <c r="W101">
        <f>HYPERLINK("https://klasma.github.io/Logging_1290/artfynd/A 46931-2025 artfynd.xlsx", "A 46931-2025")</f>
        <v/>
      </c>
      <c r="X101">
        <f>HYPERLINK("https://klasma.github.io/Logging_1290/kartor/A 46931-2025 karta.png", "A 46931-2025")</f>
        <v/>
      </c>
      <c r="Y101">
        <f>HYPERLINK("https://klasma.github.io/Logging_1290/kartor_geotiff/A 46931-2025 georefererad karta.tif", "A 46931-2025")</f>
        <v/>
      </c>
      <c r="AA101">
        <f>HYPERLINK("https://klasma.github.io/Logging_1290/klagomål/A 46931-2025 FSC-klagomål.docx", "A 46931-2025")</f>
        <v/>
      </c>
      <c r="AB101">
        <f>HYPERLINK("https://klasma.github.io/Logging_1290/klagomålsmail/A 46931-2025 FSC-klagomål mail.docx", "A 46931-2025")</f>
        <v/>
      </c>
      <c r="AC101">
        <f>HYPERLINK("https://klasma.github.io/Logging_1290/tillsyn/A 46931-2025 tillsynsbegäran.docx", "A 46931-2025")</f>
        <v/>
      </c>
      <c r="AD101">
        <f>HYPERLINK("https://klasma.github.io/Logging_1290/tillsynsmail/A 46931-2025 tillsynsbegäran mail.docx", "A 46931-2025")</f>
        <v/>
      </c>
    </row>
    <row r="102" ht="15" customHeight="1">
      <c r="A102" t="inlineStr">
        <is>
          <t>A 52014-2024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46228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Luddfingerört</t>
        </is>
      </c>
      <c r="W102">
        <f>HYPERLINK("https://klasma.github.io/Logging_1290/artfynd/A 52014-2024 artfynd.xlsx", "A 52014-2024")</f>
        <v/>
      </c>
      <c r="X102">
        <f>HYPERLINK("https://klasma.github.io/Logging_1290/kartor/A 52014-2024 karta.png", "A 52014-2024")</f>
        <v/>
      </c>
      <c r="Y102">
        <f>HYPERLINK("https://klasma.github.io/Logging_1290/kartor_geotiff/A 52014-2024 georefererad karta.tif", "A 52014-2024")</f>
        <v/>
      </c>
      <c r="AA102">
        <f>HYPERLINK("https://klasma.github.io/Logging_1290/klagomål/A 52014-2024 FSC-klagomål.docx", "A 52014-2024")</f>
        <v/>
      </c>
      <c r="AB102">
        <f>HYPERLINK("https://klasma.github.io/Logging_1290/klagomålsmail/A 52014-2024 FSC-klagomål mail.docx", "A 52014-2024")</f>
        <v/>
      </c>
      <c r="AC102">
        <f>HYPERLINK("https://klasma.github.io/Logging_1290/tillsyn/A 52014-2024 tillsynsbegäran.docx", "A 52014-2024")</f>
        <v/>
      </c>
      <c r="AD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46228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46228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15706-2025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46228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HYPERLINK("https://klasma.github.io/Logging_1290/artfynd/A 15706-2025 artfynd.xlsx", "A 15706-2025")</f>
        <v/>
      </c>
      <c r="X105">
        <f>HYPERLINK("https://klasma.github.io/Logging_1290/kartor/A 15706-2025 karta.png", "A 15706-2025")</f>
        <v/>
      </c>
      <c r="Y105">
        <f>HYPERLINK("https://klasma.github.io/Logging_1290/kartor_geotiff/A 15706-2025 georefererad karta.tif", "A 15706-2025")</f>
        <v/>
      </c>
      <c r="AA105">
        <f>HYPERLINK("https://klasma.github.io/Logging_1290/klagomål/A 15706-2025 FSC-klagomål.docx", "A 15706-2025")</f>
        <v/>
      </c>
      <c r="AB105">
        <f>HYPERLINK("https://klasma.github.io/Logging_1290/klagomålsmail/A 15706-2025 FSC-klagomål mail.docx", "A 15706-2025")</f>
        <v/>
      </c>
      <c r="AC105">
        <f>HYPERLINK("https://klasma.github.io/Logging_1290/tillsyn/A 15706-2025 tillsynsbegäran.docx", "A 15706-2025")</f>
        <v/>
      </c>
      <c r="AD105">
        <f>HYPERLINK("https://klasma.github.io/Logging_1290/tillsynsmail/A 15706-2025 tillsynsbegäran mail.docx", "A 15706-2025")</f>
        <v/>
      </c>
    </row>
    <row r="106" ht="15" customHeight="1">
      <c r="A106" t="inlineStr">
        <is>
          <t>A 27462-2026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46189</v>
      </c>
      <c r="E106" s="1" t="n">
        <v>46228</v>
      </c>
      <c r="F106" t="inlineStr">
        <is>
          <t>SKÅNE LÄN</t>
        </is>
      </c>
      <c r="G106" t="inlineStr">
        <is>
          <t>KRISTIANSTAD</t>
        </is>
      </c>
      <c r="I106" t="n">
        <v>9.1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Skuggsprötmossa</t>
        </is>
      </c>
      <c r="W106">
        <f>HYPERLINK("https://klasma.github.io/Logging_1290/artfynd/A 27462-2026 artfynd.xlsx", "A 27462-2026")</f>
        <v/>
      </c>
      <c r="X106">
        <f>HYPERLINK("https://klasma.github.io/Logging_1290/kartor/A 27462-2026 karta.png", "A 27462-2026")</f>
        <v/>
      </c>
      <c r="Y106">
        <f>HYPERLINK("https://klasma.github.io/Logging_1290/kartor_geotiff/A 27462-2026 georefererad karta.tif", "A 27462-2026")</f>
        <v/>
      </c>
      <c r="AA106">
        <f>HYPERLINK("https://klasma.github.io/Logging_1290/klagomål/A 27462-2026 FSC-klagomål.docx", "A 27462-2026")</f>
        <v/>
      </c>
      <c r="AB106">
        <f>HYPERLINK("https://klasma.github.io/Logging_1290/klagomålsmail/A 27462-2026 FSC-klagomål mail.docx", "A 27462-2026")</f>
        <v/>
      </c>
      <c r="AC106">
        <f>HYPERLINK("https://klasma.github.io/Logging_1290/tillsyn/A 27462-2026 tillsynsbegäran.docx", "A 27462-2026")</f>
        <v/>
      </c>
      <c r="AD106">
        <f>HYPERLINK("https://klasma.github.io/Logging_1290/tillsynsmail/A 27462-2026 tillsynsbegäran mail.docx", "A 27462-2026")</f>
        <v/>
      </c>
    </row>
    <row r="107" ht="15" customHeight="1">
      <c r="A107" t="inlineStr">
        <is>
          <t>A 4615-2024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46228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Skogslysing</t>
        </is>
      </c>
      <c r="W107">
        <f>HYPERLINK("https://klasma.github.io/Logging_1290/artfynd/A 4615-2024 artfynd.xlsx", "A 4615-2024")</f>
        <v/>
      </c>
      <c r="X107">
        <f>HYPERLINK("https://klasma.github.io/Logging_1290/kartor/A 4615-2024 karta.png", "A 4615-2024")</f>
        <v/>
      </c>
      <c r="Y107">
        <f>HYPERLINK("https://klasma.github.io/Logging_1290/kartor_geotiff/A 4615-2024 georefererad karta.tif", "A 4615-2024")</f>
        <v/>
      </c>
      <c r="AA107">
        <f>HYPERLINK("https://klasma.github.io/Logging_1290/klagomål/A 4615-2024 FSC-klagomål.docx", "A 4615-2024")</f>
        <v/>
      </c>
      <c r="AB107">
        <f>HYPERLINK("https://klasma.github.io/Logging_1290/klagomålsmail/A 4615-2024 FSC-klagomål mail.docx", "A 4615-2024")</f>
        <v/>
      </c>
      <c r="AC107">
        <f>HYPERLINK("https://klasma.github.io/Logging_1290/tillsyn/A 4615-2024 tillsynsbegäran.docx", "A 4615-2024")</f>
        <v/>
      </c>
      <c r="AD107">
        <f>HYPERLINK("https://klasma.github.io/Logging_1290/tillsynsmail/A 4615-2024 tillsynsbegäran mail.docx", "A 4615-2024")</f>
        <v/>
      </c>
    </row>
    <row r="108" ht="15" customHeight="1">
      <c r="A108" t="inlineStr">
        <is>
          <t>A 30925-2022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44767</v>
      </c>
      <c r="E108" s="1" t="n">
        <v>46228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HYPERLINK("https://klasma.github.io/Logging_1290/artfynd/A 30925-2022 artfynd.xlsx", "A 30925-2022")</f>
        <v/>
      </c>
      <c r="X108">
        <f>HYPERLINK("https://klasma.github.io/Logging_1290/kartor/A 30925-2022 karta.png", "A 30925-2022")</f>
        <v/>
      </c>
      <c r="Y108">
        <f>HYPERLINK("https://klasma.github.io/Logging_1290/kartor_geotiff/A 30925-2022 georefererad karta.tif", "A 30925-2022")</f>
        <v/>
      </c>
      <c r="AA108">
        <f>HYPERLINK("https://klasma.github.io/Logging_1290/klagomål/A 30925-2022 FSC-klagomål.docx", "A 30925-2022")</f>
        <v/>
      </c>
      <c r="AB108">
        <f>HYPERLINK("https://klasma.github.io/Logging_1290/klagomålsmail/A 30925-2022 FSC-klagomål mail.docx", "A 30925-2022")</f>
        <v/>
      </c>
      <c r="AC108">
        <f>HYPERLINK("https://klasma.github.io/Logging_1290/tillsyn/A 30925-2022 tillsynsbegäran.docx", "A 30925-2022")</f>
        <v/>
      </c>
      <c r="AD108">
        <f>HYPERLINK("https://klasma.github.io/Logging_1290/tillsynsmail/A 30925-2022 tillsynsbegäran mail.docx", "A 30925-2022")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46228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46228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46228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46228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46228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Flodpärlmussla</t>
        </is>
      </c>
      <c r="W113">
        <f>HYPERLINK("https://klasma.github.io/Logging_1290/artfynd/A 27606-2026 artfynd.xlsx", "A 27606-2026")</f>
        <v/>
      </c>
      <c r="X113">
        <f>HYPERLINK("https://klasma.github.io/Logging_1290/kartor/A 27606-2026 karta.png", "A 27606-2026")</f>
        <v/>
      </c>
      <c r="Y113">
        <f>HYPERLINK("https://klasma.github.io/Logging_1290/kartor_geotiff/A 27606-2026 georefererad karta.tif", "A 27606-2026")</f>
        <v/>
      </c>
      <c r="AA113">
        <f>HYPERLINK("https://klasma.github.io/Logging_1290/klagomål/A 27606-2026 FSC-klagomål.docx", "A 27606-2026")</f>
        <v/>
      </c>
      <c r="AB113">
        <f>HYPERLINK("https://klasma.github.io/Logging_1290/klagomålsmail/A 27606-2026 FSC-klagomål mail.docx", "A 27606-2026")</f>
        <v/>
      </c>
      <c r="AC113">
        <f>HYPERLINK("https://klasma.github.io/Logging_1290/tillsyn/A 27606-2026 tillsynsbegäran.docx", "A 27606-2026")</f>
        <v/>
      </c>
      <c r="AD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46228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21835-2026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46228</v>
      </c>
      <c r="F115" t="inlineStr">
        <is>
          <t>SKÅNE LÄN</t>
        </is>
      </c>
      <c r="G115" t="inlineStr">
        <is>
          <t>KRISTIANSTAD</t>
        </is>
      </c>
      <c r="I115" t="n">
        <v>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21835-2026 artfynd.xlsx", "A 21835-2026")</f>
        <v/>
      </c>
      <c r="X115">
        <f>HYPERLINK("https://klasma.github.io/Logging_1290/kartor/A 21835-2026 karta.png", "A 21835-2026")</f>
        <v/>
      </c>
      <c r="Y115">
        <f>HYPERLINK("https://klasma.github.io/Logging_1290/kartor_geotiff/A 21835-2026 georefererad karta.tif", "A 21835-2026")</f>
        <v/>
      </c>
      <c r="AA115">
        <f>HYPERLINK("https://klasma.github.io/Logging_1290/klagomål/A 21835-2026 FSC-klagomål.docx", "A 21835-2026")</f>
        <v/>
      </c>
      <c r="AB115">
        <f>HYPERLINK("https://klasma.github.io/Logging_1290/klagomålsmail/A 21835-2026 FSC-klagomål mail.docx", "A 21835-2026")</f>
        <v/>
      </c>
      <c r="AC115">
        <f>HYPERLINK("https://klasma.github.io/Logging_1290/tillsyn/A 21835-2026 tillsynsbegäran.docx", "A 21835-2026")</f>
        <v/>
      </c>
      <c r="AD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46228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46228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46228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46228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40668-2024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46228</v>
      </c>
      <c r="F120" t="inlineStr">
        <is>
          <t>SKÅNE LÄN</t>
        </is>
      </c>
      <c r="G120" t="inlineStr">
        <is>
          <t>KRISTIANSTAD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HYPERLINK("https://klasma.github.io/Logging_1290/artfynd/A 40668-2024 artfynd.xlsx", "A 40668-2024")</f>
        <v/>
      </c>
      <c r="X120">
        <f>HYPERLINK("https://klasma.github.io/Logging_1290/kartor/A 40668-2024 karta.png", "A 40668-2024")</f>
        <v/>
      </c>
      <c r="Y120">
        <f>HYPERLINK("https://klasma.github.io/Logging_1290/kartor_geotiff/A 40668-2024 georefererad karta.tif", "A 40668-2024")</f>
        <v/>
      </c>
      <c r="AA120">
        <f>HYPERLINK("https://klasma.github.io/Logging_1290/klagomål/A 40668-2024 FSC-klagomål.docx", "A 40668-2024")</f>
        <v/>
      </c>
      <c r="AB120">
        <f>HYPERLINK("https://klasma.github.io/Logging_1290/klagomålsmail/A 40668-2024 FSC-klagomål mail.docx", "A 40668-2024")</f>
        <v/>
      </c>
      <c r="AC120">
        <f>HYPERLINK("https://klasma.github.io/Logging_1290/tillsyn/A 40668-2024 tillsynsbegäran.docx", "A 40668-2024")</f>
        <v/>
      </c>
      <c r="AD120">
        <f>HYPERLINK("https://klasma.github.io/Logging_1290/tillsynsmail/A 40668-2024 tillsynsbegäran mail.docx", "A 40668-2024")</f>
        <v/>
      </c>
      <c r="AE120">
        <f>HYPERLINK("https://klasma.github.io/Logging_1290/fåglar/A 40668-2024 prioriterade fågelarter.docx", "A 40668-2024")</f>
        <v/>
      </c>
    </row>
    <row r="121" ht="15" customHeight="1">
      <c r="A121" t="inlineStr">
        <is>
          <t>A 60006-2025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46228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4.8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Ekoxe</t>
        </is>
      </c>
      <c r="W121">
        <f>HYPERLINK("https://klasma.github.io/Logging_1290/artfynd/A 60006-2025 artfynd.xlsx", "A 60006-2025")</f>
        <v/>
      </c>
      <c r="X121">
        <f>HYPERLINK("https://klasma.github.io/Logging_1290/kartor/A 60006-2025 karta.png", "A 60006-2025")</f>
        <v/>
      </c>
      <c r="Y121">
        <f>HYPERLINK("https://klasma.github.io/Logging_1290/kartor_geotiff/A 60006-2025 georefererad karta.tif", "A 60006-2025")</f>
        <v/>
      </c>
      <c r="AA121">
        <f>HYPERLINK("https://klasma.github.io/Logging_1290/klagomål/A 60006-2025 FSC-klagomål.docx", "A 60006-2025")</f>
        <v/>
      </c>
      <c r="AB121">
        <f>HYPERLINK("https://klasma.github.io/Logging_1290/klagomålsmail/A 60006-2025 FSC-klagomål mail.docx", "A 60006-2025")</f>
        <v/>
      </c>
      <c r="AC121">
        <f>HYPERLINK("https://klasma.github.io/Logging_1290/tillsyn/A 60006-2025 tillsynsbegäran.docx", "A 60006-2025")</f>
        <v/>
      </c>
      <c r="AD121">
        <f>HYPERLINK("https://klasma.github.io/Logging_1290/tillsynsmail/A 60006-2025 tillsynsbegäran mail.docx", "A 60006-2025")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46228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46228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46228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46228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46228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46228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50702-2025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46228</v>
      </c>
      <c r="F128" t="inlineStr">
        <is>
          <t>SKÅNE LÄN</t>
        </is>
      </c>
      <c r="G128" t="inlineStr">
        <is>
          <t>KRISTIANSTAD</t>
        </is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Guldlockmossa</t>
        </is>
      </c>
      <c r="W128">
        <f>HYPERLINK("https://klasma.github.io/Logging_1290/artfynd/A 50702-2025 artfynd.xlsx", "A 50702-2025")</f>
        <v/>
      </c>
      <c r="X128">
        <f>HYPERLINK("https://klasma.github.io/Logging_1290/kartor/A 50702-2025 karta.png", "A 50702-2025")</f>
        <v/>
      </c>
      <c r="Y128">
        <f>HYPERLINK("https://klasma.github.io/Logging_1290/kartor_geotiff/A 50702-2025 georefererad karta.tif", "A 50702-2025")</f>
        <v/>
      </c>
      <c r="AA128">
        <f>HYPERLINK("https://klasma.github.io/Logging_1290/klagomål/A 50702-2025 FSC-klagomål.docx", "A 50702-2025")</f>
        <v/>
      </c>
      <c r="AB128">
        <f>HYPERLINK("https://klasma.github.io/Logging_1290/klagomålsmail/A 50702-2025 FSC-klagomål mail.docx", "A 50702-2025")</f>
        <v/>
      </c>
      <c r="AC128">
        <f>HYPERLINK("https://klasma.github.io/Logging_1290/tillsyn/A 50702-2025 tillsynsbegäran.docx", "A 50702-2025")</f>
        <v/>
      </c>
      <c r="AD128">
        <f>HYPERLINK("https://klasma.github.io/Logging_1290/tillsynsmail/A 50702-2025 tillsynsbegäran mail.docx", "A 50702-2025")</f>
        <v/>
      </c>
    </row>
    <row r="129" ht="15" customHeight="1">
      <c r="A129" t="inlineStr">
        <is>
          <t>A 8208-2023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46228</v>
      </c>
      <c r="F129" t="inlineStr">
        <is>
          <t>SKÅNE LÄN</t>
        </is>
      </c>
      <c r="G129" t="inlineStr">
        <is>
          <t>KRISTIANSTAD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Flodpärlmussla</t>
        </is>
      </c>
      <c r="W129">
        <f>HYPERLINK("https://klasma.github.io/Logging_1290/artfynd/A 8208-2023 artfynd.xlsx", "A 8208-2023")</f>
        <v/>
      </c>
      <c r="X129">
        <f>HYPERLINK("https://klasma.github.io/Logging_1290/kartor/A 8208-2023 karta.png", "A 8208-2023")</f>
        <v/>
      </c>
      <c r="Y129">
        <f>HYPERLINK("https://klasma.github.io/Logging_1290/kartor_geotiff/A 8208-2023 georefererad karta.tif", "A 8208-2023")</f>
        <v/>
      </c>
      <c r="AA129">
        <f>HYPERLINK("https://klasma.github.io/Logging_1290/klagomål/A 8208-2023 FSC-klagomål.docx", "A 8208-2023")</f>
        <v/>
      </c>
      <c r="AB129">
        <f>HYPERLINK("https://klasma.github.io/Logging_1290/klagomålsmail/A 8208-2023 FSC-klagomål mail.docx", "A 8208-2023")</f>
        <v/>
      </c>
      <c r="AC129">
        <f>HYPERLINK("https://klasma.github.io/Logging_1290/tillsyn/A 8208-2023 tillsynsbegäran.docx", "A 8208-2023")</f>
        <v/>
      </c>
      <c r="AD129">
        <f>HYPERLINK("https://klasma.github.io/Logging_1290/tillsynsmail/A 8208-2023 tillsynsbegäran mail.docx", "A 8208-2023")</f>
        <v/>
      </c>
    </row>
    <row r="130" ht="15" customHeight="1">
      <c r="A130" t="inlineStr">
        <is>
          <t>A 34096-2025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46228</v>
      </c>
      <c r="F130" t="inlineStr">
        <is>
          <t>SKÅNE LÄN</t>
        </is>
      </c>
      <c r="G130" t="inlineStr">
        <is>
          <t>KRISTIANSTAD</t>
        </is>
      </c>
      <c r="I130" t="n">
        <v>6.5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Dunmossa</t>
        </is>
      </c>
      <c r="W130">
        <f>HYPERLINK("https://klasma.github.io/Logging_1290/artfynd/A 34096-2025 artfynd.xlsx", "A 34096-2025")</f>
        <v/>
      </c>
      <c r="X130">
        <f>HYPERLINK("https://klasma.github.io/Logging_1290/kartor/A 34096-2025 karta.png", "A 34096-2025")</f>
        <v/>
      </c>
      <c r="Y130">
        <f>HYPERLINK("https://klasma.github.io/Logging_1290/kartor_geotiff/A 34096-2025 georefererad karta.tif", "A 34096-2025")</f>
        <v/>
      </c>
      <c r="AA130">
        <f>HYPERLINK("https://klasma.github.io/Logging_1290/klagomål/A 34096-2025 FSC-klagomål.docx", "A 34096-2025")</f>
        <v/>
      </c>
      <c r="AB130">
        <f>HYPERLINK("https://klasma.github.io/Logging_1290/klagomålsmail/A 34096-2025 FSC-klagomål mail.docx", "A 34096-2025")</f>
        <v/>
      </c>
      <c r="AC130">
        <f>HYPERLINK("https://klasma.github.io/Logging_1290/tillsyn/A 34096-2025 tillsynsbegäran.docx", "A 34096-2025")</f>
        <v/>
      </c>
      <c r="AD130">
        <f>HYPERLINK("https://klasma.github.io/Logging_1290/tillsynsmail/A 34096-2025 tillsynsbegäran mail.docx", "A 34096-2025")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46228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46228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46228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40366-2021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44419</v>
      </c>
      <c r="E134" s="1" t="n">
        <v>46228</v>
      </c>
      <c r="F134" t="inlineStr">
        <is>
          <t>SKÅNE LÄN</t>
        </is>
      </c>
      <c r="G134" t="inlineStr">
        <is>
          <t>KRISTIANSTAD</t>
        </is>
      </c>
      <c r="H134" t="inlineStr">
        <is>
          <t>Kommuner</t>
        </is>
      </c>
      <c r="I134" t="n">
        <v>6.2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Åkerväddsantennmal</t>
        </is>
      </c>
      <c r="W134">
        <f>HYPERLINK("https://klasma.github.io/Logging_1290/artfynd/A 40366-2021 artfynd.xlsx", "A 40366-2021")</f>
        <v/>
      </c>
      <c r="X134">
        <f>HYPERLINK("https://klasma.github.io/Logging_1290/kartor/A 40366-2021 karta.png", "A 40366-2021")</f>
        <v/>
      </c>
      <c r="Y134">
        <f>HYPERLINK("https://klasma.github.io/Logging_1290/kartor_geotiff/A 40366-2021 georefererad karta.tif", "A 40366-2021")</f>
        <v/>
      </c>
      <c r="AA134">
        <f>HYPERLINK("https://klasma.github.io/Logging_1290/klagomål/A 40366-2021 FSC-klagomål.docx", "A 40366-2021")</f>
        <v/>
      </c>
      <c r="AB134">
        <f>HYPERLINK("https://klasma.github.io/Logging_1290/klagomålsmail/A 40366-2021 FSC-klagomål mail.docx", "A 40366-2021")</f>
        <v/>
      </c>
      <c r="AC134">
        <f>HYPERLINK("https://klasma.github.io/Logging_1290/tillsyn/A 40366-2021 tillsynsbegäran.docx", "A 40366-2021")</f>
        <v/>
      </c>
      <c r="AD134">
        <f>HYPERLINK("https://klasma.github.io/Logging_1290/tillsynsmail/A 40366-2021 tillsynsbegäran mail.docx", "A 40366-2021")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46228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41004-2022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46228</v>
      </c>
      <c r="F136" t="inlineStr">
        <is>
          <t>SKÅNE LÄN</t>
        </is>
      </c>
      <c r="G136" t="inlineStr">
        <is>
          <t>KRISTIANSTAD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41004-2022 artfynd.xlsx", "A 41004-2022")</f>
        <v/>
      </c>
      <c r="X136">
        <f>HYPERLINK("https://klasma.github.io/Logging_1290/kartor/A 41004-2022 karta.png", "A 41004-2022")</f>
        <v/>
      </c>
      <c r="Y136">
        <f>HYPERLINK("https://klasma.github.io/Logging_1290/kartor_geotiff/A 41004-2022 georefererad karta.tif", "A 41004-2022")</f>
        <v/>
      </c>
      <c r="AA136">
        <f>HYPERLINK("https://klasma.github.io/Logging_1290/klagomål/A 41004-2022 FSC-klagomål.docx", "A 41004-2022")</f>
        <v/>
      </c>
      <c r="AB136">
        <f>HYPERLINK("https://klasma.github.io/Logging_1290/klagomålsmail/A 41004-2022 FSC-klagomål mail.docx", "A 41004-2022")</f>
        <v/>
      </c>
      <c r="AC136">
        <f>HYPERLINK("https://klasma.github.io/Logging_1290/tillsyn/A 41004-2022 tillsynsbegäran.docx", "A 41004-2022")</f>
        <v/>
      </c>
      <c r="AD136">
        <f>HYPERLINK("https://klasma.github.io/Logging_1290/tillsynsmail/A 41004-2022 tillsynsbegäran mail.docx", "A 41004-2022")</f>
        <v/>
      </c>
    </row>
    <row r="137" ht="15" customHeight="1">
      <c r="A137" t="inlineStr">
        <is>
          <t>A 15105-2023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46228</v>
      </c>
      <c r="F137" t="inlineStr">
        <is>
          <t>SKÅNE LÄN</t>
        </is>
      </c>
      <c r="G137" t="inlineStr">
        <is>
          <t>KRISTIANSTAD</t>
        </is>
      </c>
      <c r="H137" t="inlineStr">
        <is>
          <t>Kyrkan</t>
        </is>
      </c>
      <c r="I137" t="n">
        <v>3.2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Liten baronmossa</t>
        </is>
      </c>
      <c r="W137">
        <f>HYPERLINK("https://klasma.github.io/Logging_1290/artfynd/A 15105-2023 artfynd.xlsx", "A 15105-2023")</f>
        <v/>
      </c>
      <c r="X137">
        <f>HYPERLINK("https://klasma.github.io/Logging_1290/kartor/A 15105-2023 karta.png", "A 15105-2023")</f>
        <v/>
      </c>
      <c r="Y137">
        <f>HYPERLINK("https://klasma.github.io/Logging_1290/kartor_geotiff/A 15105-2023 georefererad karta.tif", "A 15105-2023")</f>
        <v/>
      </c>
      <c r="AA137">
        <f>HYPERLINK("https://klasma.github.io/Logging_1290/klagomål/A 15105-2023 FSC-klagomål.docx", "A 15105-2023")</f>
        <v/>
      </c>
      <c r="AB137">
        <f>HYPERLINK("https://klasma.github.io/Logging_1290/klagomålsmail/A 15105-2023 FSC-klagomål mail.docx", "A 15105-2023")</f>
        <v/>
      </c>
      <c r="AC137">
        <f>HYPERLINK("https://klasma.github.io/Logging_1290/tillsyn/A 15105-2023 tillsynsbegäran.docx", "A 15105-2023")</f>
        <v/>
      </c>
      <c r="AD137">
        <f>HYPERLINK("https://klasma.github.io/Logging_1290/tillsynsmail/A 15105-2023 tillsynsbegäran mail.docx", "A 15105-2023")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46228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46228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46228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46228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33883-2025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46228</v>
      </c>
      <c r="F142" t="inlineStr">
        <is>
          <t>SKÅNE LÄN</t>
        </is>
      </c>
      <c r="G142" t="inlineStr">
        <is>
          <t>KRISTIANSTAD</t>
        </is>
      </c>
      <c r="I142" t="n">
        <v>2.3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Stor häxört</t>
        </is>
      </c>
      <c r="W142">
        <f>HYPERLINK("https://klasma.github.io/Logging_1290/artfynd/A 33883-2025 artfynd.xlsx", "A 33883-2025")</f>
        <v/>
      </c>
      <c r="X142">
        <f>HYPERLINK("https://klasma.github.io/Logging_1290/kartor/A 33883-2025 karta.png", "A 33883-2025")</f>
        <v/>
      </c>
      <c r="Y142">
        <f>HYPERLINK("https://klasma.github.io/Logging_1290/kartor_geotiff/A 33883-2025 georefererad karta.tif", "A 33883-2025")</f>
        <v/>
      </c>
      <c r="AA142">
        <f>HYPERLINK("https://klasma.github.io/Logging_1290/klagomål/A 33883-2025 FSC-klagomål.docx", "A 33883-2025")</f>
        <v/>
      </c>
      <c r="AB142">
        <f>HYPERLINK("https://klasma.github.io/Logging_1290/klagomålsmail/A 33883-2025 FSC-klagomål mail.docx", "A 33883-2025")</f>
        <v/>
      </c>
      <c r="AC142">
        <f>HYPERLINK("https://klasma.github.io/Logging_1290/tillsyn/A 33883-2025 tillsynsbegäran.docx", "A 33883-2025")</f>
        <v/>
      </c>
      <c r="AD142">
        <f>HYPERLINK("https://klasma.github.io/Logging_1290/tillsynsmail/A 33883-2025 tillsynsbegäran mail.docx", "A 33883-2025")</f>
        <v/>
      </c>
    </row>
    <row r="143" ht="15" customHeight="1">
      <c r="A143" t="inlineStr">
        <is>
          <t>A 16783-2025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46228</v>
      </c>
      <c r="F143" t="inlineStr">
        <is>
          <t>SKÅNE LÄN</t>
        </is>
      </c>
      <c r="G143" t="inlineStr">
        <is>
          <t>KRISTIANSTAD</t>
        </is>
      </c>
      <c r="I143" t="n">
        <v>20.2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Öring</t>
        </is>
      </c>
      <c r="W143">
        <f>HYPERLINK("https://klasma.github.io/Logging_1290/artfynd/A 16783-2025 artfynd.xlsx", "A 16783-2025")</f>
        <v/>
      </c>
      <c r="X143">
        <f>HYPERLINK("https://klasma.github.io/Logging_1290/kartor/A 16783-2025 karta.png", "A 16783-2025")</f>
        <v/>
      </c>
      <c r="Y143">
        <f>HYPERLINK("https://klasma.github.io/Logging_1290/kartor_geotiff/A 16783-2025 georefererad karta.tif", "A 16783-2025")</f>
        <v/>
      </c>
      <c r="AA143">
        <f>HYPERLINK("https://klasma.github.io/Logging_1290/klagomål/A 16783-2025 FSC-klagomål.docx", "A 16783-2025")</f>
        <v/>
      </c>
      <c r="AB143">
        <f>HYPERLINK("https://klasma.github.io/Logging_1290/klagomålsmail/A 16783-2025 FSC-klagomål mail.docx", "A 16783-2025")</f>
        <v/>
      </c>
      <c r="AC143">
        <f>HYPERLINK("https://klasma.github.io/Logging_1290/tillsyn/A 16783-2025 tillsynsbegäran.docx", "A 16783-2025")</f>
        <v/>
      </c>
      <c r="AD143">
        <f>HYPERLINK("https://klasma.github.io/Logging_1290/tillsynsmail/A 16783-2025 tillsynsbegäran mail.docx", "A 16783-2025")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46228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46228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46228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46228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46228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46228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46228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46228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46228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46228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46228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46228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46228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46228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46228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46228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46228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46228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46228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46228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74289-2021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44558</v>
      </c>
      <c r="E164" s="1" t="n">
        <v>46228</v>
      </c>
      <c r="F164" t="inlineStr">
        <is>
          <t>SKÅNE LÄN</t>
        </is>
      </c>
      <c r="G164" t="inlineStr">
        <is>
          <t>KRISTIANSTAD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46228</v>
      </c>
      <c r="F165" t="inlineStr">
        <is>
          <t>SKÅNE LÄN</t>
        </is>
      </c>
      <c r="G165" t="inlineStr">
        <is>
          <t>KRISTIANSTAD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46228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46228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46228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46228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46228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46228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46228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46228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46228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46228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46228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46228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46228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46228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46228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46228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46228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46228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46228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46228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46228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46228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46228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46228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46228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46228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46228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46228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46228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46228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46228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46228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46228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46228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46228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46228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46228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46228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46228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46228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46228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46228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46228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46228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46228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46228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45338</v>
      </c>
      <c r="E212" s="1" t="n">
        <v>46228</v>
      </c>
      <c r="F212" t="inlineStr">
        <is>
          <t>SKÅNE LÄN</t>
        </is>
      </c>
      <c r="G212" t="inlineStr">
        <is>
          <t>KRISTIANSTAD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46228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46228</v>
      </c>
      <c r="F214" t="inlineStr">
        <is>
          <t>SKÅNE LÄN</t>
        </is>
      </c>
      <c r="G214" t="inlineStr">
        <is>
          <t>KRISTIANSTAD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46228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46228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46228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46228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46228</v>
      </c>
      <c r="F219" t="inlineStr">
        <is>
          <t>SKÅNE LÄN</t>
        </is>
      </c>
      <c r="G219" t="inlineStr">
        <is>
          <t>KRISTIANSTAD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46228</v>
      </c>
      <c r="F220" t="inlineStr">
        <is>
          <t>SKÅNE LÄN</t>
        </is>
      </c>
      <c r="G220" t="inlineStr">
        <is>
          <t>KRISTIANSTAD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46228</v>
      </c>
      <c r="F221" t="inlineStr">
        <is>
          <t>SKÅNE LÄN</t>
        </is>
      </c>
      <c r="G221" t="inlineStr">
        <is>
          <t>KRISTIANSTAD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46228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45577</v>
      </c>
      <c r="E223" s="1" t="n">
        <v>46228</v>
      </c>
      <c r="F223" t="inlineStr">
        <is>
          <t>SKÅNE LÄN</t>
        </is>
      </c>
      <c r="G223" t="inlineStr">
        <is>
          <t>KRISTIANSTAD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46228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46228</v>
      </c>
      <c r="F225" t="inlineStr">
        <is>
          <t>SKÅNE LÄN</t>
        </is>
      </c>
      <c r="G225" t="inlineStr">
        <is>
          <t>KRISTIANSTAD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46228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45419</v>
      </c>
      <c r="E227" s="1" t="n">
        <v>46228</v>
      </c>
      <c r="F227" t="inlineStr">
        <is>
          <t>SKÅNE LÄN</t>
        </is>
      </c>
      <c r="G227" t="inlineStr">
        <is>
          <t>KRISTIANSTAD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45132</v>
      </c>
      <c r="E228" s="1" t="n">
        <v>46228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46228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46228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44744</v>
      </c>
      <c r="E231" s="1" t="n">
        <v>46228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46228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46228</v>
      </c>
      <c r="F233" t="inlineStr">
        <is>
          <t>SKÅNE LÄN</t>
        </is>
      </c>
      <c r="G233" t="inlineStr">
        <is>
          <t>KRISTIANSTAD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46228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46228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46228</v>
      </c>
      <c r="F236" t="inlineStr">
        <is>
          <t>SKÅNE LÄN</t>
        </is>
      </c>
      <c r="G236" t="inlineStr">
        <is>
          <t>KRISTIANSTAD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46228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45652</v>
      </c>
      <c r="E238" s="1" t="n">
        <v>46228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46228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46228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46228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46228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45490</v>
      </c>
      <c r="E243" s="1" t="n">
        <v>46228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46228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46228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44655</v>
      </c>
      <c r="E246" s="1" t="n">
        <v>46228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46228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46228</v>
      </c>
      <c r="F248" t="inlineStr">
        <is>
          <t>SKÅNE LÄN</t>
        </is>
      </c>
      <c r="G248" t="inlineStr">
        <is>
          <t>KRISTIANSTAD</t>
        </is>
      </c>
      <c r="I248" t="n">
        <v>16.6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46228</v>
      </c>
      <c r="F249" t="inlineStr">
        <is>
          <t>SKÅNE LÄN</t>
        </is>
      </c>
      <c r="G249" t="inlineStr">
        <is>
          <t>KRISTIANSTAD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46228</v>
      </c>
      <c r="F250" t="inlineStr">
        <is>
          <t>SKÅNE LÄN</t>
        </is>
      </c>
      <c r="G250" t="inlineStr">
        <is>
          <t>KRISTIANSTAD</t>
        </is>
      </c>
      <c r="I250" t="n">
        <v>12.2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45007</v>
      </c>
      <c r="E251" s="1" t="n">
        <v>46228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46228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46228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46228</v>
      </c>
      <c r="F254" t="inlineStr">
        <is>
          <t>SKÅNE LÄN</t>
        </is>
      </c>
      <c r="G254" t="inlineStr">
        <is>
          <t>KRISTIANSTAD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46228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25671-2023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45089</v>
      </c>
      <c r="E256" s="1" t="n">
        <v>46228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46228</v>
      </c>
      <c r="F257" t="inlineStr">
        <is>
          <t>SKÅNE LÄN</t>
        </is>
      </c>
      <c r="G257" t="inlineStr">
        <is>
          <t>KRISTIANSTAD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45116</v>
      </c>
      <c r="E258" s="1" t="n">
        <v>46228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46228</v>
      </c>
      <c r="F259" t="inlineStr">
        <is>
          <t>SKÅNE LÄN</t>
        </is>
      </c>
      <c r="G259" t="inlineStr">
        <is>
          <t>KRISTIANSTAD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46228</v>
      </c>
      <c r="F260" t="inlineStr">
        <is>
          <t>SKÅNE LÄN</t>
        </is>
      </c>
      <c r="G260" t="inlineStr">
        <is>
          <t>KRISTIANSTAD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46228</v>
      </c>
      <c r="F261" t="inlineStr">
        <is>
          <t>SKÅNE LÄN</t>
        </is>
      </c>
      <c r="G261" t="inlineStr">
        <is>
          <t>KRISTIANSTAD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46228</v>
      </c>
      <c r="F262" t="inlineStr">
        <is>
          <t>SKÅNE LÄN</t>
        </is>
      </c>
      <c r="G262" t="inlineStr">
        <is>
          <t>KRISTIANSTAD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46228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46228</v>
      </c>
      <c r="F264" t="inlineStr">
        <is>
          <t>SKÅNE LÄN</t>
        </is>
      </c>
      <c r="G264" t="inlineStr">
        <is>
          <t>KRISTIANSTAD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46228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46228</v>
      </c>
      <c r="F266" t="inlineStr">
        <is>
          <t>SKÅNE LÄN</t>
        </is>
      </c>
      <c r="G266" t="inlineStr">
        <is>
          <t>KRISTIANSTAD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44743</v>
      </c>
      <c r="E267" s="1" t="n">
        <v>46228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46228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46228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46228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46228</v>
      </c>
      <c r="F271" t="inlineStr">
        <is>
          <t>SKÅNE LÄN</t>
        </is>
      </c>
      <c r="G271" t="inlineStr">
        <is>
          <t>KRISTIANSTAD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46228</v>
      </c>
      <c r="F272" t="inlineStr">
        <is>
          <t>SKÅNE LÄN</t>
        </is>
      </c>
      <c r="G272" t="inlineStr">
        <is>
          <t>KRISTIANSTAD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46228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46228</v>
      </c>
      <c r="F274" t="inlineStr">
        <is>
          <t>SKÅNE LÄN</t>
        </is>
      </c>
      <c r="G274" t="inlineStr">
        <is>
          <t>KRISTIANSTAD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46228</v>
      </c>
      <c r="F275" t="inlineStr">
        <is>
          <t>SKÅNE LÄN</t>
        </is>
      </c>
      <c r="G275" t="inlineStr">
        <is>
          <t>KRISTIANSTAD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45326</v>
      </c>
      <c r="E276" s="1" t="n">
        <v>46228</v>
      </c>
      <c r="F276" t="inlineStr">
        <is>
          <t>SKÅNE LÄN</t>
        </is>
      </c>
      <c r="G276" t="inlineStr">
        <is>
          <t>KRISTIANSTAD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46228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44627</v>
      </c>
      <c r="E278" s="1" t="n">
        <v>46228</v>
      </c>
      <c r="F278" t="inlineStr">
        <is>
          <t>SKÅNE LÄN</t>
        </is>
      </c>
      <c r="G278" t="inlineStr">
        <is>
          <t>KRISTIANSTAD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46228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45229</v>
      </c>
      <c r="E280" s="1" t="n">
        <v>46228</v>
      </c>
      <c r="F280" t="inlineStr">
        <is>
          <t>SKÅNE LÄN</t>
        </is>
      </c>
      <c r="G280" t="inlineStr">
        <is>
          <t>KRISTIANSTAD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45496</v>
      </c>
      <c r="E281" s="1" t="n">
        <v>46228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46228</v>
      </c>
      <c r="F282" t="inlineStr">
        <is>
          <t>SKÅNE LÄN</t>
        </is>
      </c>
      <c r="G282" t="inlineStr">
        <is>
          <t>KRISTIANSTAD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44984</v>
      </c>
      <c r="E283" s="1" t="n">
        <v>46228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65097-2021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44513</v>
      </c>
      <c r="E284" s="1" t="n">
        <v>46228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46228</v>
      </c>
      <c r="F285" t="inlineStr">
        <is>
          <t>SKÅNE LÄN</t>
        </is>
      </c>
      <c r="G285" t="inlineStr">
        <is>
          <t>KRISTIANSTAD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46228</v>
      </c>
      <c r="F286" t="inlineStr">
        <is>
          <t>SKÅNE LÄN</t>
        </is>
      </c>
      <c r="G286" t="inlineStr">
        <is>
          <t>KRISTIANSTAD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46228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46228</v>
      </c>
      <c r="F288" t="inlineStr">
        <is>
          <t>SKÅNE LÄN</t>
        </is>
      </c>
      <c r="G288" t="inlineStr">
        <is>
          <t>KRISTIANSTAD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46228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46228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46228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46228</v>
      </c>
      <c r="F292" t="inlineStr">
        <is>
          <t>SKÅNE LÄN</t>
        </is>
      </c>
      <c r="G292" t="inlineStr">
        <is>
          <t>KRISTIANSTAD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46228</v>
      </c>
      <c r="F293" t="inlineStr">
        <is>
          <t>SKÅNE LÄN</t>
        </is>
      </c>
      <c r="G293" t="inlineStr">
        <is>
          <t>KRISTIANSTAD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22277-2024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46228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45168</v>
      </c>
      <c r="E295" s="1" t="n">
        <v>46228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46228</v>
      </c>
      <c r="F296" t="inlineStr">
        <is>
          <t>SKÅNE LÄN</t>
        </is>
      </c>
      <c r="G296" t="inlineStr">
        <is>
          <t>KRISTIANSTAD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46228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45477</v>
      </c>
      <c r="E298" s="1" t="n">
        <v>46228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45085</v>
      </c>
      <c r="E299" s="1" t="n">
        <v>46228</v>
      </c>
      <c r="F299" t="inlineStr">
        <is>
          <t>SKÅNE LÄN</t>
        </is>
      </c>
      <c r="G299" t="inlineStr">
        <is>
          <t>KRISTIANSTAD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46228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44587</v>
      </c>
      <c r="E301" s="1" t="n">
        <v>46228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46228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44774</v>
      </c>
      <c r="E303" s="1" t="n">
        <v>46228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46228</v>
      </c>
      <c r="F304" t="inlineStr">
        <is>
          <t>SKÅNE LÄN</t>
        </is>
      </c>
      <c r="G304" t="inlineStr">
        <is>
          <t>KRISTIANSTAD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10062-2024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45364</v>
      </c>
      <c r="E305" s="1" t="n">
        <v>46228</v>
      </c>
      <c r="F305" t="inlineStr">
        <is>
          <t>SKÅNE LÄN</t>
        </is>
      </c>
      <c r="G305" t="inlineStr">
        <is>
          <t>KRISTIANSTAD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46228</v>
      </c>
      <c r="F306" t="inlineStr">
        <is>
          <t>SKÅNE LÄN</t>
        </is>
      </c>
      <c r="G306" t="inlineStr">
        <is>
          <t>KRISTIANSTAD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46228</v>
      </c>
      <c r="F307" t="inlineStr">
        <is>
          <t>SKÅNE LÄN</t>
        </is>
      </c>
      <c r="G307" t="inlineStr">
        <is>
          <t>KRISTIANSTAD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46228</v>
      </c>
      <c r="F308" t="inlineStr">
        <is>
          <t>SKÅNE LÄN</t>
        </is>
      </c>
      <c r="G308" t="inlineStr">
        <is>
          <t>KRISTIANSTAD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46228</v>
      </c>
      <c r="F309" t="inlineStr">
        <is>
          <t>SKÅNE LÄN</t>
        </is>
      </c>
      <c r="G309" t="inlineStr">
        <is>
          <t>KRISTIANSTAD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46228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46228</v>
      </c>
      <c r="F311" t="inlineStr">
        <is>
          <t>SKÅNE LÄN</t>
        </is>
      </c>
      <c r="G311" t="inlineStr">
        <is>
          <t>KRISTIANSTAD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44713</v>
      </c>
      <c r="E312" s="1" t="n">
        <v>46228</v>
      </c>
      <c r="F312" t="inlineStr">
        <is>
          <t>SKÅNE LÄN</t>
        </is>
      </c>
      <c r="G312" t="inlineStr">
        <is>
          <t>KRISTIANSTAD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46228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51898-2024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46228</v>
      </c>
      <c r="F314" t="inlineStr">
        <is>
          <t>SKÅNE LÄN</t>
        </is>
      </c>
      <c r="G314" t="inlineStr">
        <is>
          <t>KRISTIANSTAD</t>
        </is>
      </c>
      <c r="H314" t="inlineStr">
        <is>
          <t>Övriga Aktiebolag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7546-2022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46228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46228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46228</v>
      </c>
      <c r="F317" t="inlineStr">
        <is>
          <t>SKÅNE LÄN</t>
        </is>
      </c>
      <c r="G317" t="inlineStr">
        <is>
          <t>KRISTIANSTAD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46228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46228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46228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45418</v>
      </c>
      <c r="E321" s="1" t="n">
        <v>46228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45581</v>
      </c>
      <c r="E322" s="1" t="n">
        <v>46228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46228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46515-2022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44847</v>
      </c>
      <c r="E324" s="1" t="n">
        <v>46228</v>
      </c>
      <c r="F324" t="inlineStr">
        <is>
          <t>SKÅNE LÄN</t>
        </is>
      </c>
      <c r="G324" t="inlineStr">
        <is>
          <t>KRISTIANSTAD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46228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46228</v>
      </c>
      <c r="F326" t="inlineStr">
        <is>
          <t>SKÅNE LÄN</t>
        </is>
      </c>
      <c r="G326" t="inlineStr">
        <is>
          <t>KRISTIANSTAD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45554</v>
      </c>
      <c r="E327" s="1" t="n">
        <v>46228</v>
      </c>
      <c r="F327" t="inlineStr">
        <is>
          <t>SKÅNE LÄN</t>
        </is>
      </c>
      <c r="G327" t="inlineStr">
        <is>
          <t>KRISTIANSTAD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45461</v>
      </c>
      <c r="E328" s="1" t="n">
        <v>46228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46228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46228</v>
      </c>
      <c r="F330" t="inlineStr">
        <is>
          <t>SKÅNE LÄN</t>
        </is>
      </c>
      <c r="G330" t="inlineStr">
        <is>
          <t>KRISTIANSTAD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46228</v>
      </c>
      <c r="F331" t="inlineStr">
        <is>
          <t>SKÅNE LÄN</t>
        </is>
      </c>
      <c r="G331" t="inlineStr">
        <is>
          <t>KRISTIANSTAD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46228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46228</v>
      </c>
      <c r="F333" t="inlineStr">
        <is>
          <t>SKÅNE LÄN</t>
        </is>
      </c>
      <c r="G333" t="inlineStr">
        <is>
          <t>KRISTIANSTAD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20302-2026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46136</v>
      </c>
      <c r="E334" s="1" t="n">
        <v>46228</v>
      </c>
      <c r="F334" t="inlineStr">
        <is>
          <t>SKÅNE LÄN</t>
        </is>
      </c>
      <c r="G334" t="inlineStr">
        <is>
          <t>KRISTIANSTAD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46228</v>
      </c>
      <c r="F335" t="inlineStr">
        <is>
          <t>SKÅNE LÄN</t>
        </is>
      </c>
      <c r="G335" t="inlineStr">
        <is>
          <t>KRISTIANSTAD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46228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45896</v>
      </c>
      <c r="E337" s="1" t="n">
        <v>46228</v>
      </c>
      <c r="F337" t="inlineStr">
        <is>
          <t>SKÅNE LÄN</t>
        </is>
      </c>
      <c r="G337" t="inlineStr">
        <is>
          <t>KRISTIANSTAD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45887</v>
      </c>
      <c r="E338" s="1" t="n">
        <v>46228</v>
      </c>
      <c r="F338" t="inlineStr">
        <is>
          <t>SKÅNE LÄN</t>
        </is>
      </c>
      <c r="G338" t="inlineStr">
        <is>
          <t>KRISTIANSTAD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46228</v>
      </c>
      <c r="F339" t="inlineStr">
        <is>
          <t>SKÅNE LÄN</t>
        </is>
      </c>
      <c r="G339" t="inlineStr">
        <is>
          <t>KRISTIANSTAD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46228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45900</v>
      </c>
      <c r="E341" s="1" t="n">
        <v>46228</v>
      </c>
      <c r="F341" t="inlineStr">
        <is>
          <t>SKÅNE LÄN</t>
        </is>
      </c>
      <c r="G341" t="inlineStr">
        <is>
          <t>KRISTIANSTAD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45900</v>
      </c>
      <c r="E342" s="1" t="n">
        <v>46228</v>
      </c>
      <c r="F342" t="inlineStr">
        <is>
          <t>SKÅNE LÄN</t>
        </is>
      </c>
      <c r="G342" t="inlineStr">
        <is>
          <t>KRISTIANSTAD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45668</v>
      </c>
      <c r="E343" s="1" t="n">
        <v>46228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46228</v>
      </c>
      <c r="F344" t="inlineStr">
        <is>
          <t>SKÅNE LÄN</t>
        </is>
      </c>
      <c r="G344" t="inlineStr">
        <is>
          <t>KRISTIANSTAD</t>
        </is>
      </c>
      <c r="H344" t="inlineStr">
        <is>
          <t>Kyrkan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46228</v>
      </c>
      <c r="F345" t="inlineStr">
        <is>
          <t>SKÅNE LÄN</t>
        </is>
      </c>
      <c r="G345" t="inlineStr">
        <is>
          <t>KRISTIANSTAD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45900</v>
      </c>
      <c r="E346" s="1" t="n">
        <v>46228</v>
      </c>
      <c r="F346" t="inlineStr">
        <is>
          <t>SKÅNE LÄN</t>
        </is>
      </c>
      <c r="G346" t="inlineStr">
        <is>
          <t>KRISTIANSTAD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45900</v>
      </c>
      <c r="E347" s="1" t="n">
        <v>46228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45900</v>
      </c>
      <c r="E348" s="1" t="n">
        <v>46228</v>
      </c>
      <c r="F348" t="inlineStr">
        <is>
          <t>SKÅNE LÄN</t>
        </is>
      </c>
      <c r="G348" t="inlineStr">
        <is>
          <t>KRISTIANSTAD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46228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46228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46228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46228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45258</v>
      </c>
      <c r="E353" s="1" t="n">
        <v>46228</v>
      </c>
      <c r="F353" t="inlineStr">
        <is>
          <t>SKÅNE LÄN</t>
        </is>
      </c>
      <c r="G353" t="inlineStr">
        <is>
          <t>KRISTIANSTAD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46228</v>
      </c>
      <c r="F354" t="inlineStr">
        <is>
          <t>SKÅNE LÄN</t>
        </is>
      </c>
      <c r="G354" t="inlineStr">
        <is>
          <t>KRISTIANSTAD</t>
        </is>
      </c>
      <c r="H354" t="inlineStr">
        <is>
          <t>Kyrkan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44595</v>
      </c>
      <c r="E355" s="1" t="n">
        <v>46228</v>
      </c>
      <c r="F355" t="inlineStr">
        <is>
          <t>SKÅNE LÄN</t>
        </is>
      </c>
      <c r="G355" t="inlineStr">
        <is>
          <t>KRISTIANSTAD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46228</v>
      </c>
      <c r="F356" t="inlineStr">
        <is>
          <t>SKÅNE LÄN</t>
        </is>
      </c>
      <c r="G356" t="inlineStr">
        <is>
          <t>KRISTIANSTAD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45777</v>
      </c>
      <c r="E357" s="1" t="n">
        <v>46228</v>
      </c>
      <c r="F357" t="inlineStr">
        <is>
          <t>SKÅNE LÄN</t>
        </is>
      </c>
      <c r="G357" t="inlineStr">
        <is>
          <t>KRISTIANSTAD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45470</v>
      </c>
      <c r="E358" s="1" t="n">
        <v>46228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45737</v>
      </c>
      <c r="E359" s="1" t="n">
        <v>46228</v>
      </c>
      <c r="F359" t="inlineStr">
        <is>
          <t>SKÅNE LÄN</t>
        </is>
      </c>
      <c r="G359" t="inlineStr">
        <is>
          <t>KRISTIANSTAD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46228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45144</v>
      </c>
      <c r="E361" s="1" t="n">
        <v>46228</v>
      </c>
      <c r="F361" t="inlineStr">
        <is>
          <t>SKÅNE LÄN</t>
        </is>
      </c>
      <c r="G361" t="inlineStr">
        <is>
          <t>KRISTIANSTAD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45144</v>
      </c>
      <c r="E362" s="1" t="n">
        <v>46228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46228</v>
      </c>
      <c r="F363" t="inlineStr">
        <is>
          <t>SKÅNE LÄN</t>
        </is>
      </c>
      <c r="G363" t="inlineStr">
        <is>
          <t>KRISTIANSTAD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45338</v>
      </c>
      <c r="E364" s="1" t="n">
        <v>46228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46228</v>
      </c>
      <c r="F365" t="inlineStr">
        <is>
          <t>SKÅNE LÄN</t>
        </is>
      </c>
      <c r="G365" t="inlineStr">
        <is>
          <t>KRISTIANSTAD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45792</v>
      </c>
      <c r="E366" s="1" t="n">
        <v>46228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44111-2025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46228</v>
      </c>
      <c r="F367" t="inlineStr">
        <is>
          <t>SKÅNE LÄN</t>
        </is>
      </c>
      <c r="G367" t="inlineStr">
        <is>
          <t>KRISTIANSTAD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46228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46228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46228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45083</v>
      </c>
      <c r="E371" s="1" t="n">
        <v>46228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46228</v>
      </c>
      <c r="F372" t="inlineStr">
        <is>
          <t>SKÅNE LÄN</t>
        </is>
      </c>
      <c r="G372" t="inlineStr">
        <is>
          <t>KRISTIANSTAD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46228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38021-2023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45159</v>
      </c>
      <c r="E374" s="1" t="n">
        <v>46228</v>
      </c>
      <c r="F374" t="inlineStr">
        <is>
          <t>SKÅNE LÄN</t>
        </is>
      </c>
      <c r="G374" t="inlineStr">
        <is>
          <t>KRISTIANSTAD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46228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46228</v>
      </c>
      <c r="F376" t="inlineStr">
        <is>
          <t>SKÅNE LÄN</t>
        </is>
      </c>
      <c r="G376" t="inlineStr">
        <is>
          <t>KRISTIANSTAD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45083</v>
      </c>
      <c r="E377" s="1" t="n">
        <v>46228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45198</v>
      </c>
      <c r="E378" s="1" t="n">
        <v>46228</v>
      </c>
      <c r="F378" t="inlineStr">
        <is>
          <t>SKÅNE LÄN</t>
        </is>
      </c>
      <c r="G378" t="inlineStr">
        <is>
          <t>KRISTIANSTAD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46228</v>
      </c>
      <c r="F379" t="inlineStr">
        <is>
          <t>SKÅNE LÄN</t>
        </is>
      </c>
      <c r="G379" t="inlineStr">
        <is>
          <t>KRISTIANSTAD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72100-2021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46228</v>
      </c>
      <c r="F380" t="inlineStr">
        <is>
          <t>SKÅNE LÄN</t>
        </is>
      </c>
      <c r="G380" t="inlineStr">
        <is>
          <t>KRISTIANSTAD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46340-2025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46228</v>
      </c>
      <c r="F381" t="inlineStr">
        <is>
          <t>SKÅNE LÄN</t>
        </is>
      </c>
      <c r="G381" t="inlineStr">
        <is>
          <t>KRISTIANSTAD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45511</v>
      </c>
      <c r="E382" s="1" t="n">
        <v>46228</v>
      </c>
      <c r="F382" t="inlineStr">
        <is>
          <t>SKÅNE LÄN</t>
        </is>
      </c>
      <c r="G382" t="inlineStr">
        <is>
          <t>KRISTIANSTAD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46228</v>
      </c>
      <c r="F383" t="inlineStr">
        <is>
          <t>SKÅNE LÄN</t>
        </is>
      </c>
      <c r="G383" t="inlineStr">
        <is>
          <t>KRISTIANSTAD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46228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46228</v>
      </c>
      <c r="F385" t="inlineStr">
        <is>
          <t>SKÅNE LÄN</t>
        </is>
      </c>
      <c r="G385" t="inlineStr">
        <is>
          <t>KRISTIANSTAD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45577</v>
      </c>
      <c r="E386" s="1" t="n">
        <v>46228</v>
      </c>
      <c r="F386" t="inlineStr">
        <is>
          <t>SKÅNE LÄN</t>
        </is>
      </c>
      <c r="G386" t="inlineStr">
        <is>
          <t>KRISTIANSTAD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46228</v>
      </c>
      <c r="F387" t="inlineStr">
        <is>
          <t>SKÅNE LÄN</t>
        </is>
      </c>
      <c r="G387" t="inlineStr">
        <is>
          <t>KRISTIANSTAD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45533</v>
      </c>
      <c r="E388" s="1" t="n">
        <v>46228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46228</v>
      </c>
      <c r="F389" t="inlineStr">
        <is>
          <t>SKÅNE LÄN</t>
        </is>
      </c>
      <c r="G389" t="inlineStr">
        <is>
          <t>KRISTIANSTAD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46228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46228</v>
      </c>
      <c r="F391" t="inlineStr">
        <is>
          <t>SKÅNE LÄN</t>
        </is>
      </c>
      <c r="G391" t="inlineStr">
        <is>
          <t>KRISTIANSTAD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46228</v>
      </c>
      <c r="F392" t="inlineStr">
        <is>
          <t>SKÅNE LÄN</t>
        </is>
      </c>
      <c r="G392" t="inlineStr">
        <is>
          <t>KRISTIANSTAD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46228</v>
      </c>
      <c r="F393" t="inlineStr">
        <is>
          <t>SKÅNE LÄN</t>
        </is>
      </c>
      <c r="G393" t="inlineStr">
        <is>
          <t>KRISTIANSTAD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20651-2026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46141</v>
      </c>
      <c r="E394" s="1" t="n">
        <v>46228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46228</v>
      </c>
      <c r="F395" t="inlineStr">
        <is>
          <t>SKÅNE LÄN</t>
        </is>
      </c>
      <c r="G395" t="inlineStr">
        <is>
          <t>KRISTIANSTAD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43966-2025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45915</v>
      </c>
      <c r="E396" s="1" t="n">
        <v>46228</v>
      </c>
      <c r="F396" t="inlineStr">
        <is>
          <t>SKÅNE LÄN</t>
        </is>
      </c>
      <c r="G396" t="inlineStr">
        <is>
          <t>KRISTIANSTAD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46228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46095-2023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45190</v>
      </c>
      <c r="E398" s="1" t="n">
        <v>46228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46228</v>
      </c>
      <c r="F399" t="inlineStr">
        <is>
          <t>SKÅNE LÄN</t>
        </is>
      </c>
      <c r="G399" t="inlineStr">
        <is>
          <t>KRISTIANSTAD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46228</v>
      </c>
      <c r="F400" t="inlineStr">
        <is>
          <t>SKÅNE LÄN</t>
        </is>
      </c>
      <c r="G400" t="inlineStr">
        <is>
          <t>KRISTIANSTAD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46228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46228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45226</v>
      </c>
      <c r="E403" s="1" t="n">
        <v>46228</v>
      </c>
      <c r="F403" t="inlineStr">
        <is>
          <t>SKÅNE LÄN</t>
        </is>
      </c>
      <c r="G403" t="inlineStr">
        <is>
          <t>KRISTIANSTAD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46228</v>
      </c>
      <c r="F404" t="inlineStr">
        <is>
          <t>SKÅNE LÄN</t>
        </is>
      </c>
      <c r="G404" t="inlineStr">
        <is>
          <t>KRISTIANSTAD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46228</v>
      </c>
      <c r="F405" t="inlineStr">
        <is>
          <t>SKÅNE LÄN</t>
        </is>
      </c>
      <c r="G405" t="inlineStr">
        <is>
          <t>KRISTIANSTAD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46228</v>
      </c>
      <c r="F406" t="inlineStr">
        <is>
          <t>SKÅNE LÄN</t>
        </is>
      </c>
      <c r="G406" t="inlineStr">
        <is>
          <t>KRISTIANSTAD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46228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44599</v>
      </c>
      <c r="E408" s="1" t="n">
        <v>46228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46228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46228</v>
      </c>
      <c r="F410" t="inlineStr">
        <is>
          <t>SKÅNE LÄN</t>
        </is>
      </c>
      <c r="G410" t="inlineStr">
        <is>
          <t>KRISTIANSTAD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50655-2025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46228</v>
      </c>
      <c r="F411" t="inlineStr">
        <is>
          <t>SKÅNE LÄN</t>
        </is>
      </c>
      <c r="G411" t="inlineStr">
        <is>
          <t>KRISTIANSTAD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46228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46228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62156-2022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44915</v>
      </c>
      <c r="E414" s="1" t="n">
        <v>46228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45366</v>
      </c>
      <c r="E415" s="1" t="n">
        <v>46228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46228</v>
      </c>
      <c r="F416" t="inlineStr">
        <is>
          <t>SKÅNE LÄN</t>
        </is>
      </c>
      <c r="G416" t="inlineStr">
        <is>
          <t>KRISTIANSTAD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46228</v>
      </c>
      <c r="F417" t="inlineStr">
        <is>
          <t>SKÅNE LÄN</t>
        </is>
      </c>
      <c r="G417" t="inlineStr">
        <is>
          <t>KRISTIANSTAD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45467</v>
      </c>
      <c r="E418" s="1" t="n">
        <v>46228</v>
      </c>
      <c r="F418" t="inlineStr">
        <is>
          <t>SKÅNE LÄN</t>
        </is>
      </c>
      <c r="G418" t="inlineStr">
        <is>
          <t>KRISTIANSTAD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45247</v>
      </c>
      <c r="E419" s="1" t="n">
        <v>46228</v>
      </c>
      <c r="F419" t="inlineStr">
        <is>
          <t>SKÅNE LÄN</t>
        </is>
      </c>
      <c r="G419" t="inlineStr">
        <is>
          <t>KRISTIANSTAD</t>
        </is>
      </c>
      <c r="I419" t="n">
        <v>11.9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46228</v>
      </c>
      <c r="F420" t="inlineStr">
        <is>
          <t>SKÅNE LÄN</t>
        </is>
      </c>
      <c r="G420" t="inlineStr">
        <is>
          <t>KRISTIANSTAD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44995</v>
      </c>
      <c r="E421" s="1" t="n">
        <v>46228</v>
      </c>
      <c r="F421" t="inlineStr">
        <is>
          <t>SKÅNE LÄN</t>
        </is>
      </c>
      <c r="G421" t="inlineStr">
        <is>
          <t>KRISTIANSTAD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44795</v>
      </c>
      <c r="E422" s="1" t="n">
        <v>46228</v>
      </c>
      <c r="F422" t="inlineStr">
        <is>
          <t>SKÅNE LÄN</t>
        </is>
      </c>
      <c r="G422" t="inlineStr">
        <is>
          <t>KRISTIANSTAD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45002</v>
      </c>
      <c r="E423" s="1" t="n">
        <v>46228</v>
      </c>
      <c r="F423" t="inlineStr">
        <is>
          <t>SKÅNE LÄN</t>
        </is>
      </c>
      <c r="G423" t="inlineStr">
        <is>
          <t>KRISTIANSTAD</t>
        </is>
      </c>
      <c r="H423" t="inlineStr">
        <is>
          <t>Kyrkan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46228</v>
      </c>
      <c r="F424" t="inlineStr">
        <is>
          <t>SKÅNE LÄN</t>
        </is>
      </c>
      <c r="G424" t="inlineStr">
        <is>
          <t>KRISTIANSTAD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46228</v>
      </c>
      <c r="F425" t="inlineStr">
        <is>
          <t>SKÅNE LÄN</t>
        </is>
      </c>
      <c r="G425" t="inlineStr">
        <is>
          <t>KRISTIANSTAD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46228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46228</v>
      </c>
      <c r="F427" t="inlineStr">
        <is>
          <t>SKÅNE LÄN</t>
        </is>
      </c>
      <c r="G427" t="inlineStr">
        <is>
          <t>KRISTIANSTAD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44847</v>
      </c>
      <c r="E428" s="1" t="n">
        <v>46228</v>
      </c>
      <c r="F428" t="inlineStr">
        <is>
          <t>SKÅNE LÄN</t>
        </is>
      </c>
      <c r="G428" t="inlineStr">
        <is>
          <t>KRISTIANSTAD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46228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45954</v>
      </c>
      <c r="E430" s="1" t="n">
        <v>46228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12.1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46228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46228</v>
      </c>
      <c r="F432" t="inlineStr">
        <is>
          <t>SKÅNE LÄN</t>
        </is>
      </c>
      <c r="G432" t="inlineStr">
        <is>
          <t>KRISTIANSTAD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45960</v>
      </c>
      <c r="E433" s="1" t="n">
        <v>46228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46228</v>
      </c>
      <c r="F434" t="inlineStr">
        <is>
          <t>SKÅNE LÄN</t>
        </is>
      </c>
      <c r="G434" t="inlineStr">
        <is>
          <t>KRISTIANSTAD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44918</v>
      </c>
      <c r="E435" s="1" t="n">
        <v>46228</v>
      </c>
      <c r="F435" t="inlineStr">
        <is>
          <t>SKÅNE LÄN</t>
        </is>
      </c>
      <c r="G435" t="inlineStr">
        <is>
          <t>KRISTIANSTAD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45803</v>
      </c>
      <c r="E436" s="1" t="n">
        <v>46228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45049</v>
      </c>
      <c r="E437" s="1" t="n">
        <v>46228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46228</v>
      </c>
      <c r="F438" t="inlineStr">
        <is>
          <t>SKÅNE LÄN</t>
        </is>
      </c>
      <c r="G438" t="inlineStr">
        <is>
          <t>KRISTIANSTAD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46228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45377</v>
      </c>
      <c r="E440" s="1" t="n">
        <v>46228</v>
      </c>
      <c r="F440" t="inlineStr">
        <is>
          <t>SKÅNE LÄN</t>
        </is>
      </c>
      <c r="G440" t="inlineStr">
        <is>
          <t>KRISTIANSTAD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46228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46228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46228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46228</v>
      </c>
      <c r="F444" t="inlineStr">
        <is>
          <t>SKÅNE LÄN</t>
        </is>
      </c>
      <c r="G444" t="inlineStr">
        <is>
          <t>KRISTIANSTAD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45737</v>
      </c>
      <c r="E445" s="1" t="n">
        <v>46228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45738</v>
      </c>
      <c r="E446" s="1" t="n">
        <v>46228</v>
      </c>
      <c r="F446" t="inlineStr">
        <is>
          <t>SKÅNE LÄN</t>
        </is>
      </c>
      <c r="G446" t="inlineStr">
        <is>
          <t>KRISTIANSTAD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46228</v>
      </c>
      <c r="F447" t="inlineStr">
        <is>
          <t>SKÅNE LÄN</t>
        </is>
      </c>
      <c r="G447" t="inlineStr">
        <is>
          <t>KRISTIANSTAD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50516-2022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44866</v>
      </c>
      <c r="E448" s="1" t="n">
        <v>46228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46228</v>
      </c>
      <c r="F449" t="inlineStr">
        <is>
          <t>SKÅNE LÄN</t>
        </is>
      </c>
      <c r="G449" t="inlineStr">
        <is>
          <t>KRISTIANSTAD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46228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46228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46228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43871-2023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46228</v>
      </c>
      <c r="F453" t="inlineStr">
        <is>
          <t>SKÅNE LÄN</t>
        </is>
      </c>
      <c r="G453" t="inlineStr">
        <is>
          <t>KRISTIANSTAD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46228</v>
      </c>
      <c r="F454" t="inlineStr">
        <is>
          <t>SKÅNE LÄN</t>
        </is>
      </c>
      <c r="G454" t="inlineStr">
        <is>
          <t>KRISTIANSTAD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46228</v>
      </c>
      <c r="F455" t="inlineStr">
        <is>
          <t>SKÅNE LÄN</t>
        </is>
      </c>
      <c r="G455" t="inlineStr">
        <is>
          <t>KRISTIANSTAD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46228</v>
      </c>
      <c r="F456" t="inlineStr">
        <is>
          <t>SKÅNE LÄN</t>
        </is>
      </c>
      <c r="G456" t="inlineStr">
        <is>
          <t>KRISTIANSTAD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46228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46228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46228</v>
      </c>
      <c r="F459" t="inlineStr">
        <is>
          <t>SKÅNE LÄN</t>
        </is>
      </c>
      <c r="G459" t="inlineStr">
        <is>
          <t>KRISTIANSTAD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45337</v>
      </c>
      <c r="E460" s="1" t="n">
        <v>46228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45987</v>
      </c>
      <c r="E461" s="1" t="n">
        <v>46228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44818</v>
      </c>
      <c r="E462" s="1" t="n">
        <v>46228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46228</v>
      </c>
      <c r="F463" t="inlineStr">
        <is>
          <t>SKÅNE LÄN</t>
        </is>
      </c>
      <c r="G463" t="inlineStr">
        <is>
          <t>KRISTIANSTAD</t>
        </is>
      </c>
      <c r="H463" t="inlineStr">
        <is>
          <t>Kommuner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46228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59534-2025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45989</v>
      </c>
      <c r="E465" s="1" t="n">
        <v>46228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46228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60008-2025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46228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46228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46228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46228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46228</v>
      </c>
      <c r="F471" t="inlineStr">
        <is>
          <t>SKÅNE LÄN</t>
        </is>
      </c>
      <c r="G471" t="inlineStr">
        <is>
          <t>KRISTIANSTAD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46228</v>
      </c>
      <c r="F472" t="inlineStr">
        <is>
          <t>SKÅNE LÄN</t>
        </is>
      </c>
      <c r="G472" t="inlineStr">
        <is>
          <t>KRISTIANSTAD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46228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46228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46228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46228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46228</v>
      </c>
      <c r="F477" t="inlineStr">
        <is>
          <t>SKÅNE LÄN</t>
        </is>
      </c>
      <c r="G477" t="inlineStr">
        <is>
          <t>KRISTIANSTAD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46228</v>
      </c>
      <c r="F478" t="inlineStr">
        <is>
          <t>SKÅNE LÄN</t>
        </is>
      </c>
      <c r="G478" t="inlineStr">
        <is>
          <t>KRISTIANSTAD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46001</v>
      </c>
      <c r="E479" s="1" t="n">
        <v>46228</v>
      </c>
      <c r="F479" t="inlineStr">
        <is>
          <t>SKÅNE LÄN</t>
        </is>
      </c>
      <c r="G479" t="inlineStr">
        <is>
          <t>KRISTIANSTAD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46228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46228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45700</v>
      </c>
      <c r="E482" s="1" t="n">
        <v>46228</v>
      </c>
      <c r="F482" t="inlineStr">
        <is>
          <t>SKÅNE LÄN</t>
        </is>
      </c>
      <c r="G482" t="inlineStr">
        <is>
          <t>KRISTIANSTAD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46228</v>
      </c>
      <c r="F483" t="inlineStr">
        <is>
          <t>SKÅNE LÄN</t>
        </is>
      </c>
      <c r="G483" t="inlineStr">
        <is>
          <t>KRISTIANSTAD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46228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45648</v>
      </c>
      <c r="E485" s="1" t="n">
        <v>46228</v>
      </c>
      <c r="F485" t="inlineStr">
        <is>
          <t>SKÅNE LÄN</t>
        </is>
      </c>
      <c r="G485" t="inlineStr">
        <is>
          <t>KRISTIANSTAD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44816</v>
      </c>
      <c r="E486" s="1" t="n">
        <v>46228</v>
      </c>
      <c r="F486" t="inlineStr">
        <is>
          <t>SKÅNE LÄN</t>
        </is>
      </c>
      <c r="G486" t="inlineStr">
        <is>
          <t>KRISTIANSTAD</t>
        </is>
      </c>
      <c r="I486" t="n">
        <v>17.1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45664</v>
      </c>
      <c r="E487" s="1" t="n">
        <v>46228</v>
      </c>
      <c r="F487" t="inlineStr">
        <is>
          <t>SKÅNE LÄN</t>
        </is>
      </c>
      <c r="G487" t="inlineStr">
        <is>
          <t>KRISTIANSTAD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46228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45455</v>
      </c>
      <c r="E489" s="1" t="n">
        <v>46228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45343</v>
      </c>
      <c r="E490" s="1" t="n">
        <v>46228</v>
      </c>
      <c r="F490" t="inlineStr">
        <is>
          <t>SKÅNE LÄN</t>
        </is>
      </c>
      <c r="G490" t="inlineStr">
        <is>
          <t>KRISTIANSTAD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46228</v>
      </c>
      <c r="F491" t="inlineStr">
        <is>
          <t>SKÅNE LÄN</t>
        </is>
      </c>
      <c r="G491" t="inlineStr">
        <is>
          <t>KRISTIANSTAD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45232</v>
      </c>
      <c r="E492" s="1" t="n">
        <v>46228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45311</v>
      </c>
      <c r="E493" s="1" t="n">
        <v>46228</v>
      </c>
      <c r="F493" t="inlineStr">
        <is>
          <t>SKÅNE LÄN</t>
        </is>
      </c>
      <c r="G493" t="inlineStr">
        <is>
          <t>KRISTIANSTAD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46228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44363-2024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45573</v>
      </c>
      <c r="E495" s="1" t="n">
        <v>46228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45144</v>
      </c>
      <c r="E496" s="1" t="n">
        <v>46228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46228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46228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46228</v>
      </c>
      <c r="F499" t="inlineStr">
        <is>
          <t>SKÅNE LÄN</t>
        </is>
      </c>
      <c r="G499" t="inlineStr">
        <is>
          <t>KRISTIANSTAD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46228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8455-2025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45709</v>
      </c>
      <c r="E501" s="1" t="n">
        <v>46228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44628</v>
      </c>
      <c r="E502" s="1" t="n">
        <v>46228</v>
      </c>
      <c r="F502" t="inlineStr">
        <is>
          <t>SKÅNE LÄN</t>
        </is>
      </c>
      <c r="G502" t="inlineStr">
        <is>
          <t>KRISTIANSTAD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46228</v>
      </c>
      <c r="F503" t="inlineStr">
        <is>
          <t>SKÅNE LÄN</t>
        </is>
      </c>
      <c r="G503" t="inlineStr">
        <is>
          <t>KRISTIANSTAD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45668</v>
      </c>
      <c r="E504" s="1" t="n">
        <v>46228</v>
      </c>
      <c r="F504" t="inlineStr">
        <is>
          <t>SKÅNE LÄN</t>
        </is>
      </c>
      <c r="G504" t="inlineStr">
        <is>
          <t>KRISTIANSTAD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46228</v>
      </c>
      <c r="F505" t="inlineStr">
        <is>
          <t>SKÅNE LÄN</t>
        </is>
      </c>
      <c r="G505" t="inlineStr">
        <is>
          <t>KRISTIANSTAD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46228</v>
      </c>
      <c r="F506" t="inlineStr">
        <is>
          <t>SKÅNE LÄN</t>
        </is>
      </c>
      <c r="G506" t="inlineStr">
        <is>
          <t>KRISTIANSTAD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46228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45898</v>
      </c>
      <c r="E508" s="1" t="n">
        <v>46228</v>
      </c>
      <c r="F508" t="inlineStr">
        <is>
          <t>SKÅNE LÄN</t>
        </is>
      </c>
      <c r="G508" t="inlineStr">
        <is>
          <t>KRISTIANSTAD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44378-2024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45573</v>
      </c>
      <c r="E509" s="1" t="n">
        <v>46228</v>
      </c>
      <c r="F509" t="inlineStr">
        <is>
          <t>SKÅNE LÄN</t>
        </is>
      </c>
      <c r="G509" t="inlineStr">
        <is>
          <t>KRISTIANSTAD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46228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46228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45453</v>
      </c>
      <c r="E512" s="1" t="n">
        <v>46228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45398</v>
      </c>
      <c r="E513" s="1" t="n">
        <v>46228</v>
      </c>
      <c r="F513" t="inlineStr">
        <is>
          <t>SKÅNE LÄN</t>
        </is>
      </c>
      <c r="G513" t="inlineStr">
        <is>
          <t>KRISTIANSTAD</t>
        </is>
      </c>
      <c r="I513" t="n">
        <v>13.5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46228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19880-2023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45054</v>
      </c>
      <c r="E515" s="1" t="n">
        <v>46228</v>
      </c>
      <c r="F515" t="inlineStr">
        <is>
          <t>SKÅNE LÄN</t>
        </is>
      </c>
      <c r="G515" t="inlineStr">
        <is>
          <t>KRISTIANSTAD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46228</v>
      </c>
      <c r="F516" t="inlineStr">
        <is>
          <t>SKÅNE LÄN</t>
        </is>
      </c>
      <c r="G516" t="inlineStr">
        <is>
          <t>KRISTIANSTAD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46228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46031</v>
      </c>
      <c r="E518" s="1" t="n">
        <v>46228</v>
      </c>
      <c r="F518" t="inlineStr">
        <is>
          <t>SKÅNE LÄN</t>
        </is>
      </c>
      <c r="G518" t="inlineStr">
        <is>
          <t>KRISTIANSTAD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46228</v>
      </c>
      <c r="F519" t="inlineStr">
        <is>
          <t>SKÅNE LÄN</t>
        </is>
      </c>
      <c r="G519" t="inlineStr">
        <is>
          <t>KRISTIANSTAD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46228</v>
      </c>
      <c r="F520" t="inlineStr">
        <is>
          <t>SKÅNE LÄN</t>
        </is>
      </c>
      <c r="G520" t="inlineStr">
        <is>
          <t>KRISTIANSTAD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46228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45833</v>
      </c>
      <c r="E522" s="1" t="n">
        <v>46228</v>
      </c>
      <c r="F522" t="inlineStr">
        <is>
          <t>SKÅNE LÄN</t>
        </is>
      </c>
      <c r="G522" t="inlineStr">
        <is>
          <t>KRISTIANSTAD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46228</v>
      </c>
      <c r="F523" t="inlineStr">
        <is>
          <t>SKÅNE LÄN</t>
        </is>
      </c>
      <c r="G523" t="inlineStr">
        <is>
          <t>KRISTIANSTAD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46228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46228</v>
      </c>
      <c r="F525" t="inlineStr">
        <is>
          <t>SKÅNE LÄN</t>
        </is>
      </c>
      <c r="G525" t="inlineStr">
        <is>
          <t>KRISTIANSTAD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2472-2022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44579</v>
      </c>
      <c r="E526" s="1" t="n">
        <v>46228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46228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46228</v>
      </c>
      <c r="F528" t="inlineStr">
        <is>
          <t>SKÅNE LÄN</t>
        </is>
      </c>
      <c r="G528" t="inlineStr">
        <is>
          <t>KRISTIANSTAD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46228</v>
      </c>
      <c r="F529" t="inlineStr">
        <is>
          <t>SKÅNE LÄN</t>
        </is>
      </c>
      <c r="G529" t="inlineStr">
        <is>
          <t>KRISTIANSTAD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46228</v>
      </c>
      <c r="F530" t="inlineStr">
        <is>
          <t>SKÅNE LÄN</t>
        </is>
      </c>
      <c r="G530" t="inlineStr">
        <is>
          <t>KRISTIANSTAD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46228</v>
      </c>
      <c r="F531" t="inlineStr">
        <is>
          <t>SKÅNE LÄN</t>
        </is>
      </c>
      <c r="G531" t="inlineStr">
        <is>
          <t>KRISTIANSTAD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46228</v>
      </c>
      <c r="F532" t="inlineStr">
        <is>
          <t>SKÅNE LÄN</t>
        </is>
      </c>
      <c r="G532" t="inlineStr">
        <is>
          <t>KRISTIANSTAD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46228</v>
      </c>
      <c r="F533" t="inlineStr">
        <is>
          <t>SKÅNE LÄN</t>
        </is>
      </c>
      <c r="G533" t="inlineStr">
        <is>
          <t>KRISTIANSTAD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46228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45306</v>
      </c>
      <c r="E535" s="1" t="n">
        <v>46228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46228</v>
      </c>
      <c r="F536" t="inlineStr">
        <is>
          <t>SKÅNE LÄN</t>
        </is>
      </c>
      <c r="G536" t="inlineStr">
        <is>
          <t>KRISTIANSTAD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45493</v>
      </c>
      <c r="E537" s="1" t="n">
        <v>46228</v>
      </c>
      <c r="F537" t="inlineStr">
        <is>
          <t>SKÅNE LÄN</t>
        </is>
      </c>
      <c r="G537" t="inlineStr">
        <is>
          <t>KRISTIANSTAD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45387</v>
      </c>
      <c r="E538" s="1" t="n">
        <v>46228</v>
      </c>
      <c r="F538" t="inlineStr">
        <is>
          <t>SKÅNE LÄN</t>
        </is>
      </c>
      <c r="G538" t="inlineStr">
        <is>
          <t>KRISTIANSTAD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52057-2021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44463</v>
      </c>
      <c r="E539" s="1" t="n">
        <v>46228</v>
      </c>
      <c r="F539" t="inlineStr">
        <is>
          <t>SKÅNE LÄN</t>
        </is>
      </c>
      <c r="G539" t="inlineStr">
        <is>
          <t>KRISTIANSTAD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27590-2024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45474</v>
      </c>
      <c r="E540" s="1" t="n">
        <v>46228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46228</v>
      </c>
      <c r="F541" t="inlineStr">
        <is>
          <t>SKÅNE LÄN</t>
        </is>
      </c>
      <c r="G541" t="inlineStr">
        <is>
          <t>KRISTIANSTAD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46228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64835-2023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45282</v>
      </c>
      <c r="E543" s="1" t="n">
        <v>46228</v>
      </c>
      <c r="F543" t="inlineStr">
        <is>
          <t>SKÅNE LÄN</t>
        </is>
      </c>
      <c r="G543" t="inlineStr">
        <is>
          <t>KRISTIANSTAD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63561-2023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45274</v>
      </c>
      <c r="E544" s="1" t="n">
        <v>46228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13954-2025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45737</v>
      </c>
      <c r="E545" s="1" t="n">
        <v>46228</v>
      </c>
      <c r="F545" t="inlineStr">
        <is>
          <t>SKÅNE LÄN</t>
        </is>
      </c>
      <c r="G545" t="inlineStr">
        <is>
          <t>KRISTIANSTAD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61550-2023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45265</v>
      </c>
      <c r="E546" s="1" t="n">
        <v>46228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46228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46228</v>
      </c>
      <c r="F548" t="inlineStr">
        <is>
          <t>SKÅNE LÄN</t>
        </is>
      </c>
      <c r="G548" t="inlineStr">
        <is>
          <t>KRISTIANSTAD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46228</v>
      </c>
      <c r="F549" t="inlineStr">
        <is>
          <t>SKÅNE LÄN</t>
        </is>
      </c>
      <c r="G549" t="inlineStr">
        <is>
          <t>KRISTIANSTAD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56633-2022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46228</v>
      </c>
      <c r="F550" t="inlineStr">
        <is>
          <t>SKÅNE LÄN</t>
        </is>
      </c>
      <c r="G550" t="inlineStr">
        <is>
          <t>KRISTIANSTAD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25249-2022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46228</v>
      </c>
      <c r="F551" t="inlineStr">
        <is>
          <t>SKÅNE LÄN</t>
        </is>
      </c>
      <c r="G551" t="inlineStr">
        <is>
          <t>KRISTIANSTAD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46228</v>
      </c>
      <c r="F552" t="inlineStr">
        <is>
          <t>SKÅNE LÄN</t>
        </is>
      </c>
      <c r="G552" t="inlineStr">
        <is>
          <t>KRISTIANSTAD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45336</v>
      </c>
      <c r="E553" s="1" t="n">
        <v>46228</v>
      </c>
      <c r="F553" t="inlineStr">
        <is>
          <t>SKÅNE LÄN</t>
        </is>
      </c>
      <c r="G553" t="inlineStr">
        <is>
          <t>KRISTIANSTAD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45420</v>
      </c>
      <c r="E554" s="1" t="n">
        <v>46228</v>
      </c>
      <c r="F554" t="inlineStr">
        <is>
          <t>SKÅNE LÄN</t>
        </is>
      </c>
      <c r="G554" t="inlineStr">
        <is>
          <t>KRISTIANSTAD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45079</v>
      </c>
      <c r="E555" s="1" t="n">
        <v>46228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45315</v>
      </c>
      <c r="E556" s="1" t="n">
        <v>46228</v>
      </c>
      <c r="F556" t="inlineStr">
        <is>
          <t>SKÅNE LÄN</t>
        </is>
      </c>
      <c r="G556" t="inlineStr">
        <is>
          <t>KRISTIANSTAD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46228</v>
      </c>
      <c r="F557" t="inlineStr">
        <is>
          <t>SKÅNE LÄN</t>
        </is>
      </c>
      <c r="G557" t="inlineStr">
        <is>
          <t>KRISTIANSTAD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45307</v>
      </c>
      <c r="E558" s="1" t="n">
        <v>46228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13070-2023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45002</v>
      </c>
      <c r="E559" s="1" t="n">
        <v>46228</v>
      </c>
      <c r="F559" t="inlineStr">
        <is>
          <t>SKÅNE LÄN</t>
        </is>
      </c>
      <c r="G559" t="inlineStr">
        <is>
          <t>KRISTIANSTAD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46228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46228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45465</v>
      </c>
      <c r="E562" s="1" t="n">
        <v>46228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45903</v>
      </c>
      <c r="E563" s="1" t="n">
        <v>46228</v>
      </c>
      <c r="F563" t="inlineStr">
        <is>
          <t>SKÅNE LÄN</t>
        </is>
      </c>
      <c r="G563" t="inlineStr">
        <is>
          <t>KRISTIANSTAD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46228</v>
      </c>
      <c r="F564" t="inlineStr">
        <is>
          <t>SKÅNE LÄN</t>
        </is>
      </c>
      <c r="G564" t="inlineStr">
        <is>
          <t>KRISTIANSTAD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46228</v>
      </c>
      <c r="F565" t="inlineStr">
        <is>
          <t>SKÅNE LÄN</t>
        </is>
      </c>
      <c r="G565" t="inlineStr">
        <is>
          <t>KRISTIANSTAD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45831</v>
      </c>
      <c r="E566" s="1" t="n">
        <v>46228</v>
      </c>
      <c r="F566" t="inlineStr">
        <is>
          <t>SKÅNE LÄN</t>
        </is>
      </c>
      <c r="G566" t="inlineStr">
        <is>
          <t>KRISTIANSTAD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46228</v>
      </c>
      <c r="F567" t="inlineStr">
        <is>
          <t>SKÅNE LÄN</t>
        </is>
      </c>
      <c r="G567" t="inlineStr">
        <is>
          <t>KRISTIANSTAD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46228</v>
      </c>
      <c r="F568" t="inlineStr">
        <is>
          <t>SKÅNE LÄN</t>
        </is>
      </c>
      <c r="G568" t="inlineStr">
        <is>
          <t>KRISTIANSTAD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46228</v>
      </c>
      <c r="F569" t="inlineStr">
        <is>
          <t>SKÅNE LÄN</t>
        </is>
      </c>
      <c r="G569" t="inlineStr">
        <is>
          <t>KRISTIANSTAD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46228</v>
      </c>
      <c r="F570" t="inlineStr">
        <is>
          <t>SKÅNE LÄN</t>
        </is>
      </c>
      <c r="G570" t="inlineStr">
        <is>
          <t>KRISTIANSTAD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45228</v>
      </c>
      <c r="E571" s="1" t="n">
        <v>46228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46228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46228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46228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46228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46228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46228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46228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46228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45042</v>
      </c>
      <c r="E580" s="1" t="n">
        <v>46228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46228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46228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45672</v>
      </c>
      <c r="E583" s="1" t="n">
        <v>46228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45338</v>
      </c>
      <c r="E584" s="1" t="n">
        <v>46228</v>
      </c>
      <c r="F584" t="inlineStr">
        <is>
          <t>SKÅNE LÄN</t>
        </is>
      </c>
      <c r="G584" t="inlineStr">
        <is>
          <t>KRISTIANSTAD</t>
        </is>
      </c>
      <c r="I584" t="n">
        <v>15.8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46214</v>
      </c>
      <c r="E585" s="1" t="n">
        <v>46228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46228</v>
      </c>
      <c r="F586" t="inlineStr">
        <is>
          <t>SKÅNE LÄN</t>
        </is>
      </c>
      <c r="G586" t="inlineStr">
        <is>
          <t>KRISTIANSTAD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45882</v>
      </c>
      <c r="E587" s="1" t="n">
        <v>46228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46793-2025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46228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46228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31219-2026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46217</v>
      </c>
      <c r="E590" s="1" t="n">
        <v>46228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46228</v>
      </c>
      <c r="F591" t="inlineStr">
        <is>
          <t>SKÅNE LÄN</t>
        </is>
      </c>
      <c r="G591" t="inlineStr">
        <is>
          <t>KRISTIANSTAD</t>
        </is>
      </c>
      <c r="I591" t="n">
        <v>11.1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46228</v>
      </c>
      <c r="F592" t="inlineStr">
        <is>
          <t>SKÅNE LÄN</t>
        </is>
      </c>
      <c r="G592" t="inlineStr">
        <is>
          <t>KRISTIANSTAD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14837-2023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45014</v>
      </c>
      <c r="E593" s="1" t="n">
        <v>46228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49143-2025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46228</v>
      </c>
      <c r="F594" t="inlineStr">
        <is>
          <t>SKÅNE LÄN</t>
        </is>
      </c>
      <c r="G594" t="inlineStr">
        <is>
          <t>KRISTIANSTAD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44988</v>
      </c>
      <c r="E595" s="1" t="n">
        <v>46228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45415</v>
      </c>
      <c r="E596" s="1" t="n">
        <v>46228</v>
      </c>
      <c r="F596" t="inlineStr">
        <is>
          <t>SKÅNE LÄN</t>
        </is>
      </c>
      <c r="G596" t="inlineStr">
        <is>
          <t>KRISTIANSTAD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46228</v>
      </c>
      <c r="F597" t="inlineStr">
        <is>
          <t>SKÅNE LÄN</t>
        </is>
      </c>
      <c r="G597" t="inlineStr">
        <is>
          <t>KRISTIANSTAD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45019</v>
      </c>
      <c r="E598" s="1" t="n">
        <v>46228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32814-2023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46228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61198-2021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44497</v>
      </c>
      <c r="E600" s="1" t="n">
        <v>46228</v>
      </c>
      <c r="F600" t="inlineStr">
        <is>
          <t>SKÅNE LÄN</t>
        </is>
      </c>
      <c r="G600" t="inlineStr">
        <is>
          <t>KRISTIANSTAD</t>
        </is>
      </c>
      <c r="I600" t="n">
        <v>13.8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31292-2026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46218</v>
      </c>
      <c r="E601" s="1" t="n">
        <v>46228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45307</v>
      </c>
      <c r="E602" s="1" t="n">
        <v>46228</v>
      </c>
      <c r="F602" t="inlineStr">
        <is>
          <t>SKÅNE LÄN</t>
        </is>
      </c>
      <c r="G602" t="inlineStr">
        <is>
          <t>KRISTIANSTAD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44894</v>
      </c>
      <c r="E603" s="1" t="n">
        <v>46228</v>
      </c>
      <c r="F603" t="inlineStr">
        <is>
          <t>SKÅNE LÄN</t>
        </is>
      </c>
      <c r="G603" t="inlineStr">
        <is>
          <t>KRISTIANSTAD</t>
        </is>
      </c>
      <c r="I603" t="n">
        <v>14.9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44419</v>
      </c>
      <c r="E604" s="1" t="n">
        <v>46228</v>
      </c>
      <c r="F604" t="inlineStr">
        <is>
          <t>SKÅNE LÄN</t>
        </is>
      </c>
      <c r="G604" t="inlineStr">
        <is>
          <t>KRISTIANSTAD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45465</v>
      </c>
      <c r="E605" s="1" t="n">
        <v>46228</v>
      </c>
      <c r="F605" t="inlineStr">
        <is>
          <t>SKÅNE LÄN</t>
        </is>
      </c>
      <c r="G605" t="inlineStr">
        <is>
          <t>KRISTIANSTAD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27398-2026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46189</v>
      </c>
      <c r="E606" s="1" t="n">
        <v>46228</v>
      </c>
      <c r="F606" t="inlineStr">
        <is>
          <t>SKÅNE LÄN</t>
        </is>
      </c>
      <c r="G606" t="inlineStr">
        <is>
          <t>KRISTIANSTAD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46228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46228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46228</v>
      </c>
      <c r="F609" t="inlineStr">
        <is>
          <t>SKÅNE LÄN</t>
        </is>
      </c>
      <c r="G609" t="inlineStr">
        <is>
          <t>KRISTIANSTAD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46228</v>
      </c>
      <c r="F610" t="inlineStr">
        <is>
          <t>SKÅNE LÄN</t>
        </is>
      </c>
      <c r="G610" t="inlineStr">
        <is>
          <t>KRISTIANSTAD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46228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46228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46228</v>
      </c>
      <c r="F613" t="inlineStr">
        <is>
          <t>SKÅNE LÄN</t>
        </is>
      </c>
      <c r="G613" t="inlineStr">
        <is>
          <t>KRISTIANSTAD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16527-2026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46112</v>
      </c>
      <c r="E614" s="1" t="n">
        <v>46228</v>
      </c>
      <c r="F614" t="inlineStr">
        <is>
          <t>SKÅNE LÄN</t>
        </is>
      </c>
      <c r="G614" t="inlineStr">
        <is>
          <t>KRISTIANSTAD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46228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46228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46120</v>
      </c>
      <c r="E617" s="1" t="n">
        <v>46228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46120</v>
      </c>
      <c r="E618" s="1" t="n">
        <v>46228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27932-2023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45098</v>
      </c>
      <c r="E619" s="1" t="n">
        <v>46228</v>
      </c>
      <c r="F619" t="inlineStr">
        <is>
          <t>SKÅNE LÄN</t>
        </is>
      </c>
      <c r="G619" t="inlineStr">
        <is>
          <t>KRISTIANSTAD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52064-2024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45608</v>
      </c>
      <c r="E620" s="1" t="n">
        <v>46228</v>
      </c>
      <c r="F620" t="inlineStr">
        <is>
          <t>SKÅNE LÄN</t>
        </is>
      </c>
      <c r="G620" t="inlineStr">
        <is>
          <t>KRISTIANSTAD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46228</v>
      </c>
      <c r="F621" t="inlineStr">
        <is>
          <t>SKÅNE LÄN</t>
        </is>
      </c>
      <c r="G621" t="inlineStr">
        <is>
          <t>KRISTIANSTAD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56930-2022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46228</v>
      </c>
      <c r="F622" t="inlineStr">
        <is>
          <t>SKÅNE LÄN</t>
        </is>
      </c>
      <c r="G622" t="inlineStr">
        <is>
          <t>KRISTIANSTAD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45321</v>
      </c>
      <c r="E623" s="1" t="n">
        <v>46228</v>
      </c>
      <c r="F623" t="inlineStr">
        <is>
          <t>SKÅNE LÄN</t>
        </is>
      </c>
      <c r="G623" t="inlineStr">
        <is>
          <t>KRISTIANSTAD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46228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46228</v>
      </c>
      <c r="F625" t="inlineStr">
        <is>
          <t>SKÅNE LÄN</t>
        </is>
      </c>
      <c r="G625" t="inlineStr">
        <is>
          <t>KRISTIANSTAD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46228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45812</v>
      </c>
      <c r="E627" s="1" t="n">
        <v>46228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29854-2026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46228</v>
      </c>
      <c r="F628" t="inlineStr">
        <is>
          <t>SKÅNE LÄN</t>
        </is>
      </c>
      <c r="G628" t="inlineStr">
        <is>
          <t>KRISTIANSTAD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46228</v>
      </c>
      <c r="F629" t="inlineStr">
        <is>
          <t>SKÅNE LÄN</t>
        </is>
      </c>
      <c r="G629" t="inlineStr">
        <is>
          <t>KRISTIANSTAD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46228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45566</v>
      </c>
      <c r="E631" s="1" t="n">
        <v>46228</v>
      </c>
      <c r="F631" t="inlineStr">
        <is>
          <t>SKÅNE LÄN</t>
        </is>
      </c>
      <c r="G631" t="inlineStr">
        <is>
          <t>KRISTIANSTAD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27402-2026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46228</v>
      </c>
      <c r="F632" t="inlineStr">
        <is>
          <t>SKÅNE LÄN</t>
        </is>
      </c>
      <c r="G632" t="inlineStr">
        <is>
          <t>KRISTIANSTAD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46228</v>
      </c>
      <c r="F633" t="inlineStr">
        <is>
          <t>SKÅNE LÄN</t>
        </is>
      </c>
      <c r="G633" t="inlineStr">
        <is>
          <t>KRISTIANSTAD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15957-2023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45022</v>
      </c>
      <c r="E634" s="1" t="n">
        <v>46228</v>
      </c>
      <c r="F634" t="inlineStr">
        <is>
          <t>SKÅNE LÄN</t>
        </is>
      </c>
      <c r="G634" t="inlineStr">
        <is>
          <t>KRISTIANSTAD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46228</v>
      </c>
      <c r="F635" t="inlineStr">
        <is>
          <t>SKÅNE LÄN</t>
        </is>
      </c>
      <c r="G635" t="inlineStr">
        <is>
          <t>KRISTIANSTAD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46228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44963</v>
      </c>
      <c r="E637" s="1" t="n">
        <v>46228</v>
      </c>
      <c r="F637" t="inlineStr">
        <is>
          <t>SKÅNE LÄN</t>
        </is>
      </c>
      <c r="G637" t="inlineStr">
        <is>
          <t>KRISTIANSTAD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46228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46228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46228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62350-2023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45267</v>
      </c>
      <c r="E641" s="1" t="n">
        <v>46228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14471-2024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45394</v>
      </c>
      <c r="E642" s="1" t="n">
        <v>46228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46228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46228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64844-2023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45282</v>
      </c>
      <c r="E645" s="1" t="n">
        <v>46228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45465</v>
      </c>
      <c r="E646" s="1" t="n">
        <v>46228</v>
      </c>
      <c r="F646" t="inlineStr">
        <is>
          <t>SKÅNE LÄN</t>
        </is>
      </c>
      <c r="G646" t="inlineStr">
        <is>
          <t>KRISTIANSTAD</t>
        </is>
      </c>
      <c r="I646" t="n">
        <v>9.800000000000001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37983-2024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45544</v>
      </c>
      <c r="E647" s="1" t="n">
        <v>46228</v>
      </c>
      <c r="F647" t="inlineStr">
        <is>
          <t>SKÅNE LÄN</t>
        </is>
      </c>
      <c r="G647" t="inlineStr">
        <is>
          <t>KRISTIANSTAD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45119</v>
      </c>
      <c r="E648" s="1" t="n">
        <v>46228</v>
      </c>
      <c r="F648" t="inlineStr">
        <is>
          <t>SKÅNE LÄN</t>
        </is>
      </c>
      <c r="G648" t="inlineStr">
        <is>
          <t>KRISTIANSTAD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49520-2021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44455</v>
      </c>
      <c r="E649" s="1" t="n">
        <v>46228</v>
      </c>
      <c r="F649" t="inlineStr">
        <is>
          <t>SKÅNE LÄN</t>
        </is>
      </c>
      <c r="G649" t="inlineStr">
        <is>
          <t>KRISTIANSTAD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46228</v>
      </c>
      <c r="F650" t="inlineStr">
        <is>
          <t>SKÅNE LÄN</t>
        </is>
      </c>
      <c r="G650" t="inlineStr">
        <is>
          <t>KRISTIANSTAD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46228</v>
      </c>
      <c r="F651" t="inlineStr">
        <is>
          <t>SKÅNE LÄN</t>
        </is>
      </c>
      <c r="G651" t="inlineStr">
        <is>
          <t>KRISTIANSTAD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45343</v>
      </c>
      <c r="E652" s="1" t="n">
        <v>46228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47232-2024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45586</v>
      </c>
      <c r="E653" s="1" t="n">
        <v>46228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44923</v>
      </c>
      <c r="E654" s="1" t="n">
        <v>46228</v>
      </c>
      <c r="F654" t="inlineStr">
        <is>
          <t>SKÅNE LÄN</t>
        </is>
      </c>
      <c r="G654" t="inlineStr">
        <is>
          <t>KRISTIANSTAD</t>
        </is>
      </c>
      <c r="I654" t="n">
        <v>12.6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45414</v>
      </c>
      <c r="E655" s="1" t="n">
        <v>46228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45334</v>
      </c>
      <c r="E656" s="1" t="n">
        <v>46228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61348-2024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46228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45334</v>
      </c>
      <c r="E658" s="1" t="n">
        <v>46228</v>
      </c>
      <c r="F658" t="inlineStr">
        <is>
          <t>SKÅNE LÄN</t>
        </is>
      </c>
      <c r="G658" t="inlineStr">
        <is>
          <t>KRISTIANSTAD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7565-2023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46228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1421-2024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45303</v>
      </c>
      <c r="E660" s="1" t="n">
        <v>46228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19.7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45015</v>
      </c>
      <c r="E661" s="1" t="n">
        <v>46228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46228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45525</v>
      </c>
      <c r="E663" s="1" t="n">
        <v>46228</v>
      </c>
      <c r="F663" t="inlineStr">
        <is>
          <t>SKÅNE LÄN</t>
        </is>
      </c>
      <c r="G663" t="inlineStr">
        <is>
          <t>KRISTIANSTAD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9899-2025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45716</v>
      </c>
      <c r="E664" s="1" t="n">
        <v>46228</v>
      </c>
      <c r="F664" t="inlineStr">
        <is>
          <t>SKÅNE LÄN</t>
        </is>
      </c>
      <c r="G664" t="inlineStr">
        <is>
          <t>KRISTIANSTAD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18752-2023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46228</v>
      </c>
      <c r="F665" t="inlineStr">
        <is>
          <t>SKÅNE LÄN</t>
        </is>
      </c>
      <c r="G665" t="inlineStr">
        <is>
          <t>KRISTIANSTAD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46228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45474</v>
      </c>
      <c r="E667" s="1" t="n">
        <v>46228</v>
      </c>
      <c r="F667" t="inlineStr">
        <is>
          <t>SKÅNE LÄN</t>
        </is>
      </c>
      <c r="G667" t="inlineStr">
        <is>
          <t>KRISTIANSTAD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46228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30845-2022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44767</v>
      </c>
      <c r="E669" s="1" t="n">
        <v>46228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46228</v>
      </c>
      <c r="F670" t="inlineStr">
        <is>
          <t>SKÅNE LÄN</t>
        </is>
      </c>
      <c r="G670" t="inlineStr">
        <is>
          <t>KRISTIANSTAD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44995</v>
      </c>
      <c r="E671" s="1" t="n">
        <v>46228</v>
      </c>
      <c r="F671" t="inlineStr">
        <is>
          <t>SKÅNE LÄN</t>
        </is>
      </c>
      <c r="G671" t="inlineStr">
        <is>
          <t>KRISTIANSTAD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46228</v>
      </c>
      <c r="F672" t="inlineStr">
        <is>
          <t>SKÅNE LÄN</t>
        </is>
      </c>
      <c r="G672" t="inlineStr">
        <is>
          <t>KRISTIANSTAD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44596</v>
      </c>
      <c r="E673" s="1" t="n">
        <v>46228</v>
      </c>
      <c r="F673" t="inlineStr">
        <is>
          <t>SKÅNE LÄN</t>
        </is>
      </c>
      <c r="G673" t="inlineStr">
        <is>
          <t>KRISTIANSTAD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11272-2023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44992</v>
      </c>
      <c r="E674" s="1" t="n">
        <v>46228</v>
      </c>
      <c r="F674" t="inlineStr">
        <is>
          <t>SKÅNE LÄN</t>
        </is>
      </c>
      <c r="G674" t="inlineStr">
        <is>
          <t>KRISTIANSTAD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39117-2023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45165</v>
      </c>
      <c r="E675" s="1" t="n">
        <v>46228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36160-2023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46228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42898-2023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46228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57976-2023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46228</v>
      </c>
      <c r="F678" t="inlineStr">
        <is>
          <t>SKÅNE LÄN</t>
        </is>
      </c>
      <c r="G678" t="inlineStr">
        <is>
          <t>KRISTIANSTAD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46228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30065-2023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45110</v>
      </c>
      <c r="E680" s="1" t="n">
        <v>46228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44933</v>
      </c>
      <c r="E681" s="1" t="n">
        <v>46228</v>
      </c>
      <c r="F681" t="inlineStr">
        <is>
          <t>SKÅNE LÄN</t>
        </is>
      </c>
      <c r="G681" t="inlineStr">
        <is>
          <t>KRISTIANSTAD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46228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46228</v>
      </c>
      <c r="F683" t="inlineStr">
        <is>
          <t>SKÅNE LÄN</t>
        </is>
      </c>
      <c r="G683" t="inlineStr">
        <is>
          <t>KRISTIANSTAD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45278</v>
      </c>
      <c r="E684" s="1" t="n">
        <v>46228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45506</v>
      </c>
      <c r="E685" s="1" t="n">
        <v>46228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45119</v>
      </c>
      <c r="E686" s="1" t="n">
        <v>46228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34723-2023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45141</v>
      </c>
      <c r="E687" s="1" t="n">
        <v>46228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45141</v>
      </c>
      <c r="E688" s="1" t="n">
        <v>46228</v>
      </c>
      <c r="F688" t="inlineStr">
        <is>
          <t>SKÅNE LÄN</t>
        </is>
      </c>
      <c r="G688" t="inlineStr">
        <is>
          <t>KRISTIANSTAD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49233-2022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44858</v>
      </c>
      <c r="E689" s="1" t="n">
        <v>46228</v>
      </c>
      <c r="F689" t="inlineStr">
        <is>
          <t>SKÅNE LÄN</t>
        </is>
      </c>
      <c r="G689" t="inlineStr">
        <is>
          <t>KRISTIANSTAD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53491-2021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44468</v>
      </c>
      <c r="E690" s="1" t="n">
        <v>46228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13974-2025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45738</v>
      </c>
      <c r="E691" s="1" t="n">
        <v>46228</v>
      </c>
      <c r="F691" t="inlineStr">
        <is>
          <t>SKÅNE LÄN</t>
        </is>
      </c>
      <c r="G691" t="inlineStr">
        <is>
          <t>KRISTIANSTAD</t>
        </is>
      </c>
      <c r="I691" t="n">
        <v>11.3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45090</v>
      </c>
      <c r="E692" s="1" t="n">
        <v>46228</v>
      </c>
      <c r="F692" t="inlineStr">
        <is>
          <t>SKÅNE LÄN</t>
        </is>
      </c>
      <c r="G692" t="inlineStr">
        <is>
          <t>KRISTIANSTAD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46228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45738</v>
      </c>
      <c r="E694" s="1" t="n">
        <v>46228</v>
      </c>
      <c r="F694" t="inlineStr">
        <is>
          <t>SKÅNE LÄN</t>
        </is>
      </c>
      <c r="G694" t="inlineStr">
        <is>
          <t>KRISTIANSTAD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13976-2025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45738</v>
      </c>
      <c r="E695" s="1" t="n">
        <v>46228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42916-2024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46228</v>
      </c>
      <c r="F696" t="inlineStr">
        <is>
          <t>SKÅNE LÄN</t>
        </is>
      </c>
      <c r="G696" t="inlineStr">
        <is>
          <t>KRISTIANSTAD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46228</v>
      </c>
      <c r="F697" t="inlineStr">
        <is>
          <t>SKÅNE LÄN</t>
        </is>
      </c>
      <c r="G697" t="inlineStr">
        <is>
          <t>KRISTIANSTAD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46228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44442-2023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45189</v>
      </c>
      <c r="E699" s="1" t="n">
        <v>46228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45387</v>
      </c>
      <c r="E700" s="1" t="n">
        <v>46228</v>
      </c>
      <c r="F700" t="inlineStr">
        <is>
          <t>SKÅNE LÄN</t>
        </is>
      </c>
      <c r="G700" t="inlineStr">
        <is>
          <t>KRISTIANSTAD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46228</v>
      </c>
      <c r="F701" t="inlineStr">
        <is>
          <t>SKÅNE LÄN</t>
        </is>
      </c>
      <c r="G701" t="inlineStr">
        <is>
          <t>KRISTIANSTAD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59625-2022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44907</v>
      </c>
      <c r="E702" s="1" t="n">
        <v>46228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63681-2023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45275</v>
      </c>
      <c r="E703" s="1" t="n">
        <v>46228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45119</v>
      </c>
      <c r="E704" s="1" t="n">
        <v>46228</v>
      </c>
      <c r="F704" t="inlineStr">
        <is>
          <t>SKÅNE LÄN</t>
        </is>
      </c>
      <c r="G704" t="inlineStr">
        <is>
          <t>KRISTIANSTAD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19642-2022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44694</v>
      </c>
      <c r="E705" s="1" t="n">
        <v>46228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46228</v>
      </c>
      <c r="F706" t="inlineStr">
        <is>
          <t>SKÅNE LÄN</t>
        </is>
      </c>
      <c r="G706" t="inlineStr">
        <is>
          <t>KRISTIANSTAD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13953-2025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45737</v>
      </c>
      <c r="E707" s="1" t="n">
        <v>46228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45776</v>
      </c>
      <c r="E708" s="1" t="n">
        <v>46228</v>
      </c>
      <c r="F708" t="inlineStr">
        <is>
          <t>SKÅNE LÄN</t>
        </is>
      </c>
      <c r="G708" t="inlineStr">
        <is>
          <t>KRISTIANSTAD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45443</v>
      </c>
      <c r="E709" s="1" t="n">
        <v>46228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44538-2024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45574</v>
      </c>
      <c r="E710" s="1" t="n">
        <v>46228</v>
      </c>
      <c r="F710" t="inlineStr">
        <is>
          <t>SKÅNE LÄN</t>
        </is>
      </c>
      <c r="G710" t="inlineStr">
        <is>
          <t>KRISTIANSTAD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46228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44497</v>
      </c>
      <c r="E712" s="1" t="n">
        <v>46228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46228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46228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46228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46228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46228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46228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46228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46228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46228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45533</v>
      </c>
      <c r="E722" s="1" t="n">
        <v>46228</v>
      </c>
      <c r="F722" t="inlineStr">
        <is>
          <t>SKÅNE LÄN</t>
        </is>
      </c>
      <c r="G722" t="inlineStr">
        <is>
          <t>KRISTIANSTAD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45797</v>
      </c>
      <c r="E723" s="1" t="n">
        <v>46228</v>
      </c>
      <c r="F723" t="inlineStr">
        <is>
          <t>SKÅNE LÄN</t>
        </is>
      </c>
      <c r="G723" t="inlineStr">
        <is>
          <t>KRISTIANSTAD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46228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61703-2024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45648</v>
      </c>
      <c r="E725" s="1" t="n">
        <v>46228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45800</v>
      </c>
      <c r="E726" s="1" t="n">
        <v>46228</v>
      </c>
      <c r="F726" t="inlineStr">
        <is>
          <t>SKÅNE LÄN</t>
        </is>
      </c>
      <c r="G726" t="inlineStr">
        <is>
          <t>KRISTIANSTAD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45670</v>
      </c>
      <c r="E727" s="1" t="n">
        <v>46228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46228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46228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45804</v>
      </c>
      <c r="E730" s="1" t="n">
        <v>46228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26804-2025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45810</v>
      </c>
      <c r="E731" s="1" t="n">
        <v>46228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46228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26678-2025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46228</v>
      </c>
      <c r="F733" t="inlineStr">
        <is>
          <t>SKÅNE LÄN</t>
        </is>
      </c>
      <c r="G733" t="inlineStr">
        <is>
          <t>KRISTIANSTAD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70705-2021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44537</v>
      </c>
      <c r="E734" s="1" t="n">
        <v>46228</v>
      </c>
      <c r="F734" t="inlineStr">
        <is>
          <t>SKÅNE LÄN</t>
        </is>
      </c>
      <c r="G734" t="inlineStr">
        <is>
          <t>KRISTIANSTAD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45420</v>
      </c>
      <c r="E735" s="1" t="n">
        <v>46228</v>
      </c>
      <c r="F735" t="inlineStr">
        <is>
          <t>SKÅNE LÄN</t>
        </is>
      </c>
      <c r="G735" t="inlineStr">
        <is>
          <t>KRISTIANSTAD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33984-2025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45843</v>
      </c>
      <c r="E736" s="1" t="n">
        <v>46228</v>
      </c>
      <c r="F736" t="inlineStr">
        <is>
          <t>SKÅNE LÄN</t>
        </is>
      </c>
      <c r="G736" t="inlineStr">
        <is>
          <t>KRISTIANSTAD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13940-2025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45737</v>
      </c>
      <c r="E737" s="1" t="n">
        <v>46228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46228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7666-2025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46228</v>
      </c>
      <c r="F739" t="inlineStr">
        <is>
          <t>SKÅNE LÄN</t>
        </is>
      </c>
      <c r="G739" t="inlineStr">
        <is>
          <t>KRISTIANSTAD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45737</v>
      </c>
      <c r="E740" s="1" t="n">
        <v>46228</v>
      </c>
      <c r="F740" t="inlineStr">
        <is>
          <t>SKÅNE LÄN</t>
        </is>
      </c>
      <c r="G740" t="inlineStr">
        <is>
          <t>KRISTIANSTAD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45737</v>
      </c>
      <c r="E741" s="1" t="n">
        <v>46228</v>
      </c>
      <c r="F741" t="inlineStr">
        <is>
          <t>SKÅNE LÄN</t>
        </is>
      </c>
      <c r="G741" t="inlineStr">
        <is>
          <t>KRISTIANSTAD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31575-2025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45833</v>
      </c>
      <c r="E742" s="1" t="n">
        <v>46228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31105-2025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45832</v>
      </c>
      <c r="E743" s="1" t="n">
        <v>46228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17753-2025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45758</v>
      </c>
      <c r="E744" s="1" t="n">
        <v>46228</v>
      </c>
      <c r="F744" t="inlineStr">
        <is>
          <t>SKÅNE LÄN</t>
        </is>
      </c>
      <c r="G744" t="inlineStr">
        <is>
          <t>KRISTIANSTAD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45440</v>
      </c>
      <c r="E745" s="1" t="n">
        <v>46228</v>
      </c>
      <c r="F745" t="inlineStr">
        <is>
          <t>SKÅNE LÄN</t>
        </is>
      </c>
      <c r="G745" t="inlineStr">
        <is>
          <t>KRISTIANSTAD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52495-2024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45609</v>
      </c>
      <c r="E746" s="1" t="n">
        <v>46228</v>
      </c>
      <c r="F746" t="inlineStr">
        <is>
          <t>SKÅNE LÄN</t>
        </is>
      </c>
      <c r="G746" t="inlineStr">
        <is>
          <t>KRISTIANSTAD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3769-2024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45321</v>
      </c>
      <c r="E747" s="1" t="n">
        <v>46228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46228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46228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14682-2023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45014</v>
      </c>
      <c r="E750" s="1" t="n">
        <v>46228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13664-2025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45736</v>
      </c>
      <c r="E751" s="1" t="n">
        <v>46228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7802-2025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45706</v>
      </c>
      <c r="E752" s="1" t="n">
        <v>46228</v>
      </c>
      <c r="F752" t="inlineStr">
        <is>
          <t>SKÅNE LÄN</t>
        </is>
      </c>
      <c r="G752" t="inlineStr">
        <is>
          <t>KRISTIANSTAD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45715</v>
      </c>
      <c r="E753" s="1" t="n">
        <v>46228</v>
      </c>
      <c r="F753" t="inlineStr">
        <is>
          <t>SKÅNE LÄN</t>
        </is>
      </c>
      <c r="G753" t="inlineStr">
        <is>
          <t>KRISTIANSTAD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45845</v>
      </c>
      <c r="E754" s="1" t="n">
        <v>46228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28161-2025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45818</v>
      </c>
      <c r="E755" s="1" t="n">
        <v>46228</v>
      </c>
      <c r="F755" t="inlineStr">
        <is>
          <t>SKÅNE LÄN</t>
        </is>
      </c>
      <c r="G755" t="inlineStr">
        <is>
          <t>KRISTIANSTAD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46228</v>
      </c>
      <c r="F756" t="inlineStr">
        <is>
          <t>SKÅNE LÄN</t>
        </is>
      </c>
      <c r="G756" t="inlineStr">
        <is>
          <t>KRISTIANSTAD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35721-2025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45860</v>
      </c>
      <c r="E757" s="1" t="n">
        <v>46228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30457-2025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45827</v>
      </c>
      <c r="E758" s="1" t="n">
        <v>46228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22292-2022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44712</v>
      </c>
      <c r="E759" s="1" t="n">
        <v>46228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46228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46228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46228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46228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46228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3004-2022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44713</v>
      </c>
      <c r="E765" s="1" t="n">
        <v>46228</v>
      </c>
      <c r="F765" t="inlineStr">
        <is>
          <t>SKÅNE LÄN</t>
        </is>
      </c>
      <c r="G765" t="inlineStr">
        <is>
          <t>KRISTIANSTAD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46228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46228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46228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46228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46228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46228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46228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46228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46228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46228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2146-2022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44676</v>
      </c>
      <c r="E776" s="1" t="n">
        <v>46228</v>
      </c>
      <c r="F776" t="inlineStr">
        <is>
          <t>SKÅNE LÄN</t>
        </is>
      </c>
      <c r="G776" t="inlineStr">
        <is>
          <t>KRISTIANSTAD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307-2023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44956</v>
      </c>
      <c r="E777" s="1" t="n">
        <v>46228</v>
      </c>
      <c r="F777" t="inlineStr">
        <is>
          <t>SKÅNE LÄN</t>
        </is>
      </c>
      <c r="G777" t="inlineStr">
        <is>
          <t>KRISTIANSTAD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1731-2023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45069</v>
      </c>
      <c r="E778" s="1" t="n">
        <v>46228</v>
      </c>
      <c r="F778" t="inlineStr">
        <is>
          <t>SKÅNE LÄN</t>
        </is>
      </c>
      <c r="G778" t="inlineStr">
        <is>
          <t>KRISTIANSTAD</t>
        </is>
      </c>
      <c r="I778" t="n">
        <v>10.2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2492-2023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45120</v>
      </c>
      <c r="E779" s="1" t="n">
        <v>46228</v>
      </c>
      <c r="F779" t="inlineStr">
        <is>
          <t>SKÅNE LÄN</t>
        </is>
      </c>
      <c r="G779" t="inlineStr">
        <is>
          <t>KRISTIANSTAD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45728</v>
      </c>
      <c r="E780" s="1" t="n">
        <v>46228</v>
      </c>
      <c r="F780" t="inlineStr">
        <is>
          <t>SKÅNE LÄN</t>
        </is>
      </c>
      <c r="G780" t="inlineStr">
        <is>
          <t>KRISTIANSTAD</t>
        </is>
      </c>
      <c r="I780" t="n">
        <v>9.199999999999999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476-2025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46228</v>
      </c>
      <c r="F781" t="inlineStr">
        <is>
          <t>SKÅNE LÄN</t>
        </is>
      </c>
      <c r="G781" t="inlineStr">
        <is>
          <t>KRISTIANSTAD</t>
        </is>
      </c>
      <c r="I781" t="n">
        <v>58.6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45702</v>
      </c>
      <c r="E782" s="1" t="n">
        <v>46228</v>
      </c>
      <c r="F782" t="inlineStr">
        <is>
          <t>SKÅNE LÄN</t>
        </is>
      </c>
      <c r="G782" t="inlineStr">
        <is>
          <t>KRISTIANSTAD</t>
        </is>
      </c>
      <c r="I782" t="n">
        <v>67.7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760-2025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45726</v>
      </c>
      <c r="E783" s="1" t="n">
        <v>46228</v>
      </c>
      <c r="F783" t="inlineStr">
        <is>
          <t>SKÅNE LÄN</t>
        </is>
      </c>
      <c r="G783" t="inlineStr">
        <is>
          <t>KRISTIANSTAD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871-2025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45734</v>
      </c>
      <c r="E784" s="1" t="n">
        <v>46228</v>
      </c>
      <c r="F784" t="inlineStr">
        <is>
          <t>SKÅNE LÄN</t>
        </is>
      </c>
      <c r="G784" t="inlineStr">
        <is>
          <t>KRISTIANSTAD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1747-2025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46228</v>
      </c>
      <c r="F785" t="inlineStr">
        <is>
          <t>SKÅNE LÄN</t>
        </is>
      </c>
      <c r="G785" t="inlineStr">
        <is>
          <t>KRISTIANSTAD</t>
        </is>
      </c>
      <c r="I785" t="n">
        <v>11.3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1749-2025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46228</v>
      </c>
      <c r="F786" t="inlineStr">
        <is>
          <t>SKÅNE LÄN</t>
        </is>
      </c>
      <c r="G786" t="inlineStr">
        <is>
          <t>KRISTIANSTAD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1750-2025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46228</v>
      </c>
      <c r="F787" t="inlineStr">
        <is>
          <t>SKÅNE LÄN</t>
        </is>
      </c>
      <c r="G787" t="inlineStr">
        <is>
          <t>KRISTIANSTAD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2468-2025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45901</v>
      </c>
      <c r="E788" s="1" t="n">
        <v>46228</v>
      </c>
      <c r="F788" t="inlineStr">
        <is>
          <t>SKÅNE LÄN</t>
        </is>
      </c>
      <c r="G788" t="inlineStr">
        <is>
          <t>KRISTIANSTAD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45945</v>
      </c>
      <c r="E789" s="1" t="n">
        <v>46228</v>
      </c>
      <c r="F789" t="inlineStr">
        <is>
          <t>SKÅNE LÄN</t>
        </is>
      </c>
      <c r="G789" t="inlineStr">
        <is>
          <t>KRISTIANSTAD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2889-2025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45946</v>
      </c>
      <c r="E790" s="1" t="n">
        <v>46228</v>
      </c>
      <c r="F790" t="inlineStr">
        <is>
          <t>SKÅNE LÄN</t>
        </is>
      </c>
      <c r="G790" t="inlineStr">
        <is>
          <t>KRISTIANSTAD</t>
        </is>
      </c>
      <c r="I790" t="n">
        <v>43.6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1064-2026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46127</v>
      </c>
      <c r="E791" s="1" t="n">
        <v>46228</v>
      </c>
      <c r="F791" t="inlineStr">
        <is>
          <t>SKÅNE LÄN</t>
        </is>
      </c>
      <c r="G791" t="inlineStr">
        <is>
          <t>KRISTIANSTAD</t>
        </is>
      </c>
      <c r="I791" t="n">
        <v>69.8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1210-2026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46141</v>
      </c>
      <c r="E792" s="1" t="n">
        <v>46228</v>
      </c>
      <c r="F792" t="inlineStr">
        <is>
          <t>SKÅNE LÄN</t>
        </is>
      </c>
      <c r="G792" t="inlineStr">
        <is>
          <t>KRISTIANSTAD</t>
        </is>
      </c>
      <c r="H792" t="inlineStr">
        <is>
          <t>Sveaskog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>
      <c r="A793" t="inlineStr">
        <is>
          <t>S 1380-2026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46148</v>
      </c>
      <c r="E793" s="1" t="n">
        <v>46228</v>
      </c>
      <c r="F793" t="inlineStr">
        <is>
          <t>SKÅNE LÄN</t>
        </is>
      </c>
      <c r="G793" t="inlineStr">
        <is>
          <t>KRISTIANSTAD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2026-07-25T01:49:10Z</dcterms:created>
  <dcterms:modified xmlns:dcterms="http://purl.org/dc/terms/" xmlns:xsi="http://www.w3.org/2001/XMLSchema-instance" xsi:type="dcterms:W3CDTF">2026-07-25T01:49:11Z</dcterms:modified>
</cp:coreProperties>
</file>