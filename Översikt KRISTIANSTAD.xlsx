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46321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46321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46321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46321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46321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46321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46321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46321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46321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46321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46321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9048-2024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45357</v>
      </c>
      <c r="E13" s="1" t="n">
        <v>46321</v>
      </c>
      <c r="F13" t="inlineStr">
        <is>
          <t>SKÅNE LÄN</t>
        </is>
      </c>
      <c r="G13" t="inlineStr">
        <is>
          <t>KRISTIANSTAD</t>
        </is>
      </c>
      <c r="I13" t="n">
        <v>5.9</v>
      </c>
      <c r="J13" t="n">
        <v>3</v>
      </c>
      <c r="K13" t="n">
        <v>3</v>
      </c>
      <c r="L13" t="n">
        <v>1</v>
      </c>
      <c r="M13" t="n">
        <v>1</v>
      </c>
      <c r="N13" t="n">
        <v>1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11</v>
      </c>
      <c r="U13" t="n">
        <v>10</v>
      </c>
      <c r="V13" s="2" t="inlineStr">
        <is>
          <t>Glappmaskros
Ryl
Backtimjan
Grönpyrola
Skogsknipprot
Ögonpyrola
Blåsippa
Johannesnycklar</t>
        </is>
      </c>
      <c r="W13">
        <f>HYPERLINK("https://klasma.github.io/Logging_1290/artfynd/A 9048-2024 artfynd.xlsx", "A 9048-2024")</f>
        <v/>
      </c>
      <c r="X13">
        <f>HYPERLINK("https://klasma.github.io/Logging_1290/kartor/A 9048-2024 karta.png", "A 9048-2024")</f>
        <v/>
      </c>
      <c r="Y13">
        <f>HYPERLINK("https://klasma.github.io/Logging_1290/kartor_geotiff/A 9048-2024 georefererad karta.tif", "A 9048-2024")</f>
        <v/>
      </c>
      <c r="AA13">
        <f>HYPERLINK("https://klasma.github.io/Logging_1290/klagomål/A 9048-2024 FSC-klagomål.docx", "A 9048-2024")</f>
        <v/>
      </c>
      <c r="AB13">
        <f>HYPERLINK("https://klasma.github.io/Logging_1290/klagomålsmail/A 9048-2024 FSC-klagomål mail.docx", "A 9048-2024")</f>
        <v/>
      </c>
      <c r="AC13">
        <f>HYPERLINK("https://klasma.github.io/Logging_1290/tillsyn/A 9048-2024 tillsynsbegäran.docx", "A 9048-2024")</f>
        <v/>
      </c>
      <c r="AD13">
        <f>HYPERLINK("https://klasma.github.io/Logging_1290/tillsynsmail/A 9048-2024 tillsynsbegäran mail.docx", "A 9048-2024")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46321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46321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46321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46321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46321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46321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46321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46321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20310-2026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46136</v>
      </c>
      <c r="E22" s="1" t="n">
        <v>46321</v>
      </c>
      <c r="F22" t="inlineStr">
        <is>
          <t>SKÅNE LÄN</t>
        </is>
      </c>
      <c r="G22" t="inlineStr">
        <is>
          <t>KRISTIANSTAD</t>
        </is>
      </c>
      <c r="I22" t="n">
        <v>2.9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Gulplister
Gulsippa
Humleblomster
Vitsippa
Skogsödla</t>
        </is>
      </c>
      <c r="W22">
        <f>HYPERLINK("https://klasma.github.io/Logging_1290/artfynd/A 20310-2026 artfynd.xlsx", "A 20310-2026")</f>
        <v/>
      </c>
      <c r="X22">
        <f>HYPERLINK("https://klasma.github.io/Logging_1290/kartor/A 20310-2026 karta.png", "A 20310-2026")</f>
        <v/>
      </c>
      <c r="Y22">
        <f>HYPERLINK("https://klasma.github.io/Logging_1290/kartor_geotiff/A 20310-2026 georefererad karta.tif", "A 20310-2026")</f>
        <v/>
      </c>
      <c r="AA22">
        <f>HYPERLINK("https://klasma.github.io/Logging_1290/klagomål/A 20310-2026 FSC-klagomål.docx", "A 20310-2026")</f>
        <v/>
      </c>
      <c r="AB22">
        <f>HYPERLINK("https://klasma.github.io/Logging_1290/klagomålsmail/A 20310-2026 FSC-klagomål mail.docx", "A 20310-2026")</f>
        <v/>
      </c>
      <c r="AC22">
        <f>HYPERLINK("https://klasma.github.io/Logging_1290/tillsyn/A 20310-2026 tillsynsbegäran.docx", "A 20310-2026")</f>
        <v/>
      </c>
      <c r="AD22">
        <f>HYPERLINK("https://klasma.github.io/Logging_1290/tillsynsmail/A 20310-2026 tillsynsbegäran mail.docx", "A 20310-2026")</f>
        <v/>
      </c>
    </row>
    <row r="23" ht="15" customHeight="1">
      <c r="A23" t="inlineStr">
        <is>
          <t>A 1415-2024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45303</v>
      </c>
      <c r="E23" s="1" t="n">
        <v>46321</v>
      </c>
      <c r="F23" t="inlineStr">
        <is>
          <t>SKÅNE LÄN</t>
        </is>
      </c>
      <c r="G23" t="inlineStr">
        <is>
          <t>KRISTIANSTAD</t>
        </is>
      </c>
      <c r="H23" t="inlineStr">
        <is>
          <t>Övriga Aktiebolag</t>
        </is>
      </c>
      <c r="I23" t="n">
        <v>3.1</v>
      </c>
      <c r="J23" t="n">
        <v>0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3</v>
      </c>
      <c r="V23" s="2" t="inlineStr">
        <is>
          <t>Fyrflikig jordstjärna
Stenticka
Stor tratticka
Liten stinksvamp
Rutbläcksvamp
Glansfläck</t>
        </is>
      </c>
      <c r="W23">
        <f>HYPERLINK("https://klasma.github.io/Logging_1290/artfynd/A 1415-2024 artfynd.xlsx", "A 1415-2024")</f>
        <v/>
      </c>
      <c r="X23">
        <f>HYPERLINK("https://klasma.github.io/Logging_1290/kartor/A 1415-2024 karta.png", "A 1415-2024")</f>
        <v/>
      </c>
      <c r="Y23">
        <f>HYPERLINK("https://klasma.github.io/Logging_1290/kartor_geotiff/A 1415-2024 georefererad karta.tif", "A 1415-2024")</f>
        <v/>
      </c>
      <c r="AA23">
        <f>HYPERLINK("https://klasma.github.io/Logging_1290/klagomål/A 1415-2024 FSC-klagomål.docx", "A 1415-2024")</f>
        <v/>
      </c>
      <c r="AB23">
        <f>HYPERLINK("https://klasma.github.io/Logging_1290/klagomålsmail/A 1415-2024 FSC-klagomål mail.docx", "A 1415-2024")</f>
        <v/>
      </c>
      <c r="AC23">
        <f>HYPERLINK("https://klasma.github.io/Logging_1290/tillsyn/A 1415-2024 tillsynsbegäran.docx", "A 1415-2024")</f>
        <v/>
      </c>
      <c r="AD23">
        <f>HYPERLINK("https://klasma.github.io/Logging_1290/tillsynsmail/A 1415-2024 tillsynsbegäran mail.docx", "A 1415-2024")</f>
        <v/>
      </c>
    </row>
    <row r="24" ht="15" customHeight="1">
      <c r="A24" t="inlineStr">
        <is>
          <t>A 22738-2026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46321</v>
      </c>
      <c r="F24" t="inlineStr">
        <is>
          <t>SKÅNE LÄN</t>
        </is>
      </c>
      <c r="G24" t="inlineStr">
        <is>
          <t>KRISTIANSTAD</t>
        </is>
      </c>
      <c r="I24" t="n">
        <v>6.6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6</v>
      </c>
      <c r="T24" t="n">
        <v>8</v>
      </c>
      <c r="U24" t="n">
        <v>8</v>
      </c>
      <c r="V24" s="2" t="inlineStr">
        <is>
          <t>Grönsångare
Rostfläck
Västlig hakmossa
Ekorrbär
Glansfläck
Skogsstjärna</t>
        </is>
      </c>
      <c r="W24">
        <f>HYPERLINK("https://klasma.github.io/Logging_1290/artfynd/A 22738-2026 artfynd.xlsx", "A 22738-2026")</f>
        <v/>
      </c>
      <c r="X24">
        <f>HYPERLINK("https://klasma.github.io/Logging_1290/kartor/A 22738-2026 karta.png", "A 22738-2026")</f>
        <v/>
      </c>
      <c r="Y24">
        <f>HYPERLINK("https://klasma.github.io/Logging_1290/kartor_geotiff/A 22738-2026 georefererad karta.tif", "A 22738-2026")</f>
        <v/>
      </c>
      <c r="AA24">
        <f>HYPERLINK("https://klasma.github.io/Logging_1290/klagomål/A 22738-2026 FSC-klagomål.docx", "A 22738-2026")</f>
        <v/>
      </c>
      <c r="AB24">
        <f>HYPERLINK("https://klasma.github.io/Logging_1290/klagomålsmail/A 22738-2026 FSC-klagomål mail.docx", "A 22738-2026")</f>
        <v/>
      </c>
      <c r="AC24">
        <f>HYPERLINK("https://klasma.github.io/Logging_1290/tillsyn/A 22738-2026 tillsynsbegäran.docx", "A 22738-2026")</f>
        <v/>
      </c>
      <c r="AD24">
        <f>HYPERLINK("https://klasma.github.io/Logging_1290/tillsynsmail/A 22738-2026 tillsynsbegäran mail.docx", "A 22738-2026")</f>
        <v/>
      </c>
      <c r="AE24">
        <f>HYPERLINK("https://klasma.github.io/Logging_1290/fåglar/A 22738-2026 prioriterade fågelarter.docx", "A 22738-2026")</f>
        <v/>
      </c>
    </row>
    <row r="25" ht="15" customHeight="1">
      <c r="A25" t="inlineStr">
        <is>
          <t>A 15492-2023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45020</v>
      </c>
      <c r="E25" s="1" t="n">
        <v>46321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1.8</v>
      </c>
      <c r="J25" t="n">
        <v>4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8</v>
      </c>
      <c r="U25" t="n">
        <v>4</v>
      </c>
      <c r="V25" s="2" t="inlineStr">
        <is>
          <t>Mindre bastardsvärmare
Entita
Mindre tåtelsmygare
Talltita
Spillkråka
Vanlig padda</t>
        </is>
      </c>
      <c r="W25">
        <f>HYPERLINK("https://klasma.github.io/Logging_1290/artfynd/A 15492-2023 artfynd.xlsx", "A 15492-2023")</f>
        <v/>
      </c>
      <c r="X25">
        <f>HYPERLINK("https://klasma.github.io/Logging_1290/kartor/A 15492-2023 karta.png", "A 15492-2023")</f>
        <v/>
      </c>
      <c r="Y25">
        <f>HYPERLINK("https://klasma.github.io/Logging_1290/kartor_geotiff/A 15492-2023 georefererad karta.tif", "A 15492-2023")</f>
        <v/>
      </c>
      <c r="AA25">
        <f>HYPERLINK("https://klasma.github.io/Logging_1290/klagomål/A 15492-2023 FSC-klagomål.docx", "A 15492-2023")</f>
        <v/>
      </c>
      <c r="AB25">
        <f>HYPERLINK("https://klasma.github.io/Logging_1290/klagomålsmail/A 15492-2023 FSC-klagomål mail.docx", "A 15492-2023")</f>
        <v/>
      </c>
      <c r="AC25">
        <f>HYPERLINK("https://klasma.github.io/Logging_1290/tillsyn/A 15492-2023 tillsynsbegäran.docx", "A 15492-2023")</f>
        <v/>
      </c>
      <c r="AD25">
        <f>HYPERLINK("https://klasma.github.io/Logging_1290/tillsynsmail/A 15492-2023 tillsynsbegäran mail.docx", "A 15492-2023")</f>
        <v/>
      </c>
      <c r="AE25">
        <f>HYPERLINK("https://klasma.github.io/Logging_1290/fåglar/A 15492-2023 prioriterade fågelarter.docx", "A 15492-2023")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46321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1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7</v>
      </c>
      <c r="U26" t="n">
        <v>7</v>
      </c>
      <c r="V26" s="2" t="inlineStr">
        <is>
          <t>Kandelabersvamp
Blåmossa
Gulnål
Jättesvampmal
Västlig hakmossa
Spillkråka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  <c r="AE26">
        <f>HYPERLINK("https://klasma.github.io/Logging_1290/fåglar/A 44586-2022 prioriterade fågelarter.docx", "A 44586-2022")</f>
        <v/>
      </c>
    </row>
    <row r="27" ht="15" customHeight="1">
      <c r="A27" t="inlineStr">
        <is>
          <t>A 17026-2025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45755</v>
      </c>
      <c r="E27" s="1" t="n">
        <v>46321</v>
      </c>
      <c r="F27" t="inlineStr">
        <is>
          <t>SKÅNE LÄN</t>
        </is>
      </c>
      <c r="G27" t="inlineStr">
        <is>
          <t>KRISTIANSTAD</t>
        </is>
      </c>
      <c r="I27" t="n">
        <v>11.9</v>
      </c>
      <c r="J27" t="n">
        <v>6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6</v>
      </c>
      <c r="T27" t="n">
        <v>6</v>
      </c>
      <c r="U27" t="n">
        <v>6</v>
      </c>
      <c r="V27" s="2" t="inlineStr">
        <is>
          <t>Järnsparv
Sädesärla
Spillkråka
Skogsduva
Svartvit flugsnappare
Trana</t>
        </is>
      </c>
      <c r="W27">
        <f>HYPERLINK("https://klasma.github.io/Logging_1290/artfynd/A 17026-2025 artfynd.xlsx", "A 17026-2025")</f>
        <v/>
      </c>
      <c r="X27">
        <f>HYPERLINK("https://klasma.github.io/Logging_1290/kartor/A 17026-2025 karta.png", "A 17026-2025")</f>
        <v/>
      </c>
      <c r="Y27">
        <f>HYPERLINK("https://klasma.github.io/Logging_1290/kartor_geotiff/A 17026-2025 georefererad karta.tif", "A 17026-2025")</f>
        <v/>
      </c>
      <c r="AA27">
        <f>HYPERLINK("https://klasma.github.io/Logging_1290/klagomål/A 17026-2025 FSC-klagomål.docx", "A 17026-2025")</f>
        <v/>
      </c>
      <c r="AB27">
        <f>HYPERLINK("https://klasma.github.io/Logging_1290/klagomålsmail/A 17026-2025 FSC-klagomål mail.docx", "A 17026-2025")</f>
        <v/>
      </c>
      <c r="AC27">
        <f>HYPERLINK("https://klasma.github.io/Logging_1290/tillsyn/A 17026-2025 tillsynsbegäran.docx", "A 17026-2025")</f>
        <v/>
      </c>
      <c r="AD27">
        <f>HYPERLINK("https://klasma.github.io/Logging_1290/tillsynsmail/A 17026-2025 tillsynsbegäran mail.docx", "A 17026-2025")</f>
        <v/>
      </c>
      <c r="AE27">
        <f>HYPERLINK("https://klasma.github.io/Logging_1290/fåglar/A 17026-2025 prioriterade fågelarter.docx", "A 17026-2025")</f>
        <v/>
      </c>
    </row>
    <row r="28" ht="15" customHeight="1">
      <c r="A28" t="inlineStr">
        <is>
          <t>A 31847-2023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46321</v>
      </c>
      <c r="F28" t="inlineStr">
        <is>
          <t>SKÅNE LÄN</t>
        </is>
      </c>
      <c r="G28" t="inlineStr">
        <is>
          <t>KRISTIANSTAD</t>
        </is>
      </c>
      <c r="I28" t="n">
        <v>2.2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Skogsalm
Skogsbräsma
Skogsbingel
Skriftlav
Storrams
Skogsduva</t>
        </is>
      </c>
      <c r="W28">
        <f>HYPERLINK("https://klasma.github.io/Logging_1290/artfynd/A 31847-2023 artfynd.xlsx", "A 31847-2023")</f>
        <v/>
      </c>
      <c r="X28">
        <f>HYPERLINK("https://klasma.github.io/Logging_1290/kartor/A 31847-2023 karta.png", "A 31847-2023")</f>
        <v/>
      </c>
      <c r="Y28">
        <f>HYPERLINK("https://klasma.github.io/Logging_1290/kartor_geotiff/A 31847-2023 georefererad karta.tif", "A 31847-2023")</f>
        <v/>
      </c>
      <c r="AA28">
        <f>HYPERLINK("https://klasma.github.io/Logging_1290/klagomål/A 31847-2023 FSC-klagomål.docx", "A 31847-2023")</f>
        <v/>
      </c>
      <c r="AB28">
        <f>HYPERLINK("https://klasma.github.io/Logging_1290/klagomålsmail/A 31847-2023 FSC-klagomål mail.docx", "A 31847-2023")</f>
        <v/>
      </c>
      <c r="AC28">
        <f>HYPERLINK("https://klasma.github.io/Logging_1290/tillsyn/A 31847-2023 tillsynsbegäran.docx", "A 31847-2023")</f>
        <v/>
      </c>
      <c r="AD28">
        <f>HYPERLINK("https://klasma.github.io/Logging_1290/tillsynsmail/A 31847-2023 tillsynsbegäran mail.docx", "A 31847-2023")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46321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46321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46321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46321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46321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46321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46321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46321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46321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46321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46321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46321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46321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46321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46321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46321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46321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46321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33364-2023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45128</v>
      </c>
      <c r="E47" s="1" t="n">
        <v>46321</v>
      </c>
      <c r="F47" t="inlineStr">
        <is>
          <t>SKÅNE LÄN</t>
        </is>
      </c>
      <c r="G47" t="inlineStr">
        <is>
          <t>KRISTIANSTAD</t>
        </is>
      </c>
      <c r="I47" t="n">
        <v>4.9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Västlig hakmossa
Röd glada
Större vattensalamander</t>
        </is>
      </c>
      <c r="W47">
        <f>HYPERLINK("https://klasma.github.io/Logging_1290/artfynd/A 33364-2023 artfynd.xlsx", "A 33364-2023")</f>
        <v/>
      </c>
      <c r="X47">
        <f>HYPERLINK("https://klasma.github.io/Logging_1290/kartor/A 33364-2023 karta.png", "A 33364-2023")</f>
        <v/>
      </c>
      <c r="Y47">
        <f>HYPERLINK("https://klasma.github.io/Logging_1290/kartor_geotiff/A 33364-2023 georefererad karta.tif", "A 33364-2023")</f>
        <v/>
      </c>
      <c r="AA47">
        <f>HYPERLINK("https://klasma.github.io/Logging_1290/klagomål/A 33364-2023 FSC-klagomål.docx", "A 33364-2023")</f>
        <v/>
      </c>
      <c r="AB47">
        <f>HYPERLINK("https://klasma.github.io/Logging_1290/klagomålsmail/A 33364-2023 FSC-klagomål mail.docx", "A 33364-2023")</f>
        <v/>
      </c>
      <c r="AC47">
        <f>HYPERLINK("https://klasma.github.io/Logging_1290/tillsyn/A 33364-2023 tillsynsbegäran.docx", "A 33364-2023")</f>
        <v/>
      </c>
      <c r="AD47">
        <f>HYPERLINK("https://klasma.github.io/Logging_1290/tillsynsmail/A 33364-2023 tillsynsbegäran mail.docx", "A 33364-2023")</f>
        <v/>
      </c>
      <c r="AE47">
        <f>HYPERLINK("https://klasma.github.io/Logging_1290/fåglar/A 33364-2023 prioriterade fågelarter.docx", "A 33364-2023")</f>
        <v/>
      </c>
    </row>
    <row r="48" ht="15" customHeight="1">
      <c r="A48" t="inlineStr">
        <is>
          <t>A 41480-2026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46301</v>
      </c>
      <c r="E48" s="1" t="n">
        <v>46321</v>
      </c>
      <c r="F48" t="inlineStr">
        <is>
          <t>SKÅNE LÄN</t>
        </is>
      </c>
      <c r="G48" t="inlineStr">
        <is>
          <t>KRISTIANSTAD</t>
        </is>
      </c>
      <c r="I48" t="n">
        <v>11.8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Småvänderot
Kransrams
Blåsippa</t>
        </is>
      </c>
      <c r="W48">
        <f>HYPERLINK("https://klasma.github.io/Logging_1290/artfynd/A 41480-2026 artfynd.xlsx", "A 41480-2026")</f>
        <v/>
      </c>
      <c r="X48">
        <f>HYPERLINK("https://klasma.github.io/Logging_1290/kartor/A 41480-2026 karta.png", "A 41480-2026")</f>
        <v/>
      </c>
      <c r="Y48">
        <f>HYPERLINK("https://klasma.github.io/Logging_1290/kartor_geotiff/A 41480-2026 georefererad karta.tif", "A 41480-2026")</f>
        <v/>
      </c>
      <c r="AA48">
        <f>HYPERLINK("https://klasma.github.io/Logging_1290/klagomål/A 41480-2026 FSC-klagomål.docx", "A 41480-2026")</f>
        <v/>
      </c>
      <c r="AB48">
        <f>HYPERLINK("https://klasma.github.io/Logging_1290/klagomålsmail/A 41480-2026 FSC-klagomål mail.docx", "A 41480-2026")</f>
        <v/>
      </c>
      <c r="AC48">
        <f>HYPERLINK("https://klasma.github.io/Logging_1290/tillsyn/A 41480-2026 tillsynsbegäran.docx", "A 41480-2026")</f>
        <v/>
      </c>
      <c r="AD48">
        <f>HYPERLINK("https://klasma.github.io/Logging_1290/tillsynsmail/A 41480-2026 tillsynsbegäran mail.docx", "A 41480-2026")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46321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46321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46321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44585-2023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45189</v>
      </c>
      <c r="E52" s="1" t="n">
        <v>46321</v>
      </c>
      <c r="F52" t="inlineStr">
        <is>
          <t>SKÅNE LÄN</t>
        </is>
      </c>
      <c r="G52" t="inlineStr">
        <is>
          <t>KRISTIANSTAD</t>
        </is>
      </c>
      <c r="I52" t="n">
        <v>1.4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3</v>
      </c>
      <c r="V52" s="2" t="inlineStr">
        <is>
          <t>Sydlig gyllenspindling
Piskbaronmossa
Kopparödla</t>
        </is>
      </c>
      <c r="W52">
        <f>HYPERLINK("https://klasma.github.io/Logging_1290/artfynd/A 44585-2023 artfynd.xlsx", "A 44585-2023")</f>
        <v/>
      </c>
      <c r="X52">
        <f>HYPERLINK("https://klasma.github.io/Logging_1290/kartor/A 44585-2023 karta.png", "A 44585-2023")</f>
        <v/>
      </c>
      <c r="Y52">
        <f>HYPERLINK("https://klasma.github.io/Logging_1290/kartor_geotiff/A 44585-2023 georefererad karta.tif", "A 44585-2023")</f>
        <v/>
      </c>
      <c r="AA52">
        <f>HYPERLINK("https://klasma.github.io/Logging_1290/klagomål/A 44585-2023 FSC-klagomål.docx", "A 44585-2023")</f>
        <v/>
      </c>
      <c r="AB52">
        <f>HYPERLINK("https://klasma.github.io/Logging_1290/klagomålsmail/A 44585-2023 FSC-klagomål mail.docx", "A 44585-2023")</f>
        <v/>
      </c>
      <c r="AC52">
        <f>HYPERLINK("https://klasma.github.io/Logging_1290/tillsyn/A 44585-2023 tillsynsbegäran.docx", "A 44585-2023")</f>
        <v/>
      </c>
      <c r="AD52">
        <f>HYPERLINK("https://klasma.github.io/Logging_1290/tillsynsmail/A 44585-2023 tillsynsbegäran mail.docx", "A 44585-2023")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46321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46321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46321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46321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46321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56969-2023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46321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2.4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Lundbräsma
Myskmadra</t>
        </is>
      </c>
      <c r="W58">
        <f>HYPERLINK("https://klasma.github.io/Logging_1290/artfynd/A 56969-2023 artfynd.xlsx", "A 56969-2023")</f>
        <v/>
      </c>
      <c r="X58">
        <f>HYPERLINK("https://klasma.github.io/Logging_1290/kartor/A 56969-2023 karta.png", "A 56969-2023")</f>
        <v/>
      </c>
      <c r="Y58">
        <f>HYPERLINK("https://klasma.github.io/Logging_1290/kartor_geotiff/A 56969-2023 georefererad karta.tif", "A 56969-2023")</f>
        <v/>
      </c>
      <c r="AA58">
        <f>HYPERLINK("https://klasma.github.io/Logging_1290/klagomål/A 56969-2023 FSC-klagomål.docx", "A 56969-2023")</f>
        <v/>
      </c>
      <c r="AB58">
        <f>HYPERLINK("https://klasma.github.io/Logging_1290/klagomålsmail/A 56969-2023 FSC-klagomål mail.docx", "A 56969-2023")</f>
        <v/>
      </c>
      <c r="AC58">
        <f>HYPERLINK("https://klasma.github.io/Logging_1290/tillsyn/A 56969-2023 tillsynsbegäran.docx", "A 56969-2023")</f>
        <v/>
      </c>
      <c r="AD58">
        <f>HYPERLINK("https://klasma.github.io/Logging_1290/tillsynsmail/A 56969-2023 tillsynsbegäran mail.docx", "A 56969-2023")</f>
        <v/>
      </c>
    </row>
    <row r="59" ht="15" customHeight="1">
      <c r="A59" t="inlineStr">
        <is>
          <t>A 47029-2025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46321</v>
      </c>
      <c r="F59" t="inlineStr">
        <is>
          <t>SKÅNE LÄN</t>
        </is>
      </c>
      <c r="G59" t="inlineStr">
        <is>
          <t>KRISTIANSTAD</t>
        </is>
      </c>
      <c r="I59" t="n">
        <v>13.5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Kopparödla</t>
        </is>
      </c>
      <c r="W59">
        <f>HYPERLINK("https://klasma.github.io/Logging_1290/artfynd/A 47029-2025 artfynd.xlsx", "A 47029-2025")</f>
        <v/>
      </c>
      <c r="X59">
        <f>HYPERLINK("https://klasma.github.io/Logging_1290/kartor/A 47029-2025 karta.png", "A 47029-2025")</f>
        <v/>
      </c>
      <c r="Y59">
        <f>HYPERLINK("https://klasma.github.io/Logging_1290/kartor_geotiff/A 47029-2025 georefererad karta.tif", "A 47029-2025")</f>
        <v/>
      </c>
      <c r="AA59">
        <f>HYPERLINK("https://klasma.github.io/Logging_1290/klagomål/A 47029-2025 FSC-klagomål.docx", "A 47029-2025")</f>
        <v/>
      </c>
      <c r="AB59">
        <f>HYPERLINK("https://klasma.github.io/Logging_1290/klagomålsmail/A 47029-2025 FSC-klagomål mail.docx", "A 47029-2025")</f>
        <v/>
      </c>
      <c r="AC59">
        <f>HYPERLINK("https://klasma.github.io/Logging_1290/tillsyn/A 47029-2025 tillsynsbegäran.docx", "A 47029-2025")</f>
        <v/>
      </c>
      <c r="AD59">
        <f>HYPERLINK("https://klasma.github.io/Logging_1290/tillsynsmail/A 47029-2025 tillsynsbegäran mail.docx", "A 47029-2025")</f>
        <v/>
      </c>
    </row>
    <row r="60" ht="15" customHeight="1">
      <c r="A60" t="inlineStr">
        <is>
          <t>A 25456-2023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45089</v>
      </c>
      <c r="E60" s="1" t="n">
        <v>46321</v>
      </c>
      <c r="F60" t="inlineStr">
        <is>
          <t>SKÅNE LÄN</t>
        </is>
      </c>
      <c r="G60" t="inlineStr">
        <is>
          <t>KRISTIANSTAD</t>
        </is>
      </c>
      <c r="I60" t="n">
        <v>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Fläckig glansspinnare
Krattsnabbvinge</t>
        </is>
      </c>
      <c r="W60">
        <f>HYPERLINK("https://klasma.github.io/Logging_1290/artfynd/A 25456-2023 artfynd.xlsx", "A 25456-2023")</f>
        <v/>
      </c>
      <c r="X60">
        <f>HYPERLINK("https://klasma.github.io/Logging_1290/kartor/A 25456-2023 karta.png", "A 25456-2023")</f>
        <v/>
      </c>
      <c r="Y60">
        <f>HYPERLINK("https://klasma.github.io/Logging_1290/kartor_geotiff/A 25456-2023 georefererad karta.tif", "A 25456-2023")</f>
        <v/>
      </c>
      <c r="AA60">
        <f>HYPERLINK("https://klasma.github.io/Logging_1290/klagomål/A 25456-2023 FSC-klagomål.docx", "A 25456-2023")</f>
        <v/>
      </c>
      <c r="AB60">
        <f>HYPERLINK("https://klasma.github.io/Logging_1290/klagomålsmail/A 25456-2023 FSC-klagomål mail.docx", "A 25456-2023")</f>
        <v/>
      </c>
      <c r="AC60">
        <f>HYPERLINK("https://klasma.github.io/Logging_1290/tillsyn/A 25456-2023 tillsynsbegäran.docx", "A 25456-2023")</f>
        <v/>
      </c>
      <c r="AD60">
        <f>HYPERLINK("https://klasma.github.io/Logging_1290/tillsynsmail/A 25456-2023 tillsynsbegäran mail.docx", "A 25456-2023")</f>
        <v/>
      </c>
    </row>
    <row r="61" ht="15" customHeight="1">
      <c r="A61" t="inlineStr">
        <is>
          <t>A 1418-2024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45303</v>
      </c>
      <c r="E61" s="1" t="n">
        <v>46321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Gropticka
Stenticka</t>
        </is>
      </c>
      <c r="W61">
        <f>HYPERLINK("https://klasma.github.io/Logging_1290/artfynd/A 1418-2024 artfynd.xlsx", "A 1418-2024")</f>
        <v/>
      </c>
      <c r="X61">
        <f>HYPERLINK("https://klasma.github.io/Logging_1290/kartor/A 1418-2024 karta.png", "A 1418-2024")</f>
        <v/>
      </c>
      <c r="Y61">
        <f>HYPERLINK("https://klasma.github.io/Logging_1290/kartor_geotiff/A 1418-2024 georefererad karta.tif", "A 1418-2024")</f>
        <v/>
      </c>
      <c r="AA61">
        <f>HYPERLINK("https://klasma.github.io/Logging_1290/klagomål/A 1418-2024 FSC-klagomål.docx", "A 1418-2024")</f>
        <v/>
      </c>
      <c r="AB61">
        <f>HYPERLINK("https://klasma.github.io/Logging_1290/klagomålsmail/A 1418-2024 FSC-klagomål mail.docx", "A 1418-2024")</f>
        <v/>
      </c>
      <c r="AC61">
        <f>HYPERLINK("https://klasma.github.io/Logging_1290/tillsyn/A 1418-2024 tillsynsbegäran.docx", "A 1418-2024")</f>
        <v/>
      </c>
      <c r="AD61">
        <f>HYPERLINK("https://klasma.github.io/Logging_1290/tillsynsmail/A 1418-2024 tillsynsbegäran mail.docx", "A 1418-2024")</f>
        <v/>
      </c>
    </row>
    <row r="62" ht="15" customHeight="1">
      <c r="A62" t="inlineStr">
        <is>
          <t>A 63500-2025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46013</v>
      </c>
      <c r="E62" s="1" t="n">
        <v>46321</v>
      </c>
      <c r="F62" t="inlineStr">
        <is>
          <t>SKÅNE LÄN</t>
        </is>
      </c>
      <c r="G62" t="inlineStr">
        <is>
          <t>KRISTIANSTAD</t>
        </is>
      </c>
      <c r="H62" t="inlineStr">
        <is>
          <t>Sveaskog</t>
        </is>
      </c>
      <c r="I62" t="n">
        <v>8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Entita
Talltita</t>
        </is>
      </c>
      <c r="W62">
        <f>HYPERLINK("https://klasma.github.io/Logging_1290/artfynd/A 63500-2025 artfynd.xlsx", "A 63500-2025")</f>
        <v/>
      </c>
      <c r="X62">
        <f>HYPERLINK("https://klasma.github.io/Logging_1290/kartor/A 63500-2025 karta.png", "A 63500-2025")</f>
        <v/>
      </c>
      <c r="Y62">
        <f>HYPERLINK("https://klasma.github.io/Logging_1290/kartor_geotiff/A 63500-2025 georefererad karta.tif", "A 63500-2025")</f>
        <v/>
      </c>
      <c r="AA62">
        <f>HYPERLINK("https://klasma.github.io/Logging_1290/klagomål/A 63500-2025 FSC-klagomål.docx", "A 63500-2025")</f>
        <v/>
      </c>
      <c r="AB62">
        <f>HYPERLINK("https://klasma.github.io/Logging_1290/klagomålsmail/A 63500-2025 FSC-klagomål mail.docx", "A 63500-2025")</f>
        <v/>
      </c>
      <c r="AC62">
        <f>HYPERLINK("https://klasma.github.io/Logging_1290/tillsyn/A 63500-2025 tillsynsbegäran.docx", "A 63500-2025")</f>
        <v/>
      </c>
      <c r="AD62">
        <f>HYPERLINK("https://klasma.github.io/Logging_1290/tillsynsmail/A 63500-2025 tillsynsbegäran mail.docx", "A 63500-2025")</f>
        <v/>
      </c>
      <c r="AE62">
        <f>HYPERLINK("https://klasma.github.io/Logging_1290/fåglar/A 63500-2025 prioriterade fågelarter.docx", "A 63500-2025")</f>
        <v/>
      </c>
    </row>
    <row r="63" ht="15" customHeight="1">
      <c r="A63" t="inlineStr">
        <is>
          <t>A 30842-2022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44767</v>
      </c>
      <c r="E63" s="1" t="n">
        <v>46321</v>
      </c>
      <c r="F63" t="inlineStr">
        <is>
          <t>SKÅNE LÄN</t>
        </is>
      </c>
      <c r="G63" t="inlineStr">
        <is>
          <t>KRISTIANSTAD</t>
        </is>
      </c>
      <c r="I63" t="n">
        <v>2.6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3</v>
      </c>
      <c r="U63" t="n">
        <v>2</v>
      </c>
      <c r="V63" s="2" t="inlineStr">
        <is>
          <t>Småvänderot
Större vattensalamander</t>
        </is>
      </c>
      <c r="W63">
        <f>HYPERLINK("https://klasma.github.io/Logging_1290/artfynd/A 30842-2022 artfynd.xlsx", "A 30842-2022")</f>
        <v/>
      </c>
      <c r="X63">
        <f>HYPERLINK("https://klasma.github.io/Logging_1290/kartor/A 30842-2022 karta.png", "A 30842-2022")</f>
        <v/>
      </c>
      <c r="Y63">
        <f>HYPERLINK("https://klasma.github.io/Logging_1290/kartor_geotiff/A 30842-2022 georefererad karta.tif", "A 30842-2022")</f>
        <v/>
      </c>
      <c r="AA63">
        <f>HYPERLINK("https://klasma.github.io/Logging_1290/klagomål/A 30842-2022 FSC-klagomål.docx", "A 30842-2022")</f>
        <v/>
      </c>
      <c r="AB63">
        <f>HYPERLINK("https://klasma.github.io/Logging_1290/klagomålsmail/A 30842-2022 FSC-klagomål mail.docx", "A 30842-2022")</f>
        <v/>
      </c>
      <c r="AC63">
        <f>HYPERLINK("https://klasma.github.io/Logging_1290/tillsyn/A 30842-2022 tillsynsbegäran.docx", "A 30842-2022")</f>
        <v/>
      </c>
      <c r="AD63">
        <f>HYPERLINK("https://klasma.github.io/Logging_1290/tillsynsmail/A 30842-2022 tillsynsbegäran mail.docx", "A 30842-2022")</f>
        <v/>
      </c>
    </row>
    <row r="64" ht="15" customHeight="1">
      <c r="A64" t="inlineStr">
        <is>
          <t>A 25762-2024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45465</v>
      </c>
      <c r="E64" s="1" t="n">
        <v>46321</v>
      </c>
      <c r="F64" t="inlineStr">
        <is>
          <t>SKÅNE LÄN</t>
        </is>
      </c>
      <c r="G64" t="inlineStr">
        <is>
          <t>KRISTIANSTAD</t>
        </is>
      </c>
      <c r="I64" t="n">
        <v>0.6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6</v>
      </c>
      <c r="U64" t="n">
        <v>1</v>
      </c>
      <c r="V64" s="2" t="inlineStr">
        <is>
          <t>Blomkålssvamp
Gullviva</t>
        </is>
      </c>
      <c r="W64">
        <f>HYPERLINK("https://klasma.github.io/Logging_1290/artfynd/A 25762-2024 artfynd.xlsx", "A 25762-2024")</f>
        <v/>
      </c>
      <c r="X64">
        <f>HYPERLINK("https://klasma.github.io/Logging_1290/kartor/A 25762-2024 karta.png", "A 25762-2024")</f>
        <v/>
      </c>
      <c r="Y64">
        <f>HYPERLINK("https://klasma.github.io/Logging_1290/kartor_geotiff/A 25762-2024 georefererad karta.tif", "A 25762-2024")</f>
        <v/>
      </c>
      <c r="AA64">
        <f>HYPERLINK("https://klasma.github.io/Logging_1290/klagomål/A 25762-2024 FSC-klagomål.docx", "A 25762-2024")</f>
        <v/>
      </c>
      <c r="AB64">
        <f>HYPERLINK("https://klasma.github.io/Logging_1290/klagomålsmail/A 25762-2024 FSC-klagomål mail.docx", "A 25762-2024")</f>
        <v/>
      </c>
      <c r="AC64">
        <f>HYPERLINK("https://klasma.github.io/Logging_1290/tillsyn/A 25762-2024 tillsynsbegäran.docx", "A 25762-2024")</f>
        <v/>
      </c>
      <c r="AD64">
        <f>HYPERLINK("https://klasma.github.io/Logging_1290/tillsynsmail/A 25762-2024 tillsynsbegäran mail.docx", "A 25762-2024")</f>
        <v/>
      </c>
    </row>
    <row r="65" ht="15" customHeight="1">
      <c r="A65" t="inlineStr">
        <is>
          <t>A 755-2025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45665</v>
      </c>
      <c r="E65" s="1" t="n">
        <v>46321</v>
      </c>
      <c r="F65" t="inlineStr">
        <is>
          <t>SKÅNE LÄN</t>
        </is>
      </c>
      <c r="G65" t="inlineStr">
        <is>
          <t>KRISTIANSTAD</t>
        </is>
      </c>
      <c r="I65" t="n">
        <v>1.9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Rosa lundlav
Stiftklotterlav</t>
        </is>
      </c>
      <c r="W65">
        <f>HYPERLINK("https://klasma.github.io/Logging_1290/artfynd/A 755-2025 artfynd.xlsx", "A 755-2025")</f>
        <v/>
      </c>
      <c r="X65">
        <f>HYPERLINK("https://klasma.github.io/Logging_1290/kartor/A 755-2025 karta.png", "A 755-2025")</f>
        <v/>
      </c>
      <c r="Y65">
        <f>HYPERLINK("https://klasma.github.io/Logging_1290/kartor_geotiff/A 755-2025 georefererad karta.tif", "A 755-2025")</f>
        <v/>
      </c>
      <c r="AA65">
        <f>HYPERLINK("https://klasma.github.io/Logging_1290/klagomål/A 755-2025 FSC-klagomål.docx", "A 755-2025")</f>
        <v/>
      </c>
      <c r="AB65">
        <f>HYPERLINK("https://klasma.github.io/Logging_1290/klagomålsmail/A 755-2025 FSC-klagomål mail.docx", "A 755-2025")</f>
        <v/>
      </c>
      <c r="AC65">
        <f>HYPERLINK("https://klasma.github.io/Logging_1290/tillsyn/A 755-2025 tillsynsbegäran.docx", "A 755-2025")</f>
        <v/>
      </c>
      <c r="AD65">
        <f>HYPERLINK("https://klasma.github.io/Logging_1290/tillsynsmail/A 755-2025 tillsynsbegäran mail.docx", "A 755-2025")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46321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46321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42097-2026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46304</v>
      </c>
      <c r="E68" s="1" t="n">
        <v>46321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Kråka
Kungsfågel</t>
        </is>
      </c>
      <c r="W68">
        <f>HYPERLINK("https://klasma.github.io/Logging_1290/artfynd/A 42097-2026 artfynd.xlsx", "A 42097-2026")</f>
        <v/>
      </c>
      <c r="X68">
        <f>HYPERLINK("https://klasma.github.io/Logging_1290/kartor/A 42097-2026 karta.png", "A 42097-2026")</f>
        <v/>
      </c>
      <c r="Y68">
        <f>HYPERLINK("https://klasma.github.io/Logging_1290/kartor_geotiff/A 42097-2026 georefererad karta.tif", "A 42097-2026")</f>
        <v/>
      </c>
      <c r="AA68">
        <f>HYPERLINK("https://klasma.github.io/Logging_1290/klagomål/A 42097-2026 FSC-klagomål.docx", "A 42097-2026")</f>
        <v/>
      </c>
      <c r="AB68">
        <f>HYPERLINK("https://klasma.github.io/Logging_1290/klagomålsmail/A 42097-2026 FSC-klagomål mail.docx", "A 42097-2026")</f>
        <v/>
      </c>
      <c r="AC68">
        <f>HYPERLINK("https://klasma.github.io/Logging_1290/tillsyn/A 42097-2026 tillsynsbegäran.docx", "A 42097-2026")</f>
        <v/>
      </c>
      <c r="AD68">
        <f>HYPERLINK("https://klasma.github.io/Logging_1290/tillsynsmail/A 42097-2026 tillsynsbegäran mail.docx", "A 42097-2026")</f>
        <v/>
      </c>
    </row>
    <row r="69" ht="15" customHeight="1">
      <c r="A69" t="inlineStr">
        <is>
          <t>A 12744-2026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46091</v>
      </c>
      <c r="E69" s="1" t="n">
        <v>46321</v>
      </c>
      <c r="F69" t="inlineStr">
        <is>
          <t>SKÅNE LÄN</t>
        </is>
      </c>
      <c r="G69" t="inlineStr">
        <is>
          <t>KRISTIANSTAD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Glansfläck
Olivklotterlav</t>
        </is>
      </c>
      <c r="W69">
        <f>HYPERLINK("https://klasma.github.io/Logging_1290/artfynd/A 12744-2026 artfynd.xlsx", "A 12744-2026")</f>
        <v/>
      </c>
      <c r="X69">
        <f>HYPERLINK("https://klasma.github.io/Logging_1290/kartor/A 12744-2026 karta.png", "A 12744-2026")</f>
        <v/>
      </c>
      <c r="Y69">
        <f>HYPERLINK("https://klasma.github.io/Logging_1290/kartor_geotiff/A 12744-2026 georefererad karta.tif", "A 12744-2026")</f>
        <v/>
      </c>
      <c r="AA69">
        <f>HYPERLINK("https://klasma.github.io/Logging_1290/klagomål/A 12744-2026 FSC-klagomål.docx", "A 12744-2026")</f>
        <v/>
      </c>
      <c r="AB69">
        <f>HYPERLINK("https://klasma.github.io/Logging_1290/klagomålsmail/A 12744-2026 FSC-klagomål mail.docx", "A 12744-2026")</f>
        <v/>
      </c>
      <c r="AC69">
        <f>HYPERLINK("https://klasma.github.io/Logging_1290/tillsyn/A 12744-2026 tillsynsbegäran.docx", "A 12744-2026")</f>
        <v/>
      </c>
      <c r="AD69">
        <f>HYPERLINK("https://klasma.github.io/Logging_1290/tillsynsmail/A 12744-2026 tillsynsbegäran mail.docx", "A 12744-2026")</f>
        <v/>
      </c>
    </row>
    <row r="70" ht="15" customHeight="1">
      <c r="A70" t="inlineStr">
        <is>
          <t>A 30526-2024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45492</v>
      </c>
      <c r="E70" s="1" t="n">
        <v>46321</v>
      </c>
      <c r="F70" t="inlineStr">
        <is>
          <t>SKÅNE LÄN</t>
        </is>
      </c>
      <c r="G70" t="inlineStr">
        <is>
          <t>KRISTIANSTAD</t>
        </is>
      </c>
      <c r="I70" t="n">
        <v>2.3</v>
      </c>
      <c r="J70" t="n">
        <v>1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Dvärgjohannesört
Stor häxört</t>
        </is>
      </c>
      <c r="W70">
        <f>HYPERLINK("https://klasma.github.io/Logging_1290/artfynd/A 30526-2024 artfynd.xlsx", "A 30526-2024")</f>
        <v/>
      </c>
      <c r="X70">
        <f>HYPERLINK("https://klasma.github.io/Logging_1290/kartor/A 30526-2024 karta.png", "A 30526-2024")</f>
        <v/>
      </c>
      <c r="Y70">
        <f>HYPERLINK("https://klasma.github.io/Logging_1290/kartor_geotiff/A 30526-2024 georefererad karta.tif", "A 30526-2024")</f>
        <v/>
      </c>
      <c r="AA70">
        <f>HYPERLINK("https://klasma.github.io/Logging_1290/klagomål/A 30526-2024 FSC-klagomål.docx", "A 30526-2024")</f>
        <v/>
      </c>
      <c r="AB70">
        <f>HYPERLINK("https://klasma.github.io/Logging_1290/klagomålsmail/A 30526-2024 FSC-klagomål mail.docx", "A 30526-2024")</f>
        <v/>
      </c>
      <c r="AC70">
        <f>HYPERLINK("https://klasma.github.io/Logging_1290/tillsyn/A 30526-2024 tillsynsbegäran.docx", "A 30526-2024")</f>
        <v/>
      </c>
      <c r="AD70">
        <f>HYPERLINK("https://klasma.github.io/Logging_1290/tillsynsmail/A 30526-2024 tillsynsbegäran mail.docx", "A 30526-2024")</f>
        <v/>
      </c>
    </row>
    <row r="71" ht="15" customHeight="1">
      <c r="A71" t="inlineStr">
        <is>
          <t>A 60333-2022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44910</v>
      </c>
      <c r="E71" s="1" t="n">
        <v>46321</v>
      </c>
      <c r="F71" t="inlineStr">
        <is>
          <t>SKÅNE LÄN</t>
        </is>
      </c>
      <c r="G71" t="inlineStr">
        <is>
          <t>KRISTIANSTAD</t>
        </is>
      </c>
      <c r="I71" t="n">
        <v>4.1</v>
      </c>
      <c r="J71" t="n">
        <v>1</v>
      </c>
      <c r="K71" t="n">
        <v>0</v>
      </c>
      <c r="L71" t="n">
        <v>0</v>
      </c>
      <c r="M71" t="n">
        <v>2</v>
      </c>
      <c r="N71" t="n">
        <v>0</v>
      </c>
      <c r="O71" t="n">
        <v>0</v>
      </c>
      <c r="P71" t="n">
        <v>0</v>
      </c>
      <c r="Q71" t="n">
        <v>2</v>
      </c>
      <c r="R71" t="n">
        <v>2</v>
      </c>
      <c r="S71" t="n">
        <v>2</v>
      </c>
      <c r="T71" t="n">
        <v>2</v>
      </c>
      <c r="U71" t="n">
        <v>1</v>
      </c>
      <c r="V71" s="2" t="inlineStr">
        <is>
          <t>Sandödla
Åkersyska</t>
        </is>
      </c>
      <c r="W71">
        <f>HYPERLINK("https://klasma.github.io/Logging_1290/artfynd/A 60333-2022 artfynd.xlsx", "A 60333-2022")</f>
        <v/>
      </c>
      <c r="X71">
        <f>HYPERLINK("https://klasma.github.io/Logging_1290/kartor/A 60333-2022 karta.png", "A 60333-2022")</f>
        <v/>
      </c>
      <c r="Y71">
        <f>HYPERLINK("https://klasma.github.io/Logging_1290/kartor_geotiff/A 60333-2022 georefererad karta.tif", "A 60333-2022")</f>
        <v/>
      </c>
      <c r="AA71">
        <f>HYPERLINK("https://klasma.github.io/Logging_1290/klagomål/A 60333-2022 FSC-klagomål.docx", "A 60333-2022")</f>
        <v/>
      </c>
      <c r="AB71">
        <f>HYPERLINK("https://klasma.github.io/Logging_1290/klagomålsmail/A 60333-2022 FSC-klagomål mail.docx", "A 60333-2022")</f>
        <v/>
      </c>
      <c r="AC71">
        <f>HYPERLINK("https://klasma.github.io/Logging_1290/tillsyn/A 60333-2022 tillsynsbegäran.docx", "A 60333-2022")</f>
        <v/>
      </c>
      <c r="AD71">
        <f>HYPERLINK("https://klasma.github.io/Logging_1290/tillsynsmail/A 60333-2022 tillsynsbegäran mail.docx", "A 60333-2022")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46321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15229-2023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46321</v>
      </c>
      <c r="F73" t="inlineStr">
        <is>
          <t>SKÅNE LÄN</t>
        </is>
      </c>
      <c r="G73" t="inlineStr">
        <is>
          <t>KRISTIANSTAD</t>
        </is>
      </c>
      <c r="I73" t="n">
        <v>1.2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Drillsnäppa
Buskskvätta</t>
        </is>
      </c>
      <c r="W73">
        <f>HYPERLINK("https://klasma.github.io/Logging_1290/artfynd/A 15229-2023 artfynd.xlsx", "A 15229-2023")</f>
        <v/>
      </c>
      <c r="X73">
        <f>HYPERLINK("https://klasma.github.io/Logging_1290/kartor/A 15229-2023 karta.png", "A 15229-2023")</f>
        <v/>
      </c>
      <c r="Y73">
        <f>HYPERLINK("https://klasma.github.io/Logging_1290/kartor_geotiff/A 15229-2023 georefererad karta.tif", "A 15229-2023")</f>
        <v/>
      </c>
      <c r="AA73">
        <f>HYPERLINK("https://klasma.github.io/Logging_1290/klagomål/A 15229-2023 FSC-klagomål.docx", "A 15229-2023")</f>
        <v/>
      </c>
      <c r="AB73">
        <f>HYPERLINK("https://klasma.github.io/Logging_1290/klagomålsmail/A 15229-2023 FSC-klagomål mail.docx", "A 15229-2023")</f>
        <v/>
      </c>
      <c r="AC73">
        <f>HYPERLINK("https://klasma.github.io/Logging_1290/tillsyn/A 15229-2023 tillsynsbegäran.docx", "A 15229-2023")</f>
        <v/>
      </c>
      <c r="AD73">
        <f>HYPERLINK("https://klasma.github.io/Logging_1290/tillsynsmail/A 15229-2023 tillsynsbegäran mail.docx", "A 15229-2023")</f>
        <v/>
      </c>
      <c r="AE73">
        <f>HYPERLINK("https://klasma.github.io/Logging_1290/fåglar/A 15229-2023 prioriterade fågelarter.docx", "A 15229-2023")</f>
        <v/>
      </c>
    </row>
    <row r="74" ht="15" customHeight="1">
      <c r="A74" t="inlineStr">
        <is>
          <t>A 11720-2025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45727</v>
      </c>
      <c r="E74" s="1" t="n">
        <v>46321</v>
      </c>
      <c r="F74" t="inlineStr">
        <is>
          <t>SKÅNE LÄN</t>
        </is>
      </c>
      <c r="G74" t="inlineStr">
        <is>
          <t>KRISTIANSTAD</t>
        </is>
      </c>
      <c r="I74" t="n">
        <v>3.1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0</v>
      </c>
      <c r="V74" s="2" t="inlineStr">
        <is>
          <t>Igelkottsröksvamp
Åkergroda</t>
        </is>
      </c>
      <c r="W74">
        <f>HYPERLINK("https://klasma.github.io/Logging_1290/artfynd/A 11720-2025 artfynd.xlsx", "A 11720-2025")</f>
        <v/>
      </c>
      <c r="X74">
        <f>HYPERLINK("https://klasma.github.io/Logging_1290/kartor/A 11720-2025 karta.png", "A 11720-2025")</f>
        <v/>
      </c>
      <c r="Y74">
        <f>HYPERLINK("https://klasma.github.io/Logging_1290/kartor_geotiff/A 11720-2025 georefererad karta.tif", "A 11720-2025")</f>
        <v/>
      </c>
      <c r="AA74">
        <f>HYPERLINK("https://klasma.github.io/Logging_1290/klagomål/A 11720-2025 FSC-klagomål.docx", "A 11720-2025")</f>
        <v/>
      </c>
      <c r="AB74">
        <f>HYPERLINK("https://klasma.github.io/Logging_1290/klagomålsmail/A 11720-2025 FSC-klagomål mail.docx", "A 11720-2025")</f>
        <v/>
      </c>
      <c r="AC74">
        <f>HYPERLINK("https://klasma.github.io/Logging_1290/tillsyn/A 11720-2025 tillsynsbegäran.docx", "A 11720-2025")</f>
        <v/>
      </c>
      <c r="AD74">
        <f>HYPERLINK("https://klasma.github.io/Logging_1290/tillsynsmail/A 11720-2025 tillsynsbegäran mail.docx", "A 11720-2025")</f>
        <v/>
      </c>
    </row>
    <row r="75" ht="15" customHeight="1">
      <c r="A75" t="inlineStr">
        <is>
          <t>A 9898-2025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46321</v>
      </c>
      <c r="F75" t="inlineStr">
        <is>
          <t>SKÅNE LÄN</t>
        </is>
      </c>
      <c r="G75" t="inlineStr">
        <is>
          <t>KRISTIANSTAD</t>
        </is>
      </c>
      <c r="I75" t="n">
        <v>1.5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Fransig jordstjärna
Kantjordstjärna</t>
        </is>
      </c>
      <c r="W75">
        <f>HYPERLINK("https://klasma.github.io/Logging_1290/artfynd/A 9898-2025 artfynd.xlsx", "A 9898-2025")</f>
        <v/>
      </c>
      <c r="X75">
        <f>HYPERLINK("https://klasma.github.io/Logging_1290/kartor/A 9898-2025 karta.png", "A 9898-2025")</f>
        <v/>
      </c>
      <c r="Y75">
        <f>HYPERLINK("https://klasma.github.io/Logging_1290/kartor_geotiff/A 9898-2025 georefererad karta.tif", "A 9898-2025")</f>
        <v/>
      </c>
      <c r="AA75">
        <f>HYPERLINK("https://klasma.github.io/Logging_1290/klagomål/A 9898-2025 FSC-klagomål.docx", "A 9898-2025")</f>
        <v/>
      </c>
      <c r="AB75">
        <f>HYPERLINK("https://klasma.github.io/Logging_1290/klagomålsmail/A 9898-2025 FSC-klagomål mail.docx", "A 9898-2025")</f>
        <v/>
      </c>
      <c r="AC75">
        <f>HYPERLINK("https://klasma.github.io/Logging_1290/tillsyn/A 9898-2025 tillsynsbegäran.docx", "A 9898-2025")</f>
        <v/>
      </c>
      <c r="AD75">
        <f>HYPERLINK("https://klasma.github.io/Logging_1290/tillsynsmail/A 9898-2025 tillsynsbegäran mail.docx", "A 9898-2025")</f>
        <v/>
      </c>
    </row>
    <row r="76" ht="15" customHeight="1">
      <c r="A76" t="inlineStr">
        <is>
          <t>A 55499-2024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45622</v>
      </c>
      <c r="E76" s="1" t="n">
        <v>46321</v>
      </c>
      <c r="F76" t="inlineStr">
        <is>
          <t>SKÅNE LÄN</t>
        </is>
      </c>
      <c r="G76" t="inlineStr">
        <is>
          <t>KRISTIANSTAD</t>
        </is>
      </c>
      <c r="H76" t="inlineStr">
        <is>
          <t>Övriga Aktiebolag</t>
        </is>
      </c>
      <c r="I76" t="n">
        <v>2.1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Hedpärlemorfjäril
Grönvit nattviol</t>
        </is>
      </c>
      <c r="W76">
        <f>HYPERLINK("https://klasma.github.io/Logging_1290/artfynd/A 55499-2024 artfynd.xlsx", "A 55499-2024")</f>
        <v/>
      </c>
      <c r="X76">
        <f>HYPERLINK("https://klasma.github.io/Logging_1290/kartor/A 55499-2024 karta.png", "A 55499-2024")</f>
        <v/>
      </c>
      <c r="Y76">
        <f>HYPERLINK("https://klasma.github.io/Logging_1290/kartor_geotiff/A 55499-2024 georefererad karta.tif", "A 55499-2024")</f>
        <v/>
      </c>
      <c r="AA76">
        <f>HYPERLINK("https://klasma.github.io/Logging_1290/klagomål/A 55499-2024 FSC-klagomål.docx", "A 55499-2024")</f>
        <v/>
      </c>
      <c r="AB76">
        <f>HYPERLINK("https://klasma.github.io/Logging_1290/klagomålsmail/A 55499-2024 FSC-klagomål mail.docx", "A 55499-2024")</f>
        <v/>
      </c>
      <c r="AC76">
        <f>HYPERLINK("https://klasma.github.io/Logging_1290/tillsyn/A 55499-2024 tillsynsbegäran.docx", "A 55499-2024")</f>
        <v/>
      </c>
      <c r="AD76">
        <f>HYPERLINK("https://klasma.github.io/Logging_1290/tillsynsmail/A 55499-2024 tillsynsbegäran mail.docx", "A 55499-2024")</f>
        <v/>
      </c>
    </row>
    <row r="77" ht="15" customHeight="1">
      <c r="A77" t="inlineStr">
        <is>
          <t>A 2888-2024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45315</v>
      </c>
      <c r="E77" s="1" t="n">
        <v>46321</v>
      </c>
      <c r="F77" t="inlineStr">
        <is>
          <t>SKÅNE LÄN</t>
        </is>
      </c>
      <c r="G77" t="inlineStr">
        <is>
          <t>KRISTIANSTAD</t>
        </is>
      </c>
      <c r="I77" t="n">
        <v>10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Kransrams
Stor häxört</t>
        </is>
      </c>
      <c r="W77">
        <f>HYPERLINK("https://klasma.github.io/Logging_1290/artfynd/A 2888-2024 artfynd.xlsx", "A 2888-2024")</f>
        <v/>
      </c>
      <c r="X77">
        <f>HYPERLINK("https://klasma.github.io/Logging_1290/kartor/A 2888-2024 karta.png", "A 2888-2024")</f>
        <v/>
      </c>
      <c r="Y77">
        <f>HYPERLINK("https://klasma.github.io/Logging_1290/kartor_geotiff/A 2888-2024 georefererad karta.tif", "A 2888-2024")</f>
        <v/>
      </c>
      <c r="AA77">
        <f>HYPERLINK("https://klasma.github.io/Logging_1290/klagomål/A 2888-2024 FSC-klagomål.docx", "A 2888-2024")</f>
        <v/>
      </c>
      <c r="AB77">
        <f>HYPERLINK("https://klasma.github.io/Logging_1290/klagomålsmail/A 2888-2024 FSC-klagomål mail.docx", "A 2888-2024")</f>
        <v/>
      </c>
      <c r="AC77">
        <f>HYPERLINK("https://klasma.github.io/Logging_1290/tillsyn/A 2888-2024 tillsynsbegäran.docx", "A 2888-2024")</f>
        <v/>
      </c>
      <c r="AD77">
        <f>HYPERLINK("https://klasma.github.io/Logging_1290/tillsynsmail/A 2888-2024 tillsynsbegäran mail.docx", "A 2888-2024")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46321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46321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46321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46321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30857-2023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46321</v>
      </c>
      <c r="F82" t="inlineStr">
        <is>
          <t>SKÅNE LÄN</t>
        </is>
      </c>
      <c r="G82" t="inlineStr">
        <is>
          <t>KRISTIANSTAD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Sommarfibbla</t>
        </is>
      </c>
      <c r="W82">
        <f>HYPERLINK("https://klasma.github.io/Logging_1290/artfynd/A 30857-2023 artfynd.xlsx", "A 30857-2023")</f>
        <v/>
      </c>
      <c r="X82">
        <f>HYPERLINK("https://klasma.github.io/Logging_1290/kartor/A 30857-2023 karta.png", "A 30857-2023")</f>
        <v/>
      </c>
      <c r="Y82">
        <f>HYPERLINK("https://klasma.github.io/Logging_1290/kartor_geotiff/A 30857-2023 georefererad karta.tif", "A 30857-2023")</f>
        <v/>
      </c>
      <c r="AA82">
        <f>HYPERLINK("https://klasma.github.io/Logging_1290/klagomål/A 30857-2023 FSC-klagomål.docx", "A 30857-2023")</f>
        <v/>
      </c>
      <c r="AB82">
        <f>HYPERLINK("https://klasma.github.io/Logging_1290/klagomålsmail/A 30857-2023 FSC-klagomål mail.docx", "A 30857-2023")</f>
        <v/>
      </c>
      <c r="AC82">
        <f>HYPERLINK("https://klasma.github.io/Logging_1290/tillsyn/A 30857-2023 tillsynsbegäran.docx", "A 30857-2023")</f>
        <v/>
      </c>
      <c r="AD82">
        <f>HYPERLINK("https://klasma.github.io/Logging_1290/tillsynsmail/A 30857-2023 tillsynsbegäran mail.docx", "A 30857-2023")</f>
        <v/>
      </c>
    </row>
    <row r="83" ht="15" customHeight="1">
      <c r="A83" t="inlineStr">
        <is>
          <t>A 30918-2022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44767</v>
      </c>
      <c r="E83" s="1" t="n">
        <v>46321</v>
      </c>
      <c r="F83" t="inlineStr">
        <is>
          <t>SKÅNE LÄN</t>
        </is>
      </c>
      <c r="G83" t="inlineStr">
        <is>
          <t>KRISTIANSTAD</t>
        </is>
      </c>
      <c r="I83" t="n">
        <v>3.4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Sjötåtel</t>
        </is>
      </c>
      <c r="W83">
        <f>HYPERLINK("https://klasma.github.io/Logging_1290/artfynd/A 30918-2022 artfynd.xlsx", "A 30918-2022")</f>
        <v/>
      </c>
      <c r="X83">
        <f>HYPERLINK("https://klasma.github.io/Logging_1290/kartor/A 30918-2022 karta.png", "A 30918-2022")</f>
        <v/>
      </c>
      <c r="Y83">
        <f>HYPERLINK("https://klasma.github.io/Logging_1290/kartor_geotiff/A 30918-2022 georefererad karta.tif", "A 30918-2022")</f>
        <v/>
      </c>
      <c r="AA83">
        <f>HYPERLINK("https://klasma.github.io/Logging_1290/klagomål/A 30918-2022 FSC-klagomål.docx", "A 30918-2022")</f>
        <v/>
      </c>
      <c r="AB83">
        <f>HYPERLINK("https://klasma.github.io/Logging_1290/klagomålsmail/A 30918-2022 FSC-klagomål mail.docx", "A 30918-2022")</f>
        <v/>
      </c>
      <c r="AC83">
        <f>HYPERLINK("https://klasma.github.io/Logging_1290/tillsyn/A 30918-2022 tillsynsbegäran.docx", "A 30918-2022")</f>
        <v/>
      </c>
      <c r="AD83">
        <f>HYPERLINK("https://klasma.github.io/Logging_1290/tillsynsmail/A 30918-2022 tillsynsbegäran mail.docx", "A 30918-2022")</f>
        <v/>
      </c>
    </row>
    <row r="84" ht="15" customHeight="1">
      <c r="A84" t="inlineStr">
        <is>
          <t>A 47317-2025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46321</v>
      </c>
      <c r="F84" t="inlineStr">
        <is>
          <t>SKÅNE LÄN</t>
        </is>
      </c>
      <c r="G84" t="inlineStr">
        <is>
          <t>KRISTIANSTAD</t>
        </is>
      </c>
      <c r="I84" t="n">
        <v>10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HYPERLINK("https://klasma.github.io/Logging_1290/artfynd/A 47317-2025 artfynd.xlsx", "A 47317-2025")</f>
        <v/>
      </c>
      <c r="X84">
        <f>HYPERLINK("https://klasma.github.io/Logging_1290/kartor/A 47317-2025 karta.png", "A 47317-2025")</f>
        <v/>
      </c>
      <c r="Y84">
        <f>HYPERLINK("https://klasma.github.io/Logging_1290/kartor_geotiff/A 47317-2025 georefererad karta.tif", "A 47317-2025")</f>
        <v/>
      </c>
      <c r="AA84">
        <f>HYPERLINK("https://klasma.github.io/Logging_1290/klagomål/A 47317-2025 FSC-klagomål.docx", "A 47317-2025")</f>
        <v/>
      </c>
      <c r="AB84">
        <f>HYPERLINK("https://klasma.github.io/Logging_1290/klagomålsmail/A 47317-2025 FSC-klagomål mail.docx", "A 47317-2025")</f>
        <v/>
      </c>
      <c r="AC84">
        <f>HYPERLINK("https://klasma.github.io/Logging_1290/tillsyn/A 47317-2025 tillsynsbegäran.docx", "A 47317-2025")</f>
        <v/>
      </c>
      <c r="AD84">
        <f>HYPERLINK("https://klasma.github.io/Logging_1290/tillsynsmail/A 47317-2025 tillsynsbegäran mail.docx", "A 47317-2025")</f>
        <v/>
      </c>
    </row>
    <row r="85" ht="15" customHeight="1">
      <c r="A85" t="inlineStr">
        <is>
          <t>A 46931-2025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46321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HYPERLINK("https://klasma.github.io/Logging_1290/artfynd/A 46931-2025 artfynd.xlsx", "A 46931-2025")</f>
        <v/>
      </c>
      <c r="X85">
        <f>HYPERLINK("https://klasma.github.io/Logging_1290/kartor/A 46931-2025 karta.png", "A 46931-2025")</f>
        <v/>
      </c>
      <c r="Y85">
        <f>HYPERLINK("https://klasma.github.io/Logging_1290/kartor_geotiff/A 46931-2025 georefererad karta.tif", "A 46931-2025")</f>
        <v/>
      </c>
      <c r="AA85">
        <f>HYPERLINK("https://klasma.github.io/Logging_1290/klagomål/A 46931-2025 FSC-klagomål.docx", "A 46931-2025")</f>
        <v/>
      </c>
      <c r="AB85">
        <f>HYPERLINK("https://klasma.github.io/Logging_1290/klagomålsmail/A 46931-2025 FSC-klagomål mail.docx", "A 46931-2025")</f>
        <v/>
      </c>
      <c r="AC85">
        <f>HYPERLINK("https://klasma.github.io/Logging_1290/tillsyn/A 46931-2025 tillsynsbegäran.docx", "A 46931-2025")</f>
        <v/>
      </c>
      <c r="AD85">
        <f>HYPERLINK("https://klasma.github.io/Logging_1290/tillsynsmail/A 46931-2025 tillsynsbegäran mail.docx", "A 46931-2025")</f>
        <v/>
      </c>
    </row>
    <row r="86" ht="15" customHeight="1">
      <c r="A86" t="inlineStr">
        <is>
          <t>A 9018-2024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45357</v>
      </c>
      <c r="E86" s="1" t="n">
        <v>46321</v>
      </c>
      <c r="F86" t="inlineStr">
        <is>
          <t>SKÅNE LÄN</t>
        </is>
      </c>
      <c r="G86" t="inlineStr">
        <is>
          <t>KRISTIANSTAD</t>
        </is>
      </c>
      <c r="I86" t="n">
        <v>2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Hedblomster</t>
        </is>
      </c>
      <c r="W86">
        <f>HYPERLINK("https://klasma.github.io/Logging_1290/artfynd/A 9018-2024 artfynd.xlsx", "A 9018-2024")</f>
        <v/>
      </c>
      <c r="X86">
        <f>HYPERLINK("https://klasma.github.io/Logging_1290/kartor/A 9018-2024 karta.png", "A 9018-2024")</f>
        <v/>
      </c>
      <c r="Y86">
        <f>HYPERLINK("https://klasma.github.io/Logging_1290/kartor_geotiff/A 9018-2024 georefererad karta.tif", "A 9018-2024")</f>
        <v/>
      </c>
      <c r="AA86">
        <f>HYPERLINK("https://klasma.github.io/Logging_1290/klagomål/A 9018-2024 FSC-klagomål.docx", "A 9018-2024")</f>
        <v/>
      </c>
      <c r="AB86">
        <f>HYPERLINK("https://klasma.github.io/Logging_1290/klagomålsmail/A 9018-2024 FSC-klagomål mail.docx", "A 9018-2024")</f>
        <v/>
      </c>
      <c r="AC86">
        <f>HYPERLINK("https://klasma.github.io/Logging_1290/tillsyn/A 9018-2024 tillsynsbegäran.docx", "A 9018-2024")</f>
        <v/>
      </c>
      <c r="AD86">
        <f>HYPERLINK("https://klasma.github.io/Logging_1290/tillsynsmail/A 9018-2024 tillsynsbegäran mail.docx", "A 9018-2024")</f>
        <v/>
      </c>
    </row>
    <row r="87" ht="15" customHeight="1">
      <c r="A87" t="inlineStr">
        <is>
          <t>A 49428-2025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46321</v>
      </c>
      <c r="F87" t="inlineStr">
        <is>
          <t>SKÅNE LÄN</t>
        </is>
      </c>
      <c r="G87" t="inlineStr">
        <is>
          <t>KRISTIANSTAD</t>
        </is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Större vattensalamander</t>
        </is>
      </c>
      <c r="W87">
        <f>HYPERLINK("https://klasma.github.io/Logging_1290/artfynd/A 49428-2025 artfynd.xlsx", "A 49428-2025")</f>
        <v/>
      </c>
      <c r="X87">
        <f>HYPERLINK("https://klasma.github.io/Logging_1290/kartor/A 49428-2025 karta.png", "A 49428-2025")</f>
        <v/>
      </c>
      <c r="Y87">
        <f>HYPERLINK("https://klasma.github.io/Logging_1290/kartor_geotiff/A 49428-2025 georefererad karta.tif", "A 49428-2025")</f>
        <v/>
      </c>
      <c r="AA87">
        <f>HYPERLINK("https://klasma.github.io/Logging_1290/klagomål/A 49428-2025 FSC-klagomål.docx", "A 49428-2025")</f>
        <v/>
      </c>
      <c r="AB87">
        <f>HYPERLINK("https://klasma.github.io/Logging_1290/klagomålsmail/A 49428-2025 FSC-klagomål mail.docx", "A 49428-2025")</f>
        <v/>
      </c>
      <c r="AC87">
        <f>HYPERLINK("https://klasma.github.io/Logging_1290/tillsyn/A 49428-2025 tillsynsbegäran.docx", "A 49428-2025")</f>
        <v/>
      </c>
      <c r="AD87">
        <f>HYPERLINK("https://klasma.github.io/Logging_1290/tillsynsmail/A 49428-2025 tillsynsbegäran mail.docx", "A 49428-2025")</f>
        <v/>
      </c>
    </row>
    <row r="88" ht="15" customHeight="1">
      <c r="A88" t="inlineStr">
        <is>
          <t>A 33362-2023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45128</v>
      </c>
      <c r="E88" s="1" t="n">
        <v>46321</v>
      </c>
      <c r="F88" t="inlineStr">
        <is>
          <t>SKÅNE LÄN</t>
        </is>
      </c>
      <c r="G88" t="inlineStr">
        <is>
          <t>KRISTIANSTAD</t>
        </is>
      </c>
      <c r="I88" t="n">
        <v>4.9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Rostfläck</t>
        </is>
      </c>
      <c r="W88">
        <f>HYPERLINK("https://klasma.github.io/Logging_1290/artfynd/A 33362-2023 artfynd.xlsx", "A 33362-2023")</f>
        <v/>
      </c>
      <c r="X88">
        <f>HYPERLINK("https://klasma.github.io/Logging_1290/kartor/A 33362-2023 karta.png", "A 33362-2023")</f>
        <v/>
      </c>
      <c r="Y88">
        <f>HYPERLINK("https://klasma.github.io/Logging_1290/kartor_geotiff/A 33362-2023 georefererad karta.tif", "A 33362-2023")</f>
        <v/>
      </c>
      <c r="AA88">
        <f>HYPERLINK("https://klasma.github.io/Logging_1290/klagomål/A 33362-2023 FSC-klagomål.docx", "A 33362-2023")</f>
        <v/>
      </c>
      <c r="AB88">
        <f>HYPERLINK("https://klasma.github.io/Logging_1290/klagomålsmail/A 33362-2023 FSC-klagomål mail.docx", "A 33362-2023")</f>
        <v/>
      </c>
      <c r="AC88">
        <f>HYPERLINK("https://klasma.github.io/Logging_1290/tillsyn/A 33362-2023 tillsynsbegäran.docx", "A 33362-2023")</f>
        <v/>
      </c>
      <c r="AD88">
        <f>HYPERLINK("https://klasma.github.io/Logging_1290/tillsynsmail/A 33362-2023 tillsynsbegäran mail.docx", "A 33362-2023")</f>
        <v/>
      </c>
    </row>
    <row r="89" ht="15" customHeight="1">
      <c r="A89" t="inlineStr">
        <is>
          <t>A 26965-2023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45093</v>
      </c>
      <c r="E89" s="1" t="n">
        <v>46321</v>
      </c>
      <c r="F89" t="inlineStr">
        <is>
          <t>SKÅNE LÄN</t>
        </is>
      </c>
      <c r="G89" t="inlineStr">
        <is>
          <t>KRISTIANSTAD</t>
        </is>
      </c>
      <c r="H89" t="inlineStr">
        <is>
          <t>Sveaskog</t>
        </is>
      </c>
      <c r="I89" t="n">
        <v>9.9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Sjötåtel</t>
        </is>
      </c>
      <c r="W89">
        <f>HYPERLINK("https://klasma.github.io/Logging_1290/artfynd/A 26965-2023 artfynd.xlsx", "A 26965-2023")</f>
        <v/>
      </c>
      <c r="X89">
        <f>HYPERLINK("https://klasma.github.io/Logging_1290/kartor/A 26965-2023 karta.png", "A 26965-2023")</f>
        <v/>
      </c>
      <c r="Y89">
        <f>HYPERLINK("https://klasma.github.io/Logging_1290/kartor_geotiff/A 26965-2023 georefererad karta.tif", "A 26965-2023")</f>
        <v/>
      </c>
      <c r="AA89">
        <f>HYPERLINK("https://klasma.github.io/Logging_1290/klagomål/A 26965-2023 FSC-klagomål.docx", "A 26965-2023")</f>
        <v/>
      </c>
      <c r="AB89">
        <f>HYPERLINK("https://klasma.github.io/Logging_1290/klagomålsmail/A 26965-2023 FSC-klagomål mail.docx", "A 26965-2023")</f>
        <v/>
      </c>
      <c r="AC89">
        <f>HYPERLINK("https://klasma.github.io/Logging_1290/tillsyn/A 26965-2023 tillsynsbegäran.docx", "A 26965-2023")</f>
        <v/>
      </c>
      <c r="AD89">
        <f>HYPERLINK("https://klasma.github.io/Logging_1290/tillsynsmail/A 26965-2023 tillsynsbegäran mail.docx", "A 26965-2023")</f>
        <v/>
      </c>
    </row>
    <row r="90" ht="15" customHeight="1">
      <c r="A90" t="inlineStr">
        <is>
          <t>A 28342-2024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45477</v>
      </c>
      <c r="E90" s="1" t="n">
        <v>46321</v>
      </c>
      <c r="F90" t="inlineStr">
        <is>
          <t>SKÅNE LÄN</t>
        </is>
      </c>
      <c r="G90" t="inlineStr">
        <is>
          <t>KRISTIANSTAD</t>
        </is>
      </c>
      <c r="I90" t="n">
        <v>3.2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Knölspindel</t>
        </is>
      </c>
      <c r="W90">
        <f>HYPERLINK("https://klasma.github.io/Logging_1290/artfynd/A 28342-2024 artfynd.xlsx", "A 28342-2024")</f>
        <v/>
      </c>
      <c r="X90">
        <f>HYPERLINK("https://klasma.github.io/Logging_1290/kartor/A 28342-2024 karta.png", "A 28342-2024")</f>
        <v/>
      </c>
      <c r="Y90">
        <f>HYPERLINK("https://klasma.github.io/Logging_1290/kartor_geotiff/A 28342-2024 georefererad karta.tif", "A 28342-2024")</f>
        <v/>
      </c>
      <c r="AA90">
        <f>HYPERLINK("https://klasma.github.io/Logging_1290/klagomål/A 28342-2024 FSC-klagomål.docx", "A 28342-2024")</f>
        <v/>
      </c>
      <c r="AB90">
        <f>HYPERLINK("https://klasma.github.io/Logging_1290/klagomålsmail/A 28342-2024 FSC-klagomål mail.docx", "A 28342-2024")</f>
        <v/>
      </c>
      <c r="AC90">
        <f>HYPERLINK("https://klasma.github.io/Logging_1290/tillsyn/A 28342-2024 tillsynsbegäran.docx", "A 28342-2024")</f>
        <v/>
      </c>
      <c r="AD90">
        <f>HYPERLINK("https://klasma.github.io/Logging_1290/tillsynsmail/A 28342-2024 tillsynsbegäran mail.docx", "A 28342-2024")</f>
        <v/>
      </c>
    </row>
    <row r="91" ht="15" customHeight="1">
      <c r="A91" t="inlineStr">
        <is>
          <t>A 58003-2023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46321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Ekskinn</t>
        </is>
      </c>
      <c r="W91">
        <f>HYPERLINK("https://klasma.github.io/Logging_1290/artfynd/A 58003-2023 artfynd.xlsx", "A 58003-2023")</f>
        <v/>
      </c>
      <c r="X91">
        <f>HYPERLINK("https://klasma.github.io/Logging_1290/kartor/A 58003-2023 karta.png", "A 58003-2023")</f>
        <v/>
      </c>
      <c r="Y91">
        <f>HYPERLINK("https://klasma.github.io/Logging_1290/kartor_geotiff/A 58003-2023 georefererad karta.tif", "A 58003-2023")</f>
        <v/>
      </c>
      <c r="AA91">
        <f>HYPERLINK("https://klasma.github.io/Logging_1290/klagomål/A 58003-2023 FSC-klagomål.docx", "A 58003-2023")</f>
        <v/>
      </c>
      <c r="AB91">
        <f>HYPERLINK("https://klasma.github.io/Logging_1290/klagomålsmail/A 58003-2023 FSC-klagomål mail.docx", "A 58003-2023")</f>
        <v/>
      </c>
      <c r="AC91">
        <f>HYPERLINK("https://klasma.github.io/Logging_1290/tillsyn/A 58003-2023 tillsynsbegäran.docx", "A 58003-2023")</f>
        <v/>
      </c>
      <c r="AD91">
        <f>HYPERLINK("https://klasma.github.io/Logging_1290/tillsynsmail/A 58003-2023 tillsynsbegäran mail.docx", "A 58003-2023")</f>
        <v/>
      </c>
    </row>
    <row r="92" ht="15" customHeight="1">
      <c r="A92" t="inlineStr">
        <is>
          <t>A 53189-2025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46321</v>
      </c>
      <c r="F92" t="inlineStr">
        <is>
          <t>SKÅNE LÄN</t>
        </is>
      </c>
      <c r="G92" t="inlineStr">
        <is>
          <t>KRISTIANSTAD</t>
        </is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Igelkott</t>
        </is>
      </c>
      <c r="W92">
        <f>HYPERLINK("https://klasma.github.io/Logging_1290/artfynd/A 53189-2025 artfynd.xlsx", "A 53189-2025")</f>
        <v/>
      </c>
      <c r="X92">
        <f>HYPERLINK("https://klasma.github.io/Logging_1290/kartor/A 53189-2025 karta.png", "A 53189-2025")</f>
        <v/>
      </c>
      <c r="Y92">
        <f>HYPERLINK("https://klasma.github.io/Logging_1290/kartor_geotiff/A 53189-2025 georefererad karta.tif", "A 53189-2025")</f>
        <v/>
      </c>
      <c r="AA92">
        <f>HYPERLINK("https://klasma.github.io/Logging_1290/klagomål/A 53189-2025 FSC-klagomål.docx", "A 53189-2025")</f>
        <v/>
      </c>
      <c r="AB92">
        <f>HYPERLINK("https://klasma.github.io/Logging_1290/klagomålsmail/A 53189-2025 FSC-klagomål mail.docx", "A 53189-2025")</f>
        <v/>
      </c>
      <c r="AC92">
        <f>HYPERLINK("https://klasma.github.io/Logging_1290/tillsyn/A 53189-2025 tillsynsbegäran.docx", "A 53189-2025")</f>
        <v/>
      </c>
      <c r="AD92">
        <f>HYPERLINK("https://klasma.github.io/Logging_1290/tillsynsmail/A 53189-2025 tillsynsbegäran mail.docx", "A 53189-2025")</f>
        <v/>
      </c>
    </row>
    <row r="93" ht="15" customHeight="1">
      <c r="A93" t="inlineStr">
        <is>
          <t>A 53182-2025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45958</v>
      </c>
      <c r="E93" s="1" t="n">
        <v>46321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Entita</t>
        </is>
      </c>
      <c r="W93">
        <f>HYPERLINK("https://klasma.github.io/Logging_1290/artfynd/A 53182-2025 artfynd.xlsx", "A 53182-2025")</f>
        <v/>
      </c>
      <c r="X93">
        <f>HYPERLINK("https://klasma.github.io/Logging_1290/kartor/A 53182-2025 karta.png", "A 53182-2025")</f>
        <v/>
      </c>
      <c r="Y93">
        <f>HYPERLINK("https://klasma.github.io/Logging_1290/kartor_geotiff/A 53182-2025 georefererad karta.tif", "A 53182-2025")</f>
        <v/>
      </c>
      <c r="AA93">
        <f>HYPERLINK("https://klasma.github.io/Logging_1290/klagomål/A 53182-2025 FSC-klagomål.docx", "A 53182-2025")</f>
        <v/>
      </c>
      <c r="AB93">
        <f>HYPERLINK("https://klasma.github.io/Logging_1290/klagomålsmail/A 53182-2025 FSC-klagomål mail.docx", "A 53182-2025")</f>
        <v/>
      </c>
      <c r="AC93">
        <f>HYPERLINK("https://klasma.github.io/Logging_1290/tillsyn/A 53182-2025 tillsynsbegäran.docx", "A 53182-2025")</f>
        <v/>
      </c>
      <c r="AD93">
        <f>HYPERLINK("https://klasma.github.io/Logging_1290/tillsynsmail/A 53182-2025 tillsynsbegäran mail.docx", "A 53182-2025")</f>
        <v/>
      </c>
      <c r="AE93">
        <f>HYPERLINK("https://klasma.github.io/Logging_1290/fåglar/A 53182-2025 prioriterade fågelarter.docx", "A 53182-2025")</f>
        <v/>
      </c>
    </row>
    <row r="94" ht="15" customHeight="1">
      <c r="A94" t="inlineStr">
        <is>
          <t>A 27606-2026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46321</v>
      </c>
      <c r="F94" t="inlineStr">
        <is>
          <t>SKÅNE LÄN</t>
        </is>
      </c>
      <c r="G94" t="inlineStr">
        <is>
          <t>KRISTIANSTAD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2</v>
      </c>
      <c r="U94" t="n">
        <v>0</v>
      </c>
      <c r="V94" s="2" t="inlineStr">
        <is>
          <t>Flodpärlmussla</t>
        </is>
      </c>
      <c r="W94">
        <f>HYPERLINK("https://klasma.github.io/Logging_1290/artfynd/A 27606-2026 artfynd.xlsx", "A 27606-2026")</f>
        <v/>
      </c>
      <c r="X94">
        <f>HYPERLINK("https://klasma.github.io/Logging_1290/kartor/A 27606-2026 karta.png", "A 27606-2026")</f>
        <v/>
      </c>
      <c r="Y94">
        <f>HYPERLINK("https://klasma.github.io/Logging_1290/kartor_geotiff/A 27606-2026 georefererad karta.tif", "A 27606-2026")</f>
        <v/>
      </c>
      <c r="AA94">
        <f>HYPERLINK("https://klasma.github.io/Logging_1290/klagomål/A 27606-2026 FSC-klagomål.docx", "A 27606-2026")</f>
        <v/>
      </c>
      <c r="AB94">
        <f>HYPERLINK("https://klasma.github.io/Logging_1290/klagomålsmail/A 27606-2026 FSC-klagomål mail.docx", "A 27606-2026")</f>
        <v/>
      </c>
      <c r="AC94">
        <f>HYPERLINK("https://klasma.github.io/Logging_1290/tillsyn/A 27606-2026 tillsynsbegäran.docx", "A 27606-2026")</f>
        <v/>
      </c>
      <c r="AD94">
        <f>HYPERLINK("https://klasma.github.io/Logging_1290/tillsynsmail/A 27606-2026 tillsynsbegäran mail.docx", "A 27606-2026")</f>
        <v/>
      </c>
    </row>
    <row r="95" ht="15" customHeight="1">
      <c r="A95" t="inlineStr">
        <is>
          <t>A 33883-2025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45842</v>
      </c>
      <c r="E95" s="1" t="n">
        <v>46321</v>
      </c>
      <c r="F95" t="inlineStr">
        <is>
          <t>SKÅNE LÄN</t>
        </is>
      </c>
      <c r="G95" t="inlineStr">
        <is>
          <t>KRISTIANSTAD</t>
        </is>
      </c>
      <c r="I95" t="n">
        <v>2.3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Stor häxört</t>
        </is>
      </c>
      <c r="W95">
        <f>HYPERLINK("https://klasma.github.io/Logging_1290/artfynd/A 33883-2025 artfynd.xlsx", "A 33883-2025")</f>
        <v/>
      </c>
      <c r="X95">
        <f>HYPERLINK("https://klasma.github.io/Logging_1290/kartor/A 33883-2025 karta.png", "A 33883-2025")</f>
        <v/>
      </c>
      <c r="Y95">
        <f>HYPERLINK("https://klasma.github.io/Logging_1290/kartor_geotiff/A 33883-2025 georefererad karta.tif", "A 33883-2025")</f>
        <v/>
      </c>
      <c r="AA95">
        <f>HYPERLINK("https://klasma.github.io/Logging_1290/klagomål/A 33883-2025 FSC-klagomål.docx", "A 33883-2025")</f>
        <v/>
      </c>
      <c r="AB95">
        <f>HYPERLINK("https://klasma.github.io/Logging_1290/klagomålsmail/A 33883-2025 FSC-klagomål mail.docx", "A 33883-2025")</f>
        <v/>
      </c>
      <c r="AC95">
        <f>HYPERLINK("https://klasma.github.io/Logging_1290/tillsyn/A 33883-2025 tillsynsbegäran.docx", "A 33883-2025")</f>
        <v/>
      </c>
      <c r="AD95">
        <f>HYPERLINK("https://klasma.github.io/Logging_1290/tillsynsmail/A 33883-2025 tillsynsbegäran mail.docx", "A 33883-2025")</f>
        <v/>
      </c>
    </row>
    <row r="96" ht="15" customHeight="1">
      <c r="A96" t="inlineStr">
        <is>
          <t>A 27462-2026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46189</v>
      </c>
      <c r="E96" s="1" t="n">
        <v>46321</v>
      </c>
      <c r="F96" t="inlineStr">
        <is>
          <t>SKÅNE LÄN</t>
        </is>
      </c>
      <c r="G96" t="inlineStr">
        <is>
          <t>KRISTIANSTAD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Skuggsprötmossa</t>
        </is>
      </c>
      <c r="W96">
        <f>HYPERLINK("https://klasma.github.io/Logging_1290/artfynd/A 27462-2026 artfynd.xlsx", "A 27462-2026")</f>
        <v/>
      </c>
      <c r="X96">
        <f>HYPERLINK("https://klasma.github.io/Logging_1290/kartor/A 27462-2026 karta.png", "A 27462-2026")</f>
        <v/>
      </c>
      <c r="Y96">
        <f>HYPERLINK("https://klasma.github.io/Logging_1290/kartor_geotiff/A 27462-2026 georefererad karta.tif", "A 27462-2026")</f>
        <v/>
      </c>
      <c r="AA96">
        <f>HYPERLINK("https://klasma.github.io/Logging_1290/klagomål/A 27462-2026 FSC-klagomål.docx", "A 27462-2026")</f>
        <v/>
      </c>
      <c r="AB96">
        <f>HYPERLINK("https://klasma.github.io/Logging_1290/klagomålsmail/A 27462-2026 FSC-klagomål mail.docx", "A 27462-2026")</f>
        <v/>
      </c>
      <c r="AC96">
        <f>HYPERLINK("https://klasma.github.io/Logging_1290/tillsyn/A 27462-2026 tillsynsbegäran.docx", "A 27462-2026")</f>
        <v/>
      </c>
      <c r="AD96">
        <f>HYPERLINK("https://klasma.github.io/Logging_1290/tillsynsmail/A 27462-2026 tillsynsbegäran mail.docx", "A 27462-2026")</f>
        <v/>
      </c>
    </row>
    <row r="97" ht="15" customHeight="1">
      <c r="A97" t="inlineStr">
        <is>
          <t>A 26243-2024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45468</v>
      </c>
      <c r="E97" s="1" t="n">
        <v>46321</v>
      </c>
      <c r="F97" t="inlineStr">
        <is>
          <t>SKÅNE LÄN</t>
        </is>
      </c>
      <c r="G97" t="inlineStr">
        <is>
          <t>KRISTIANSTAD</t>
        </is>
      </c>
      <c r="I97" t="n">
        <v>7.8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HYPERLINK("https://klasma.github.io/Logging_1290/artfynd/A 26243-2024 artfynd.xlsx", "A 26243-2024")</f>
        <v/>
      </c>
      <c r="X97">
        <f>HYPERLINK("https://klasma.github.io/Logging_1290/kartor/A 26243-2024 karta.png", "A 26243-2024")</f>
        <v/>
      </c>
      <c r="Y97">
        <f>HYPERLINK("https://klasma.github.io/Logging_1290/kartor_geotiff/A 26243-2024 georefererad karta.tif", "A 26243-2024")</f>
        <v/>
      </c>
      <c r="AA97">
        <f>HYPERLINK("https://klasma.github.io/Logging_1290/klagomål/A 26243-2024 FSC-klagomål.docx", "A 26243-2024")</f>
        <v/>
      </c>
      <c r="AB97">
        <f>HYPERLINK("https://klasma.github.io/Logging_1290/klagomålsmail/A 26243-2024 FSC-klagomål mail.docx", "A 26243-2024")</f>
        <v/>
      </c>
      <c r="AC97">
        <f>HYPERLINK("https://klasma.github.io/Logging_1290/tillsyn/A 26243-2024 tillsynsbegäran.docx", "A 26243-2024")</f>
        <v/>
      </c>
      <c r="AD97">
        <f>HYPERLINK("https://klasma.github.io/Logging_1290/tillsynsmail/A 26243-2024 tillsynsbegäran mail.docx", "A 26243-2024")</f>
        <v/>
      </c>
    </row>
    <row r="98" ht="15" customHeight="1">
      <c r="A98" t="inlineStr">
        <is>
          <t>A 58474-2025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46321</v>
      </c>
      <c r="F98" t="inlineStr">
        <is>
          <t>SKÅNE LÄN</t>
        </is>
      </c>
      <c r="G98" t="inlineStr">
        <is>
          <t>KRISTIANSTAD</t>
        </is>
      </c>
      <c r="I98" t="n">
        <v>4.7</v>
      </c>
      <c r="J98" t="n">
        <v>1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Storspov</t>
        </is>
      </c>
      <c r="W98">
        <f>HYPERLINK("https://klasma.github.io/Logging_1290/artfynd/A 58474-2025 artfynd.xlsx", "A 58474-2025")</f>
        <v/>
      </c>
      <c r="X98">
        <f>HYPERLINK("https://klasma.github.io/Logging_1290/kartor/A 58474-2025 karta.png", "A 58474-2025")</f>
        <v/>
      </c>
      <c r="Y98">
        <f>HYPERLINK("https://klasma.github.io/Logging_1290/kartor_geotiff/A 58474-2025 georefererad karta.tif", "A 58474-2025")</f>
        <v/>
      </c>
      <c r="AA98">
        <f>HYPERLINK("https://klasma.github.io/Logging_1290/klagomål/A 58474-2025 FSC-klagomål.docx", "A 58474-2025")</f>
        <v/>
      </c>
      <c r="AB98">
        <f>HYPERLINK("https://klasma.github.io/Logging_1290/klagomålsmail/A 58474-2025 FSC-klagomål mail.docx", "A 58474-2025")</f>
        <v/>
      </c>
      <c r="AC98">
        <f>HYPERLINK("https://klasma.github.io/Logging_1290/tillsyn/A 58474-2025 tillsynsbegäran.docx", "A 58474-2025")</f>
        <v/>
      </c>
      <c r="AD98">
        <f>HYPERLINK("https://klasma.github.io/Logging_1290/tillsynsmail/A 58474-2025 tillsynsbegäran mail.docx", "A 58474-2025")</f>
        <v/>
      </c>
    </row>
    <row r="99" ht="15" customHeight="1">
      <c r="A99" t="inlineStr">
        <is>
          <t>A 52014-2024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45607</v>
      </c>
      <c r="E99" s="1" t="n">
        <v>46321</v>
      </c>
      <c r="F99" t="inlineStr">
        <is>
          <t>SKÅNE LÄN</t>
        </is>
      </c>
      <c r="G99" t="inlineStr">
        <is>
          <t>KRISTIANSTAD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Luddfingerört</t>
        </is>
      </c>
      <c r="W99">
        <f>HYPERLINK("https://klasma.github.io/Logging_1290/artfynd/A 52014-2024 artfynd.xlsx", "A 52014-2024")</f>
        <v/>
      </c>
      <c r="X99">
        <f>HYPERLINK("https://klasma.github.io/Logging_1290/kartor/A 52014-2024 karta.png", "A 52014-2024")</f>
        <v/>
      </c>
      <c r="Y99">
        <f>HYPERLINK("https://klasma.github.io/Logging_1290/kartor_geotiff/A 52014-2024 georefererad karta.tif", "A 52014-2024")</f>
        <v/>
      </c>
      <c r="AA99">
        <f>HYPERLINK("https://klasma.github.io/Logging_1290/klagomål/A 52014-2024 FSC-klagomål.docx", "A 52014-2024")</f>
        <v/>
      </c>
      <c r="AB99">
        <f>HYPERLINK("https://klasma.github.io/Logging_1290/klagomålsmail/A 52014-2024 FSC-klagomål mail.docx", "A 52014-2024")</f>
        <v/>
      </c>
      <c r="AC99">
        <f>HYPERLINK("https://klasma.github.io/Logging_1290/tillsyn/A 52014-2024 tillsynsbegäran.docx", "A 52014-2024")</f>
        <v/>
      </c>
      <c r="AD99">
        <f>HYPERLINK("https://klasma.github.io/Logging_1290/tillsynsmail/A 52014-2024 tillsynsbegäran mail.docx", "A 52014-2024")</f>
        <v/>
      </c>
    </row>
    <row r="100" ht="15" customHeight="1">
      <c r="A100" t="inlineStr">
        <is>
          <t>A 15706-2025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45748</v>
      </c>
      <c r="E100" s="1" t="n">
        <v>46321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Ask</t>
        </is>
      </c>
      <c r="W100">
        <f>HYPERLINK("https://klasma.github.io/Logging_1290/artfynd/A 15706-2025 artfynd.xlsx", "A 15706-2025")</f>
        <v/>
      </c>
      <c r="X100">
        <f>HYPERLINK("https://klasma.github.io/Logging_1290/kartor/A 15706-2025 karta.png", "A 15706-2025")</f>
        <v/>
      </c>
      <c r="Y100">
        <f>HYPERLINK("https://klasma.github.io/Logging_1290/kartor_geotiff/A 15706-2025 georefererad karta.tif", "A 15706-2025")</f>
        <v/>
      </c>
      <c r="AA100">
        <f>HYPERLINK("https://klasma.github.io/Logging_1290/klagomål/A 15706-2025 FSC-klagomål.docx", "A 15706-2025")</f>
        <v/>
      </c>
      <c r="AB100">
        <f>HYPERLINK("https://klasma.github.io/Logging_1290/klagomålsmail/A 15706-2025 FSC-klagomål mail.docx", "A 15706-2025")</f>
        <v/>
      </c>
      <c r="AC100">
        <f>HYPERLINK("https://klasma.github.io/Logging_1290/tillsyn/A 15706-2025 tillsynsbegäran.docx", "A 15706-2025")</f>
        <v/>
      </c>
      <c r="AD100">
        <f>HYPERLINK("https://klasma.github.io/Logging_1290/tillsynsmail/A 15706-2025 tillsynsbegäran mail.docx", "A 15706-2025")</f>
        <v/>
      </c>
    </row>
    <row r="101" ht="15" customHeight="1">
      <c r="A101" t="inlineStr">
        <is>
          <t>A 60006-2025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45993</v>
      </c>
      <c r="E101" s="1" t="n">
        <v>46321</v>
      </c>
      <c r="F101" t="inlineStr">
        <is>
          <t>SKÅNE LÄN</t>
        </is>
      </c>
      <c r="G101" t="inlineStr">
        <is>
          <t>KRISTIANSTAD</t>
        </is>
      </c>
      <c r="H101" t="inlineStr">
        <is>
          <t>Övriga Aktiebolag</t>
        </is>
      </c>
      <c r="I101" t="n">
        <v>4.8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Ekoxe</t>
        </is>
      </c>
      <c r="W101">
        <f>HYPERLINK("https://klasma.github.io/Logging_1290/artfynd/A 60006-2025 artfynd.xlsx", "A 60006-2025")</f>
        <v/>
      </c>
      <c r="X101">
        <f>HYPERLINK("https://klasma.github.io/Logging_1290/kartor/A 60006-2025 karta.png", "A 60006-2025")</f>
        <v/>
      </c>
      <c r="Y101">
        <f>HYPERLINK("https://klasma.github.io/Logging_1290/kartor_geotiff/A 60006-2025 georefererad karta.tif", "A 60006-2025")</f>
        <v/>
      </c>
      <c r="AA101">
        <f>HYPERLINK("https://klasma.github.io/Logging_1290/klagomål/A 60006-2025 FSC-klagomål.docx", "A 60006-2025")</f>
        <v/>
      </c>
      <c r="AB101">
        <f>HYPERLINK("https://klasma.github.io/Logging_1290/klagomålsmail/A 60006-2025 FSC-klagomål mail.docx", "A 60006-2025")</f>
        <v/>
      </c>
      <c r="AC101">
        <f>HYPERLINK("https://klasma.github.io/Logging_1290/tillsyn/A 60006-2025 tillsynsbegäran.docx", "A 60006-2025")</f>
        <v/>
      </c>
      <c r="AD101">
        <f>HYPERLINK("https://klasma.github.io/Logging_1290/tillsynsmail/A 60006-2025 tillsynsbegäran mail.docx", "A 60006-2025")</f>
        <v/>
      </c>
    </row>
    <row r="102" ht="15" customHeight="1">
      <c r="A102" t="inlineStr">
        <is>
          <t>A 34360-2023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45139</v>
      </c>
      <c r="E102" s="1" t="n">
        <v>46321</v>
      </c>
      <c r="F102" t="inlineStr">
        <is>
          <t>SKÅNE LÄN</t>
        </is>
      </c>
      <c r="G102" t="inlineStr">
        <is>
          <t>KRISTIANSTAD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Småvänderot</t>
        </is>
      </c>
      <c r="W102">
        <f>HYPERLINK("https://klasma.github.io/Logging_1290/artfynd/A 34360-2023 artfynd.xlsx", "A 34360-2023")</f>
        <v/>
      </c>
      <c r="X102">
        <f>HYPERLINK("https://klasma.github.io/Logging_1290/kartor/A 34360-2023 karta.png", "A 34360-2023")</f>
        <v/>
      </c>
      <c r="Y102">
        <f>HYPERLINK("https://klasma.github.io/Logging_1290/kartor_geotiff/A 34360-2023 georefererad karta.tif", "A 34360-2023")</f>
        <v/>
      </c>
      <c r="AA102">
        <f>HYPERLINK("https://klasma.github.io/Logging_1290/klagomål/A 34360-2023 FSC-klagomål.docx", "A 34360-2023")</f>
        <v/>
      </c>
      <c r="AB102">
        <f>HYPERLINK("https://klasma.github.io/Logging_1290/klagomålsmail/A 34360-2023 FSC-klagomål mail.docx", "A 34360-2023")</f>
        <v/>
      </c>
      <c r="AC102">
        <f>HYPERLINK("https://klasma.github.io/Logging_1290/tillsyn/A 34360-2023 tillsynsbegäran.docx", "A 34360-2023")</f>
        <v/>
      </c>
      <c r="AD102">
        <f>HYPERLINK("https://klasma.github.io/Logging_1290/tillsynsmail/A 34360-2023 tillsynsbegäran mail.docx", "A 34360-2023")</f>
        <v/>
      </c>
    </row>
    <row r="103" ht="15" customHeight="1">
      <c r="A103" t="inlineStr">
        <is>
          <t>A 28425-2024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45477</v>
      </c>
      <c r="E103" s="1" t="n">
        <v>46321</v>
      </c>
      <c r="F103" t="inlineStr">
        <is>
          <t>SKÅNE LÄN</t>
        </is>
      </c>
      <c r="G103" t="inlineStr">
        <is>
          <t>KRISTIANSTAD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Missne</t>
        </is>
      </c>
      <c r="W103">
        <f>HYPERLINK("https://klasma.github.io/Logging_1290/artfynd/A 28425-2024 artfynd.xlsx", "A 28425-2024")</f>
        <v/>
      </c>
      <c r="X103">
        <f>HYPERLINK("https://klasma.github.io/Logging_1290/kartor/A 28425-2024 karta.png", "A 28425-2024")</f>
        <v/>
      </c>
      <c r="Y103">
        <f>HYPERLINK("https://klasma.github.io/Logging_1290/kartor_geotiff/A 28425-2024 georefererad karta.tif", "A 28425-2024")</f>
        <v/>
      </c>
      <c r="AA103">
        <f>HYPERLINK("https://klasma.github.io/Logging_1290/klagomål/A 28425-2024 FSC-klagomål.docx", "A 28425-2024")</f>
        <v/>
      </c>
      <c r="AB103">
        <f>HYPERLINK("https://klasma.github.io/Logging_1290/klagomålsmail/A 28425-2024 FSC-klagomål mail.docx", "A 28425-2024")</f>
        <v/>
      </c>
      <c r="AC103">
        <f>HYPERLINK("https://klasma.github.io/Logging_1290/tillsyn/A 28425-2024 tillsynsbegäran.docx", "A 28425-2024")</f>
        <v/>
      </c>
      <c r="AD103">
        <f>HYPERLINK("https://klasma.github.io/Logging_1290/tillsynsmail/A 28425-2024 tillsynsbegäran mail.docx", "A 28425-2024")</f>
        <v/>
      </c>
    </row>
    <row r="104" ht="15" customHeight="1">
      <c r="A104" t="inlineStr">
        <is>
          <t>A 61605-2023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45265</v>
      </c>
      <c r="E104" s="1" t="n">
        <v>46321</v>
      </c>
      <c r="F104" t="inlineStr">
        <is>
          <t>SKÅNE LÄN</t>
        </is>
      </c>
      <c r="G104" t="inlineStr">
        <is>
          <t>KRISTIANSTAD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Igelkott</t>
        </is>
      </c>
      <c r="W104">
        <f>HYPERLINK("https://klasma.github.io/Logging_1290/artfynd/A 61605-2023 artfynd.xlsx", "A 61605-2023")</f>
        <v/>
      </c>
      <c r="X104">
        <f>HYPERLINK("https://klasma.github.io/Logging_1290/kartor/A 61605-2023 karta.png", "A 61605-2023")</f>
        <v/>
      </c>
      <c r="Y104">
        <f>HYPERLINK("https://klasma.github.io/Logging_1290/kartor_geotiff/A 61605-2023 georefererad karta.tif", "A 61605-2023")</f>
        <v/>
      </c>
      <c r="AA104">
        <f>HYPERLINK("https://klasma.github.io/Logging_1290/klagomål/A 61605-2023 FSC-klagomål.docx", "A 61605-2023")</f>
        <v/>
      </c>
      <c r="AB104">
        <f>HYPERLINK("https://klasma.github.io/Logging_1290/klagomålsmail/A 61605-2023 FSC-klagomål mail.docx", "A 61605-2023")</f>
        <v/>
      </c>
      <c r="AC104">
        <f>HYPERLINK("https://klasma.github.io/Logging_1290/tillsyn/A 61605-2023 tillsynsbegäran.docx", "A 61605-2023")</f>
        <v/>
      </c>
      <c r="AD104">
        <f>HYPERLINK("https://klasma.github.io/Logging_1290/tillsynsmail/A 61605-2023 tillsynsbegäran mail.docx", "A 61605-2023")</f>
        <v/>
      </c>
    </row>
    <row r="105" ht="15" customHeight="1">
      <c r="A105" t="inlineStr">
        <is>
          <t>A 22272-2024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45446</v>
      </c>
      <c r="E105" s="1" t="n">
        <v>46321</v>
      </c>
      <c r="F105" t="inlineStr">
        <is>
          <t>SKÅNE LÄN</t>
        </is>
      </c>
      <c r="G105" t="inlineStr">
        <is>
          <t>KRISTIANSTAD</t>
        </is>
      </c>
      <c r="I105" t="n">
        <v>5.7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Dubbelnycklar</t>
        </is>
      </c>
      <c r="W105">
        <f>HYPERLINK("https://klasma.github.io/Logging_1290/artfynd/A 22272-2024 artfynd.xlsx", "A 22272-2024")</f>
        <v/>
      </c>
      <c r="X105">
        <f>HYPERLINK("https://klasma.github.io/Logging_1290/kartor/A 22272-2024 karta.png", "A 22272-2024")</f>
        <v/>
      </c>
      <c r="Y105">
        <f>HYPERLINK("https://klasma.github.io/Logging_1290/kartor_geotiff/A 22272-2024 georefererad karta.tif", "A 22272-2024")</f>
        <v/>
      </c>
      <c r="AA105">
        <f>HYPERLINK("https://klasma.github.io/Logging_1290/klagomål/A 22272-2024 FSC-klagomål.docx", "A 22272-2024")</f>
        <v/>
      </c>
      <c r="AB105">
        <f>HYPERLINK("https://klasma.github.io/Logging_1290/klagomålsmail/A 22272-2024 FSC-klagomål mail.docx", "A 22272-2024")</f>
        <v/>
      </c>
      <c r="AC105">
        <f>HYPERLINK("https://klasma.github.io/Logging_1290/tillsyn/A 22272-2024 tillsynsbegäran.docx", "A 22272-2024")</f>
        <v/>
      </c>
      <c r="AD105">
        <f>HYPERLINK("https://klasma.github.io/Logging_1290/tillsynsmail/A 22272-2024 tillsynsbegäran mail.docx", "A 22272-2024")</f>
        <v/>
      </c>
    </row>
    <row r="106" ht="15" customHeight="1">
      <c r="A106" t="inlineStr">
        <is>
          <t>A 31400-2025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45833</v>
      </c>
      <c r="E106" s="1" t="n">
        <v>46321</v>
      </c>
      <c r="F106" t="inlineStr">
        <is>
          <t>SKÅNE LÄN</t>
        </is>
      </c>
      <c r="G106" t="inlineStr">
        <is>
          <t>KRISTIANSTAD</t>
        </is>
      </c>
      <c r="I106" t="n">
        <v>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Lopplummer (aggregat)</t>
        </is>
      </c>
      <c r="W106">
        <f>HYPERLINK("https://klasma.github.io/Logging_1290/artfynd/A 31400-2025 artfynd.xlsx", "A 31400-2025")</f>
        <v/>
      </c>
      <c r="X106">
        <f>HYPERLINK("https://klasma.github.io/Logging_1290/kartor/A 31400-2025 karta.png", "A 31400-2025")</f>
        <v/>
      </c>
      <c r="Y106">
        <f>HYPERLINK("https://klasma.github.io/Logging_1290/kartor_geotiff/A 31400-2025 georefererad karta.tif", "A 31400-2025")</f>
        <v/>
      </c>
      <c r="AA106">
        <f>HYPERLINK("https://klasma.github.io/Logging_1290/klagomål/A 31400-2025 FSC-klagomål.docx", "A 31400-2025")</f>
        <v/>
      </c>
      <c r="AB106">
        <f>HYPERLINK("https://klasma.github.io/Logging_1290/klagomålsmail/A 31400-2025 FSC-klagomål mail.docx", "A 31400-2025")</f>
        <v/>
      </c>
      <c r="AC106">
        <f>HYPERLINK("https://klasma.github.io/Logging_1290/tillsyn/A 31400-2025 tillsynsbegäran.docx", "A 31400-2025")</f>
        <v/>
      </c>
      <c r="AD106">
        <f>HYPERLINK("https://klasma.github.io/Logging_1290/tillsynsmail/A 31400-2025 tillsynsbegäran mail.docx", "A 31400-2025")</f>
        <v/>
      </c>
    </row>
    <row r="107" ht="15" customHeight="1">
      <c r="A107" t="inlineStr">
        <is>
          <t>A 39238-2026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46287</v>
      </c>
      <c r="E107" s="1" t="n">
        <v>46321</v>
      </c>
      <c r="F107" t="inlineStr">
        <is>
          <t>SKÅNE LÄN</t>
        </is>
      </c>
      <c r="G107" t="inlineStr">
        <is>
          <t>KRISTIANSTAD</t>
        </is>
      </c>
      <c r="H107" t="inlineStr">
        <is>
          <t>Sveaskog</t>
        </is>
      </c>
      <c r="I107" t="n">
        <v>4.5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Grönvit nattviol</t>
        </is>
      </c>
      <c r="W107">
        <f>HYPERLINK("https://klasma.github.io/Logging_1290/artfynd/A 39238-2026 artfynd.xlsx", "A 39238-2026")</f>
        <v/>
      </c>
      <c r="X107">
        <f>HYPERLINK("https://klasma.github.io/Logging_1290/kartor/A 39238-2026 karta.png", "A 39238-2026")</f>
        <v/>
      </c>
      <c r="Y107">
        <f>HYPERLINK("https://klasma.github.io/Logging_1290/kartor_geotiff/A 39238-2026 georefererad karta.tif", "A 39238-2026")</f>
        <v/>
      </c>
      <c r="AA107">
        <f>HYPERLINK("https://klasma.github.io/Logging_1290/klagomål/A 39238-2026 FSC-klagomål.docx", "A 39238-2026")</f>
        <v/>
      </c>
      <c r="AB107">
        <f>HYPERLINK("https://klasma.github.io/Logging_1290/klagomålsmail/A 39238-2026 FSC-klagomål mail.docx", "A 39238-2026")</f>
        <v/>
      </c>
      <c r="AC107">
        <f>HYPERLINK("https://klasma.github.io/Logging_1290/tillsyn/A 39238-2026 tillsynsbegäran.docx", "A 39238-2026")</f>
        <v/>
      </c>
      <c r="AD107">
        <f>HYPERLINK("https://klasma.github.io/Logging_1290/tillsynsmail/A 39238-2026 tillsynsbegäran mail.docx", "A 39238-2026")</f>
        <v/>
      </c>
    </row>
    <row r="108" ht="15" customHeight="1">
      <c r="A108" t="inlineStr">
        <is>
          <t>A 50702-2025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45946</v>
      </c>
      <c r="E108" s="1" t="n">
        <v>46321</v>
      </c>
      <c r="F108" t="inlineStr">
        <is>
          <t>SKÅNE LÄN</t>
        </is>
      </c>
      <c r="G108" t="inlineStr">
        <is>
          <t>KRISTIANSTAD</t>
        </is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Guldlockmossa</t>
        </is>
      </c>
      <c r="W108">
        <f>HYPERLINK("https://klasma.github.io/Logging_1290/artfynd/A 50702-2025 artfynd.xlsx", "A 50702-2025")</f>
        <v/>
      </c>
      <c r="X108">
        <f>HYPERLINK("https://klasma.github.io/Logging_1290/kartor/A 50702-2025 karta.png", "A 50702-2025")</f>
        <v/>
      </c>
      <c r="Y108">
        <f>HYPERLINK("https://klasma.github.io/Logging_1290/kartor_geotiff/A 50702-2025 georefererad karta.tif", "A 50702-2025")</f>
        <v/>
      </c>
      <c r="AA108">
        <f>HYPERLINK("https://klasma.github.io/Logging_1290/klagomål/A 50702-2025 FSC-klagomål.docx", "A 50702-2025")</f>
        <v/>
      </c>
      <c r="AB108">
        <f>HYPERLINK("https://klasma.github.io/Logging_1290/klagomålsmail/A 50702-2025 FSC-klagomål mail.docx", "A 50702-2025")</f>
        <v/>
      </c>
      <c r="AC108">
        <f>HYPERLINK("https://klasma.github.io/Logging_1290/tillsyn/A 50702-2025 tillsynsbegäran.docx", "A 50702-2025")</f>
        <v/>
      </c>
      <c r="AD108">
        <f>HYPERLINK("https://klasma.github.io/Logging_1290/tillsynsmail/A 50702-2025 tillsynsbegäran mail.docx", "A 50702-2025")</f>
        <v/>
      </c>
    </row>
    <row r="109" ht="15" customHeight="1">
      <c r="A109" t="inlineStr">
        <is>
          <t>A 34096-2025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45845</v>
      </c>
      <c r="E109" s="1" t="n">
        <v>46321</v>
      </c>
      <c r="F109" t="inlineStr">
        <is>
          <t>SKÅNE LÄN</t>
        </is>
      </c>
      <c r="G109" t="inlineStr">
        <is>
          <t>KRISTIANSTAD</t>
        </is>
      </c>
      <c r="I109" t="n">
        <v>6.5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Dunmossa</t>
        </is>
      </c>
      <c r="W109">
        <f>HYPERLINK("https://klasma.github.io/Logging_1290/artfynd/A 34096-2025 artfynd.xlsx", "A 34096-2025")</f>
        <v/>
      </c>
      <c r="X109">
        <f>HYPERLINK("https://klasma.github.io/Logging_1290/kartor/A 34096-2025 karta.png", "A 34096-2025")</f>
        <v/>
      </c>
      <c r="Y109">
        <f>HYPERLINK("https://klasma.github.io/Logging_1290/kartor_geotiff/A 34096-2025 georefererad karta.tif", "A 34096-2025")</f>
        <v/>
      </c>
      <c r="AA109">
        <f>HYPERLINK("https://klasma.github.io/Logging_1290/klagomål/A 34096-2025 FSC-klagomål.docx", "A 34096-2025")</f>
        <v/>
      </c>
      <c r="AB109">
        <f>HYPERLINK("https://klasma.github.io/Logging_1290/klagomålsmail/A 34096-2025 FSC-klagomål mail.docx", "A 34096-2025")</f>
        <v/>
      </c>
      <c r="AC109">
        <f>HYPERLINK("https://klasma.github.io/Logging_1290/tillsyn/A 34096-2025 tillsynsbegäran.docx", "A 34096-2025")</f>
        <v/>
      </c>
      <c r="AD109">
        <f>HYPERLINK("https://klasma.github.io/Logging_1290/tillsynsmail/A 34096-2025 tillsynsbegäran mail.docx", "A 34096-2025")</f>
        <v/>
      </c>
    </row>
    <row r="110" ht="15" customHeight="1">
      <c r="A110" t="inlineStr">
        <is>
          <t>A 27234-2025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46321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27234-2025 artfynd.xlsx", "A 27234-2025")</f>
        <v/>
      </c>
      <c r="X110">
        <f>HYPERLINK("https://klasma.github.io/Logging_1290/kartor/A 27234-2025 karta.png", "A 27234-2025")</f>
        <v/>
      </c>
      <c r="Y110">
        <f>HYPERLINK("https://klasma.github.io/Logging_1290/kartor_geotiff/A 27234-2025 georefererad karta.tif", "A 27234-2025")</f>
        <v/>
      </c>
      <c r="AA110">
        <f>HYPERLINK("https://klasma.github.io/Logging_1290/klagomål/A 27234-2025 FSC-klagomål.docx", "A 27234-2025")</f>
        <v/>
      </c>
      <c r="AB110">
        <f>HYPERLINK("https://klasma.github.io/Logging_1290/klagomålsmail/A 27234-2025 FSC-klagomål mail.docx", "A 27234-2025")</f>
        <v/>
      </c>
      <c r="AC110">
        <f>HYPERLINK("https://klasma.github.io/Logging_1290/tillsyn/A 27234-2025 tillsynsbegäran.docx", "A 27234-2025")</f>
        <v/>
      </c>
      <c r="AD110">
        <f>HYPERLINK("https://klasma.github.io/Logging_1290/tillsynsmail/A 27234-2025 tillsynsbegäran mail.docx", "A 27234-2025")</f>
        <v/>
      </c>
    </row>
    <row r="111" ht="15" customHeight="1">
      <c r="A111" t="inlineStr">
        <is>
          <t>A 34113-2026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46253</v>
      </c>
      <c r="E111" s="1" t="n">
        <v>46321</v>
      </c>
      <c r="F111" t="inlineStr">
        <is>
          <t>SKÅNE LÄN</t>
        </is>
      </c>
      <c r="G111" t="inlineStr">
        <is>
          <t>KRISTIANSTAD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Småvänderot</t>
        </is>
      </c>
      <c r="W111">
        <f>HYPERLINK("https://klasma.github.io/Logging_1290/artfynd/A 34113-2026 artfynd.xlsx", "A 34113-2026")</f>
        <v/>
      </c>
      <c r="X111">
        <f>HYPERLINK("https://klasma.github.io/Logging_1290/kartor/A 34113-2026 karta.png", "A 34113-2026")</f>
        <v/>
      </c>
      <c r="Y111">
        <f>HYPERLINK("https://klasma.github.io/Logging_1290/kartor_geotiff/A 34113-2026 georefererad karta.tif", "A 34113-2026")</f>
        <v/>
      </c>
      <c r="AA111">
        <f>HYPERLINK("https://klasma.github.io/Logging_1290/klagomål/A 34113-2026 FSC-klagomål.docx", "A 34113-2026")</f>
        <v/>
      </c>
      <c r="AB111">
        <f>HYPERLINK("https://klasma.github.io/Logging_1290/klagomålsmail/A 34113-2026 FSC-klagomål mail.docx", "A 34113-2026")</f>
        <v/>
      </c>
      <c r="AC111">
        <f>HYPERLINK("https://klasma.github.io/Logging_1290/tillsyn/A 34113-2026 tillsynsbegäran.docx", "A 34113-2026")</f>
        <v/>
      </c>
      <c r="AD111">
        <f>HYPERLINK("https://klasma.github.io/Logging_1290/tillsynsmail/A 34113-2026 tillsynsbegäran mail.docx", "A 34113-2026")</f>
        <v/>
      </c>
    </row>
    <row r="112" ht="15" customHeight="1">
      <c r="A112" t="inlineStr">
        <is>
          <t>A 32219-2025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45835</v>
      </c>
      <c r="E112" s="1" t="n">
        <v>46321</v>
      </c>
      <c r="F112" t="inlineStr">
        <is>
          <t>SKÅNE LÄN</t>
        </is>
      </c>
      <c r="G112" t="inlineStr">
        <is>
          <t>KRISTIANSTAD</t>
        </is>
      </c>
      <c r="I112" t="n">
        <v>2.6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Ägretthäger</t>
        </is>
      </c>
      <c r="W112">
        <f>HYPERLINK("https://klasma.github.io/Logging_1290/artfynd/A 32219-2025 artfynd.xlsx", "A 32219-2025")</f>
        <v/>
      </c>
      <c r="X112">
        <f>HYPERLINK("https://klasma.github.io/Logging_1290/kartor/A 32219-2025 karta.png", "A 32219-2025")</f>
        <v/>
      </c>
      <c r="Y112">
        <f>HYPERLINK("https://klasma.github.io/Logging_1290/kartor_geotiff/A 32219-2025 georefererad karta.tif", "A 32219-2025")</f>
        <v/>
      </c>
      <c r="AA112">
        <f>HYPERLINK("https://klasma.github.io/Logging_1290/klagomål/A 32219-2025 FSC-klagomål.docx", "A 32219-2025")</f>
        <v/>
      </c>
      <c r="AB112">
        <f>HYPERLINK("https://klasma.github.io/Logging_1290/klagomålsmail/A 32219-2025 FSC-klagomål mail.docx", "A 32219-2025")</f>
        <v/>
      </c>
      <c r="AC112">
        <f>HYPERLINK("https://klasma.github.io/Logging_1290/tillsyn/A 32219-2025 tillsynsbegäran.docx", "A 32219-2025")</f>
        <v/>
      </c>
      <c r="AD112">
        <f>HYPERLINK("https://klasma.github.io/Logging_1290/tillsynsmail/A 32219-2025 tillsynsbegäran mail.docx", "A 32219-2025")</f>
        <v/>
      </c>
      <c r="AE112">
        <f>HYPERLINK("https://klasma.github.io/Logging_1290/fåglar/A 32219-2025 prioriterade fågelarter.docx", "A 32219-2025")</f>
        <v/>
      </c>
    </row>
    <row r="113" ht="15" customHeight="1">
      <c r="A113" t="inlineStr">
        <is>
          <t>A 31616-2024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45506</v>
      </c>
      <c r="E113" s="1" t="n">
        <v>46321</v>
      </c>
      <c r="F113" t="inlineStr">
        <is>
          <t>SKÅNE LÄN</t>
        </is>
      </c>
      <c r="G113" t="inlineStr">
        <is>
          <t>KRISTIANSTAD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Crunoecia irrorata</t>
        </is>
      </c>
      <c r="W113">
        <f>HYPERLINK("https://klasma.github.io/Logging_1290/artfynd/A 31616-2024 artfynd.xlsx", "A 31616-2024")</f>
        <v/>
      </c>
      <c r="X113">
        <f>HYPERLINK("https://klasma.github.io/Logging_1290/kartor/A 31616-2024 karta.png", "A 31616-2024")</f>
        <v/>
      </c>
      <c r="Y113">
        <f>HYPERLINK("https://klasma.github.io/Logging_1290/kartor_geotiff/A 31616-2024 georefererad karta.tif", "A 31616-2024")</f>
        <v/>
      </c>
      <c r="AA113">
        <f>HYPERLINK("https://klasma.github.io/Logging_1290/klagomål/A 31616-2024 FSC-klagomål.docx", "A 31616-2024")</f>
        <v/>
      </c>
      <c r="AB113">
        <f>HYPERLINK("https://klasma.github.io/Logging_1290/klagomålsmail/A 31616-2024 FSC-klagomål mail.docx", "A 31616-2024")</f>
        <v/>
      </c>
      <c r="AC113">
        <f>HYPERLINK("https://klasma.github.io/Logging_1290/tillsyn/A 31616-2024 tillsynsbegäran.docx", "A 31616-2024")</f>
        <v/>
      </c>
      <c r="AD113">
        <f>HYPERLINK("https://klasma.github.io/Logging_1290/tillsynsmail/A 31616-2024 tillsynsbegäran mail.docx", "A 31616-2024")</f>
        <v/>
      </c>
    </row>
    <row r="114" ht="15" customHeight="1">
      <c r="A114" t="inlineStr">
        <is>
          <t>A 16783-2025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46321</v>
      </c>
      <c r="F114" t="inlineStr">
        <is>
          <t>SKÅNE LÄN</t>
        </is>
      </c>
      <c r="G114" t="inlineStr">
        <is>
          <t>KRISTIANSTAD</t>
        </is>
      </c>
      <c r="I114" t="n">
        <v>20.2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Öring</t>
        </is>
      </c>
      <c r="W114">
        <f>HYPERLINK("https://klasma.github.io/Logging_1290/artfynd/A 16783-2025 artfynd.xlsx", "A 16783-2025")</f>
        <v/>
      </c>
      <c r="X114">
        <f>HYPERLINK("https://klasma.github.io/Logging_1290/kartor/A 16783-2025 karta.png", "A 16783-2025")</f>
        <v/>
      </c>
      <c r="Y114">
        <f>HYPERLINK("https://klasma.github.io/Logging_1290/kartor_geotiff/A 16783-2025 georefererad karta.tif", "A 16783-2025")</f>
        <v/>
      </c>
      <c r="AA114">
        <f>HYPERLINK("https://klasma.github.io/Logging_1290/klagomål/A 16783-2025 FSC-klagomål.docx", "A 16783-2025")</f>
        <v/>
      </c>
      <c r="AB114">
        <f>HYPERLINK("https://klasma.github.io/Logging_1290/klagomålsmail/A 16783-2025 FSC-klagomål mail.docx", "A 16783-2025")</f>
        <v/>
      </c>
      <c r="AC114">
        <f>HYPERLINK("https://klasma.github.io/Logging_1290/tillsyn/A 16783-2025 tillsynsbegäran.docx", "A 16783-2025")</f>
        <v/>
      </c>
      <c r="AD114">
        <f>HYPERLINK("https://klasma.github.io/Logging_1290/tillsynsmail/A 16783-2025 tillsynsbegäran mail.docx", "A 16783-2025")</f>
        <v/>
      </c>
    </row>
    <row r="115" ht="15" customHeight="1">
      <c r="A115" t="inlineStr">
        <is>
          <t>A 16079-2026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46321</v>
      </c>
      <c r="F115" t="inlineStr">
        <is>
          <t>SKÅNE LÄN</t>
        </is>
      </c>
      <c r="G115" t="inlineStr">
        <is>
          <t>KRISTIANSTAD</t>
        </is>
      </c>
      <c r="I115" t="n">
        <v>13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3</v>
      </c>
      <c r="U115" t="n">
        <v>2</v>
      </c>
      <c r="V115" s="2" t="inlineStr">
        <is>
          <t>Småvänderot</t>
        </is>
      </c>
      <c r="W115">
        <f>HYPERLINK("https://klasma.github.io/Logging_1290/artfynd/A 16079-2026 artfynd.xlsx", "A 16079-2026")</f>
        <v/>
      </c>
      <c r="X115">
        <f>HYPERLINK("https://klasma.github.io/Logging_1290/kartor/A 16079-2026 karta.png", "A 16079-2026")</f>
        <v/>
      </c>
      <c r="Y115">
        <f>HYPERLINK("https://klasma.github.io/Logging_1290/kartor_geotiff/A 16079-2026 georefererad karta.tif", "A 16079-2026")</f>
        <v/>
      </c>
      <c r="AA115">
        <f>HYPERLINK("https://klasma.github.io/Logging_1290/klagomål/A 16079-2026 FSC-klagomål.docx", "A 16079-2026")</f>
        <v/>
      </c>
      <c r="AB115">
        <f>HYPERLINK("https://klasma.github.io/Logging_1290/klagomålsmail/A 16079-2026 FSC-klagomål mail.docx", "A 16079-2026")</f>
        <v/>
      </c>
      <c r="AC115">
        <f>HYPERLINK("https://klasma.github.io/Logging_1290/tillsyn/A 16079-2026 tillsynsbegäran.docx", "A 16079-2026")</f>
        <v/>
      </c>
      <c r="AD115">
        <f>HYPERLINK("https://klasma.github.io/Logging_1290/tillsynsmail/A 16079-2026 tillsynsbegäran mail.docx", "A 16079-2026")</f>
        <v/>
      </c>
    </row>
    <row r="116" ht="15" customHeight="1">
      <c r="A116" t="inlineStr">
        <is>
          <t>A 44582-2022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44840</v>
      </c>
      <c r="E116" s="1" t="n">
        <v>46321</v>
      </c>
      <c r="F116" t="inlineStr">
        <is>
          <t>SKÅNE LÄN</t>
        </is>
      </c>
      <c r="G116" t="inlineStr">
        <is>
          <t>KRISTIANSTAD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Orangepudrad klotterlav</t>
        </is>
      </c>
      <c r="W116">
        <f>HYPERLINK("https://klasma.github.io/Logging_1290/artfynd/A 44582-2022 artfynd.xlsx", "A 44582-2022")</f>
        <v/>
      </c>
      <c r="X116">
        <f>HYPERLINK("https://klasma.github.io/Logging_1290/kartor/A 44582-2022 karta.png", "A 44582-2022")</f>
        <v/>
      </c>
      <c r="Y116">
        <f>HYPERLINK("https://klasma.github.io/Logging_1290/kartor_geotiff/A 44582-2022 georefererad karta.tif", "A 44582-2022")</f>
        <v/>
      </c>
      <c r="AA116">
        <f>HYPERLINK("https://klasma.github.io/Logging_1290/klagomål/A 44582-2022 FSC-klagomål.docx", "A 44582-2022")</f>
        <v/>
      </c>
      <c r="AB116">
        <f>HYPERLINK("https://klasma.github.io/Logging_1290/klagomålsmail/A 44582-2022 FSC-klagomål mail.docx", "A 44582-2022")</f>
        <v/>
      </c>
      <c r="AC116">
        <f>HYPERLINK("https://klasma.github.io/Logging_1290/tillsyn/A 44582-2022 tillsynsbegäran.docx", "A 44582-2022")</f>
        <v/>
      </c>
      <c r="AD116">
        <f>HYPERLINK("https://klasma.github.io/Logging_1290/tillsynsmail/A 44582-2022 tillsynsbegäran mail.docx", "A 44582-2022")</f>
        <v/>
      </c>
    </row>
    <row r="117" ht="15" customHeight="1">
      <c r="A117" t="inlineStr">
        <is>
          <t>A 32101-2024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45511</v>
      </c>
      <c r="E117" s="1" t="n">
        <v>46321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Skogsknipprot</t>
        </is>
      </c>
      <c r="W117">
        <f>HYPERLINK("https://klasma.github.io/Logging_1290/artfynd/A 32101-2024 artfynd.xlsx", "A 32101-2024")</f>
        <v/>
      </c>
      <c r="X117">
        <f>HYPERLINK("https://klasma.github.io/Logging_1290/kartor/A 32101-2024 karta.png", "A 32101-2024")</f>
        <v/>
      </c>
      <c r="Y117">
        <f>HYPERLINK("https://klasma.github.io/Logging_1290/kartor_geotiff/A 32101-2024 georefererad karta.tif", "A 32101-2024")</f>
        <v/>
      </c>
      <c r="AA117">
        <f>HYPERLINK("https://klasma.github.io/Logging_1290/klagomål/A 32101-2024 FSC-klagomål.docx", "A 32101-2024")</f>
        <v/>
      </c>
      <c r="AB117">
        <f>HYPERLINK("https://klasma.github.io/Logging_1290/klagomålsmail/A 32101-2024 FSC-klagomål mail.docx", "A 32101-2024")</f>
        <v/>
      </c>
      <c r="AC117">
        <f>HYPERLINK("https://klasma.github.io/Logging_1290/tillsyn/A 32101-2024 tillsynsbegäran.docx", "A 32101-2024")</f>
        <v/>
      </c>
      <c r="AD117">
        <f>HYPERLINK("https://klasma.github.io/Logging_1290/tillsynsmail/A 32101-2024 tillsynsbegäran mail.docx", "A 32101-2024")</f>
        <v/>
      </c>
    </row>
    <row r="118" ht="15" customHeight="1">
      <c r="A118" t="inlineStr">
        <is>
          <t>A 19704-2026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46134</v>
      </c>
      <c r="E118" s="1" t="n">
        <v>46321</v>
      </c>
      <c r="F118" t="inlineStr">
        <is>
          <t>SKÅNE LÄN</t>
        </is>
      </c>
      <c r="G118" t="inlineStr">
        <is>
          <t>KRISTIANSTAD</t>
        </is>
      </c>
      <c r="H118" t="inlineStr">
        <is>
          <t>Övriga Aktiebolag</t>
        </is>
      </c>
      <c r="I118" t="n">
        <v>6.3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2</v>
      </c>
      <c r="U118" t="n">
        <v>0</v>
      </c>
      <c r="V118" s="2" t="inlineStr">
        <is>
          <t>Desmeknopp</t>
        </is>
      </c>
      <c r="W118">
        <f>HYPERLINK("https://klasma.github.io/Logging_1290/artfynd/A 19704-2026 artfynd.xlsx", "A 19704-2026")</f>
        <v/>
      </c>
      <c r="X118">
        <f>HYPERLINK("https://klasma.github.io/Logging_1290/kartor/A 19704-2026 karta.png", "A 19704-2026")</f>
        <v/>
      </c>
      <c r="Y118">
        <f>HYPERLINK("https://klasma.github.io/Logging_1290/kartor_geotiff/A 19704-2026 georefererad karta.tif", "A 19704-2026")</f>
        <v/>
      </c>
      <c r="AA118">
        <f>HYPERLINK("https://klasma.github.io/Logging_1290/klagomål/A 19704-2026 FSC-klagomål.docx", "A 19704-2026")</f>
        <v/>
      </c>
      <c r="AB118">
        <f>HYPERLINK("https://klasma.github.io/Logging_1290/klagomålsmail/A 19704-2026 FSC-klagomål mail.docx", "A 19704-2026")</f>
        <v/>
      </c>
      <c r="AC118">
        <f>HYPERLINK("https://klasma.github.io/Logging_1290/tillsyn/A 19704-2026 tillsynsbegäran.docx", "A 19704-2026")</f>
        <v/>
      </c>
      <c r="AD118">
        <f>HYPERLINK("https://klasma.github.io/Logging_1290/tillsynsmail/A 19704-2026 tillsynsbegäran mail.docx", "A 19704-2026")</f>
        <v/>
      </c>
    </row>
    <row r="119" ht="15" customHeight="1">
      <c r="A119" t="inlineStr">
        <is>
          <t>A 45495-2024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45577</v>
      </c>
      <c r="E119" s="1" t="n">
        <v>46321</v>
      </c>
      <c r="F119" t="inlineStr">
        <is>
          <t>SKÅNE LÄN</t>
        </is>
      </c>
      <c r="G119" t="inlineStr">
        <is>
          <t>KRISTIANSTAD</t>
        </is>
      </c>
      <c r="I119" t="n">
        <v>9.1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Koralltaggsvamp</t>
        </is>
      </c>
      <c r="W119">
        <f>HYPERLINK("https://klasma.github.io/Logging_1290/artfynd/A 45495-2024 artfynd.xlsx", "A 45495-2024")</f>
        <v/>
      </c>
      <c r="X119">
        <f>HYPERLINK("https://klasma.github.io/Logging_1290/kartor/A 45495-2024 karta.png", "A 45495-2024")</f>
        <v/>
      </c>
      <c r="Y119">
        <f>HYPERLINK("https://klasma.github.io/Logging_1290/kartor_geotiff/A 45495-2024 georefererad karta.tif", "A 45495-2024")</f>
        <v/>
      </c>
      <c r="AA119">
        <f>HYPERLINK("https://klasma.github.io/Logging_1290/klagomål/A 45495-2024 FSC-klagomål.docx", "A 45495-2024")</f>
        <v/>
      </c>
      <c r="AB119">
        <f>HYPERLINK("https://klasma.github.io/Logging_1290/klagomålsmail/A 45495-2024 FSC-klagomål mail.docx", "A 45495-2024")</f>
        <v/>
      </c>
      <c r="AC119">
        <f>HYPERLINK("https://klasma.github.io/Logging_1290/tillsyn/A 45495-2024 tillsynsbegäran.docx", "A 45495-2024")</f>
        <v/>
      </c>
      <c r="AD119">
        <f>HYPERLINK("https://klasma.github.io/Logging_1290/tillsynsmail/A 45495-2024 tillsynsbegäran mail.docx", "A 45495-2024")</f>
        <v/>
      </c>
    </row>
    <row r="120" ht="15" customHeight="1">
      <c r="A120" t="inlineStr">
        <is>
          <t>A 37725-2026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46279</v>
      </c>
      <c r="E120" s="1" t="n">
        <v>46321</v>
      </c>
      <c r="F120" t="inlineStr">
        <is>
          <t>SKÅNE LÄN</t>
        </is>
      </c>
      <c r="G120" t="inlineStr">
        <is>
          <t>KRISTIANSTAD</t>
        </is>
      </c>
      <c r="I120" t="n">
        <v>3.2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Mindre flugsnappare</t>
        </is>
      </c>
      <c r="W120">
        <f>HYPERLINK("https://klasma.github.io/Logging_1290/artfynd/A 37725-2026 artfynd.xlsx", "A 37725-2026")</f>
        <v/>
      </c>
      <c r="X120">
        <f>HYPERLINK("https://klasma.github.io/Logging_1290/kartor/A 37725-2026 karta.png", "A 37725-2026")</f>
        <v/>
      </c>
      <c r="Y120">
        <f>HYPERLINK("https://klasma.github.io/Logging_1290/kartor_geotiff/A 37725-2026 georefererad karta.tif", "A 37725-2026")</f>
        <v/>
      </c>
      <c r="AA120">
        <f>HYPERLINK("https://klasma.github.io/Logging_1290/klagomål/A 37725-2026 FSC-klagomål.docx", "A 37725-2026")</f>
        <v/>
      </c>
      <c r="AB120">
        <f>HYPERLINK("https://klasma.github.io/Logging_1290/klagomålsmail/A 37725-2026 FSC-klagomål mail.docx", "A 37725-2026")</f>
        <v/>
      </c>
      <c r="AC120">
        <f>HYPERLINK("https://klasma.github.io/Logging_1290/tillsyn/A 37725-2026 tillsynsbegäran.docx", "A 37725-2026")</f>
        <v/>
      </c>
      <c r="AD120">
        <f>HYPERLINK("https://klasma.github.io/Logging_1290/tillsynsmail/A 37725-2026 tillsynsbegäran mail.docx", "A 37725-2026")</f>
        <v/>
      </c>
      <c r="AE120">
        <f>HYPERLINK("https://klasma.github.io/Logging_1290/fåglar/A 37725-2026 prioriterade fågelarter.docx", "A 37725-2026")</f>
        <v/>
      </c>
    </row>
    <row r="121" ht="15" customHeight="1">
      <c r="A121" t="inlineStr">
        <is>
          <t>A 8208-2023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44971</v>
      </c>
      <c r="E121" s="1" t="n">
        <v>46321</v>
      </c>
      <c r="F121" t="inlineStr">
        <is>
          <t>SKÅNE LÄN</t>
        </is>
      </c>
      <c r="G121" t="inlineStr">
        <is>
          <t>KRISTIANSTAD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Flodpärlmussla</t>
        </is>
      </c>
      <c r="W121">
        <f>HYPERLINK("https://klasma.github.io/Logging_1290/artfynd/A 8208-2023 artfynd.xlsx", "A 8208-2023")</f>
        <v/>
      </c>
      <c r="X121">
        <f>HYPERLINK("https://klasma.github.io/Logging_1290/kartor/A 8208-2023 karta.png", "A 8208-2023")</f>
        <v/>
      </c>
      <c r="Y121">
        <f>HYPERLINK("https://klasma.github.io/Logging_1290/kartor_geotiff/A 8208-2023 georefererad karta.tif", "A 8208-2023")</f>
        <v/>
      </c>
      <c r="AA121">
        <f>HYPERLINK("https://klasma.github.io/Logging_1290/klagomål/A 8208-2023 FSC-klagomål.docx", "A 8208-2023")</f>
        <v/>
      </c>
      <c r="AB121">
        <f>HYPERLINK("https://klasma.github.io/Logging_1290/klagomålsmail/A 8208-2023 FSC-klagomål mail.docx", "A 8208-2023")</f>
        <v/>
      </c>
      <c r="AC121">
        <f>HYPERLINK("https://klasma.github.io/Logging_1290/tillsyn/A 8208-2023 tillsynsbegäran.docx", "A 8208-2023")</f>
        <v/>
      </c>
      <c r="AD121">
        <f>HYPERLINK("https://klasma.github.io/Logging_1290/tillsynsmail/A 8208-2023 tillsynsbegäran mail.docx", "A 8208-2023")</f>
        <v/>
      </c>
    </row>
    <row r="122" ht="15" customHeight="1">
      <c r="A122" t="inlineStr">
        <is>
          <t>A 27956-2022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46321</v>
      </c>
      <c r="F122" t="inlineStr">
        <is>
          <t>SKÅNE LÄN</t>
        </is>
      </c>
      <c r="G122" t="inlineStr">
        <is>
          <t>KRISTIANSTAD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Kärrviol</t>
        </is>
      </c>
      <c r="W122">
        <f>HYPERLINK("https://klasma.github.io/Logging_1290/artfynd/A 27956-2022 artfynd.xlsx", "A 27956-2022")</f>
        <v/>
      </c>
      <c r="X122">
        <f>HYPERLINK("https://klasma.github.io/Logging_1290/kartor/A 27956-2022 karta.png", "A 27956-2022")</f>
        <v/>
      </c>
      <c r="Y122">
        <f>HYPERLINK("https://klasma.github.io/Logging_1290/kartor_geotiff/A 27956-2022 georefererad karta.tif", "A 27956-2022")</f>
        <v/>
      </c>
      <c r="AA122">
        <f>HYPERLINK("https://klasma.github.io/Logging_1290/klagomål/A 27956-2022 FSC-klagomål.docx", "A 27956-2022")</f>
        <v/>
      </c>
      <c r="AB122">
        <f>HYPERLINK("https://klasma.github.io/Logging_1290/klagomålsmail/A 27956-2022 FSC-klagomål mail.docx", "A 27956-2022")</f>
        <v/>
      </c>
      <c r="AC122">
        <f>HYPERLINK("https://klasma.github.io/Logging_1290/tillsyn/A 27956-2022 tillsynsbegäran.docx", "A 27956-2022")</f>
        <v/>
      </c>
      <c r="AD122">
        <f>HYPERLINK("https://klasma.github.io/Logging_1290/tillsynsmail/A 27956-2022 tillsynsbegäran mail.docx", "A 27956-2022")</f>
        <v/>
      </c>
    </row>
    <row r="123" ht="15" customHeight="1">
      <c r="A123" t="inlineStr">
        <is>
          <t>A 50699-2025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45945</v>
      </c>
      <c r="E123" s="1" t="n">
        <v>46321</v>
      </c>
      <c r="F123" t="inlineStr">
        <is>
          <t>SKÅNE LÄN</t>
        </is>
      </c>
      <c r="G123" t="inlineStr">
        <is>
          <t>KRISTIANSTAD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2</v>
      </c>
      <c r="V123" s="2" t="inlineStr">
        <is>
          <t>Guldlockmossa</t>
        </is>
      </c>
      <c r="W123">
        <f>HYPERLINK("https://klasma.github.io/Logging_1290/artfynd/A 50699-2025 artfynd.xlsx", "A 50699-2025")</f>
        <v/>
      </c>
      <c r="X123">
        <f>HYPERLINK("https://klasma.github.io/Logging_1290/kartor/A 50699-2025 karta.png", "A 50699-2025")</f>
        <v/>
      </c>
      <c r="Y123">
        <f>HYPERLINK("https://klasma.github.io/Logging_1290/kartor_geotiff/A 50699-2025 georefererad karta.tif", "A 50699-2025")</f>
        <v/>
      </c>
      <c r="AA123">
        <f>HYPERLINK("https://klasma.github.io/Logging_1290/klagomål/A 50699-2025 FSC-klagomål.docx", "A 50699-2025")</f>
        <v/>
      </c>
      <c r="AB123">
        <f>HYPERLINK("https://klasma.github.io/Logging_1290/klagomålsmail/A 50699-2025 FSC-klagomål mail.docx", "A 50699-2025")</f>
        <v/>
      </c>
      <c r="AC123">
        <f>HYPERLINK("https://klasma.github.io/Logging_1290/tillsyn/A 50699-2025 tillsynsbegäran.docx", "A 50699-2025")</f>
        <v/>
      </c>
      <c r="AD123">
        <f>HYPERLINK("https://klasma.github.io/Logging_1290/tillsynsmail/A 50699-2025 tillsynsbegäran mail.docx", "A 50699-2025")</f>
        <v/>
      </c>
    </row>
    <row r="124" ht="15" customHeight="1">
      <c r="A124" t="inlineStr">
        <is>
          <t>A 21835-2026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46150</v>
      </c>
      <c r="E124" s="1" t="n">
        <v>46321</v>
      </c>
      <c r="F124" t="inlineStr">
        <is>
          <t>SKÅNE LÄN</t>
        </is>
      </c>
      <c r="G124" t="inlineStr">
        <is>
          <t>KRISTIANSTAD</t>
        </is>
      </c>
      <c r="I124" t="n">
        <v>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Skogsbräsma</t>
        </is>
      </c>
      <c r="W124">
        <f>HYPERLINK("https://klasma.github.io/Logging_1290/artfynd/A 21835-2026 artfynd.xlsx", "A 21835-2026")</f>
        <v/>
      </c>
      <c r="X124">
        <f>HYPERLINK("https://klasma.github.io/Logging_1290/kartor/A 21835-2026 karta.png", "A 21835-2026")</f>
        <v/>
      </c>
      <c r="Y124">
        <f>HYPERLINK("https://klasma.github.io/Logging_1290/kartor_geotiff/A 21835-2026 georefererad karta.tif", "A 21835-2026")</f>
        <v/>
      </c>
      <c r="AA124">
        <f>HYPERLINK("https://klasma.github.io/Logging_1290/klagomål/A 21835-2026 FSC-klagomål.docx", "A 21835-2026")</f>
        <v/>
      </c>
      <c r="AB124">
        <f>HYPERLINK("https://klasma.github.io/Logging_1290/klagomålsmail/A 21835-2026 FSC-klagomål mail.docx", "A 21835-2026")</f>
        <v/>
      </c>
      <c r="AC124">
        <f>HYPERLINK("https://klasma.github.io/Logging_1290/tillsyn/A 21835-2026 tillsynsbegäran.docx", "A 21835-2026")</f>
        <v/>
      </c>
      <c r="AD124">
        <f>HYPERLINK("https://klasma.github.io/Logging_1290/tillsynsmail/A 21835-2026 tillsynsbegäran mail.docx", "A 21835-2026")</f>
        <v/>
      </c>
    </row>
    <row r="125" ht="15" customHeight="1">
      <c r="A125" t="inlineStr">
        <is>
          <t>A 13977-2025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45738</v>
      </c>
      <c r="E125" s="1" t="n">
        <v>46321</v>
      </c>
      <c r="F125" t="inlineStr">
        <is>
          <t>SKÅNE LÄN</t>
        </is>
      </c>
      <c r="G125" t="inlineStr">
        <is>
          <t>KRISTIANSTAD</t>
        </is>
      </c>
      <c r="I125" t="n">
        <v>8.9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Rostfläck</t>
        </is>
      </c>
      <c r="W125">
        <f>HYPERLINK("https://klasma.github.io/Logging_1290/artfynd/A 13977-2025 artfynd.xlsx", "A 13977-2025")</f>
        <v/>
      </c>
      <c r="X125">
        <f>HYPERLINK("https://klasma.github.io/Logging_1290/kartor/A 13977-2025 karta.png", "A 13977-2025")</f>
        <v/>
      </c>
      <c r="Y125">
        <f>HYPERLINK("https://klasma.github.io/Logging_1290/kartor_geotiff/A 13977-2025 georefererad karta.tif", "A 13977-2025")</f>
        <v/>
      </c>
      <c r="AA125">
        <f>HYPERLINK("https://klasma.github.io/Logging_1290/klagomål/A 13977-2025 FSC-klagomål.docx", "A 13977-2025")</f>
        <v/>
      </c>
      <c r="AB125">
        <f>HYPERLINK("https://klasma.github.io/Logging_1290/klagomålsmail/A 13977-2025 FSC-klagomål mail.docx", "A 13977-2025")</f>
        <v/>
      </c>
      <c r="AC125">
        <f>HYPERLINK("https://klasma.github.io/Logging_1290/tillsyn/A 13977-2025 tillsynsbegäran.docx", "A 13977-2025")</f>
        <v/>
      </c>
      <c r="AD125">
        <f>HYPERLINK("https://klasma.github.io/Logging_1290/tillsynsmail/A 13977-2025 tillsynsbegäran mail.docx", "A 13977-2025")</f>
        <v/>
      </c>
    </row>
    <row r="126" ht="15" customHeight="1">
      <c r="A126" t="inlineStr">
        <is>
          <t>A 41004-2022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46321</v>
      </c>
      <c r="F126" t="inlineStr">
        <is>
          <t>SKÅNE LÄN</t>
        </is>
      </c>
      <c r="G126" t="inlineStr">
        <is>
          <t>KRISTIANSTAD</t>
        </is>
      </c>
      <c r="I126" t="n">
        <v>2.4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41004-2022 artfynd.xlsx", "A 41004-2022")</f>
        <v/>
      </c>
      <c r="X126">
        <f>HYPERLINK("https://klasma.github.io/Logging_1290/kartor/A 41004-2022 karta.png", "A 41004-2022")</f>
        <v/>
      </c>
      <c r="Y126">
        <f>HYPERLINK("https://klasma.github.io/Logging_1290/kartor_geotiff/A 41004-2022 georefererad karta.tif", "A 41004-2022")</f>
        <v/>
      </c>
      <c r="AA126">
        <f>HYPERLINK("https://klasma.github.io/Logging_1290/klagomål/A 41004-2022 FSC-klagomål.docx", "A 41004-2022")</f>
        <v/>
      </c>
      <c r="AB126">
        <f>HYPERLINK("https://klasma.github.io/Logging_1290/klagomålsmail/A 41004-2022 FSC-klagomål mail.docx", "A 41004-2022")</f>
        <v/>
      </c>
      <c r="AC126">
        <f>HYPERLINK("https://klasma.github.io/Logging_1290/tillsyn/A 41004-2022 tillsynsbegäran.docx", "A 41004-2022")</f>
        <v/>
      </c>
      <c r="AD126">
        <f>HYPERLINK("https://klasma.github.io/Logging_1290/tillsynsmail/A 41004-2022 tillsynsbegäran mail.docx", "A 41004-2022")</f>
        <v/>
      </c>
    </row>
    <row r="127" ht="15" customHeight="1">
      <c r="A127" t="inlineStr">
        <is>
          <t>A 28429-2024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45477</v>
      </c>
      <c r="E127" s="1" t="n">
        <v>46321</v>
      </c>
      <c r="F127" t="inlineStr">
        <is>
          <t>SKÅNE LÄN</t>
        </is>
      </c>
      <c r="G127" t="inlineStr">
        <is>
          <t>KRISTIANSTAD</t>
        </is>
      </c>
      <c r="I127" t="n">
        <v>0.4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Knölspindel</t>
        </is>
      </c>
      <c r="W127">
        <f>HYPERLINK("https://klasma.github.io/Logging_1290/artfynd/A 28429-2024 artfynd.xlsx", "A 28429-2024")</f>
        <v/>
      </c>
      <c r="X127">
        <f>HYPERLINK("https://klasma.github.io/Logging_1290/kartor/A 28429-2024 karta.png", "A 28429-2024")</f>
        <v/>
      </c>
      <c r="Y127">
        <f>HYPERLINK("https://klasma.github.io/Logging_1290/kartor_geotiff/A 28429-2024 georefererad karta.tif", "A 28429-2024")</f>
        <v/>
      </c>
      <c r="AA127">
        <f>HYPERLINK("https://klasma.github.io/Logging_1290/klagomål/A 28429-2024 FSC-klagomål.docx", "A 28429-2024")</f>
        <v/>
      </c>
      <c r="AB127">
        <f>HYPERLINK("https://klasma.github.io/Logging_1290/klagomålsmail/A 28429-2024 FSC-klagomål mail.docx", "A 28429-2024")</f>
        <v/>
      </c>
      <c r="AC127">
        <f>HYPERLINK("https://klasma.github.io/Logging_1290/tillsyn/A 28429-2024 tillsynsbegäran.docx", "A 28429-2024")</f>
        <v/>
      </c>
      <c r="AD127">
        <f>HYPERLINK("https://klasma.github.io/Logging_1290/tillsynsmail/A 28429-2024 tillsynsbegäran mail.docx", "A 28429-2024")</f>
        <v/>
      </c>
    </row>
    <row r="128" ht="15" customHeight="1">
      <c r="A128" t="inlineStr">
        <is>
          <t>A 15105-2023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45015</v>
      </c>
      <c r="E128" s="1" t="n">
        <v>46321</v>
      </c>
      <c r="F128" t="inlineStr">
        <is>
          <t>SKÅNE LÄN</t>
        </is>
      </c>
      <c r="G128" t="inlineStr">
        <is>
          <t>KRISTIANSTAD</t>
        </is>
      </c>
      <c r="H128" t="inlineStr">
        <is>
          <t>Kyrkan</t>
        </is>
      </c>
      <c r="I128" t="n">
        <v>3.2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Liten baronmossa</t>
        </is>
      </c>
      <c r="W128">
        <f>HYPERLINK("https://klasma.github.io/Logging_1290/artfynd/A 15105-2023 artfynd.xlsx", "A 15105-2023")</f>
        <v/>
      </c>
      <c r="X128">
        <f>HYPERLINK("https://klasma.github.io/Logging_1290/kartor/A 15105-2023 karta.png", "A 15105-2023")</f>
        <v/>
      </c>
      <c r="Y128">
        <f>HYPERLINK("https://klasma.github.io/Logging_1290/kartor_geotiff/A 15105-2023 georefererad karta.tif", "A 15105-2023")</f>
        <v/>
      </c>
      <c r="AA128">
        <f>HYPERLINK("https://klasma.github.io/Logging_1290/klagomål/A 15105-2023 FSC-klagomål.docx", "A 15105-2023")</f>
        <v/>
      </c>
      <c r="AB128">
        <f>HYPERLINK("https://klasma.github.io/Logging_1290/klagomålsmail/A 15105-2023 FSC-klagomål mail.docx", "A 15105-2023")</f>
        <v/>
      </c>
      <c r="AC128">
        <f>HYPERLINK("https://klasma.github.io/Logging_1290/tillsyn/A 15105-2023 tillsynsbegäran.docx", "A 15105-2023")</f>
        <v/>
      </c>
      <c r="AD128">
        <f>HYPERLINK("https://klasma.github.io/Logging_1290/tillsynsmail/A 15105-2023 tillsynsbegäran mail.docx", "A 15105-2023")</f>
        <v/>
      </c>
    </row>
    <row r="129" ht="15" customHeight="1">
      <c r="A129" t="inlineStr">
        <is>
          <t>A 7054-2024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46321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Törnskata</t>
        </is>
      </c>
      <c r="W129">
        <f>HYPERLINK("https://klasma.github.io/Logging_1290/artfynd/A 7054-2024 artfynd.xlsx", "A 7054-2024")</f>
        <v/>
      </c>
      <c r="X129">
        <f>HYPERLINK("https://klasma.github.io/Logging_1290/kartor/A 7054-2024 karta.png", "A 7054-2024")</f>
        <v/>
      </c>
      <c r="Y129">
        <f>HYPERLINK("https://klasma.github.io/Logging_1290/kartor_geotiff/A 7054-2024 georefererad karta.tif", "A 7054-2024")</f>
        <v/>
      </c>
      <c r="AA129">
        <f>HYPERLINK("https://klasma.github.io/Logging_1290/klagomål/A 7054-2024 FSC-klagomål.docx", "A 7054-2024")</f>
        <v/>
      </c>
      <c r="AB129">
        <f>HYPERLINK("https://klasma.github.io/Logging_1290/klagomålsmail/A 7054-2024 FSC-klagomål mail.docx", "A 7054-2024")</f>
        <v/>
      </c>
      <c r="AC129">
        <f>HYPERLINK("https://klasma.github.io/Logging_1290/tillsyn/A 7054-2024 tillsynsbegäran.docx", "A 7054-2024")</f>
        <v/>
      </c>
      <c r="AD129">
        <f>HYPERLINK("https://klasma.github.io/Logging_1290/tillsynsmail/A 7054-2024 tillsynsbegäran mail.docx", "A 7054-2024")</f>
        <v/>
      </c>
      <c r="AE129">
        <f>HYPERLINK("https://klasma.github.io/Logging_1290/fåglar/A 7054-2024 prioriterade fågelarter.docx", "A 7054-2024")</f>
        <v/>
      </c>
    </row>
    <row r="130" ht="15" customHeight="1">
      <c r="A130" t="inlineStr">
        <is>
          <t>A 52012-2024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45607</v>
      </c>
      <c r="E130" s="1" t="n">
        <v>46321</v>
      </c>
      <c r="F130" t="inlineStr">
        <is>
          <t>SKÅNE LÄN</t>
        </is>
      </c>
      <c r="G130" t="inlineStr">
        <is>
          <t>KRISTIANSTAD</t>
        </is>
      </c>
      <c r="H130" t="inlineStr">
        <is>
          <t>Övriga Aktiebolag</t>
        </is>
      </c>
      <c r="I130" t="n">
        <v>2.6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Luddfingerört</t>
        </is>
      </c>
      <c r="W130">
        <f>HYPERLINK("https://klasma.github.io/Logging_1290/artfynd/A 52012-2024 artfynd.xlsx", "A 52012-2024")</f>
        <v/>
      </c>
      <c r="X130">
        <f>HYPERLINK("https://klasma.github.io/Logging_1290/kartor/A 52012-2024 karta.png", "A 52012-2024")</f>
        <v/>
      </c>
      <c r="Y130">
        <f>HYPERLINK("https://klasma.github.io/Logging_1290/kartor_geotiff/A 52012-2024 georefererad karta.tif", "A 52012-2024")</f>
        <v/>
      </c>
      <c r="AA130">
        <f>HYPERLINK("https://klasma.github.io/Logging_1290/klagomål/A 52012-2024 FSC-klagomål.docx", "A 52012-2024")</f>
        <v/>
      </c>
      <c r="AB130">
        <f>HYPERLINK("https://klasma.github.io/Logging_1290/klagomålsmail/A 52012-2024 FSC-klagomål mail.docx", "A 52012-2024")</f>
        <v/>
      </c>
      <c r="AC130">
        <f>HYPERLINK("https://klasma.github.io/Logging_1290/tillsyn/A 52012-2024 tillsynsbegäran.docx", "A 52012-2024")</f>
        <v/>
      </c>
      <c r="AD130">
        <f>HYPERLINK("https://klasma.github.io/Logging_1290/tillsynsmail/A 52012-2024 tillsynsbegäran mail.docx", "A 52012-2024")</f>
        <v/>
      </c>
    </row>
    <row r="131" ht="15" customHeight="1">
      <c r="A131" t="inlineStr">
        <is>
          <t>A 14232-2023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45009</v>
      </c>
      <c r="E131" s="1" t="n">
        <v>46321</v>
      </c>
      <c r="F131" t="inlineStr">
        <is>
          <t>SKÅNE LÄN</t>
        </is>
      </c>
      <c r="G131" t="inlineStr">
        <is>
          <t>KRISTIANSTAD</t>
        </is>
      </c>
      <c r="I131" t="n">
        <v>7.1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Gullviva</t>
        </is>
      </c>
      <c r="W131">
        <f>HYPERLINK("https://klasma.github.io/Logging_1290/artfynd/A 14232-2023 artfynd.xlsx", "A 14232-2023")</f>
        <v/>
      </c>
      <c r="X131">
        <f>HYPERLINK("https://klasma.github.io/Logging_1290/kartor/A 14232-2023 karta.png", "A 14232-2023")</f>
        <v/>
      </c>
      <c r="Y131">
        <f>HYPERLINK("https://klasma.github.io/Logging_1290/kartor_geotiff/A 14232-2023 georefererad karta.tif", "A 14232-2023")</f>
        <v/>
      </c>
      <c r="AA131">
        <f>HYPERLINK("https://klasma.github.io/Logging_1290/klagomål/A 14232-2023 FSC-klagomål.docx", "A 14232-2023")</f>
        <v/>
      </c>
      <c r="AB131">
        <f>HYPERLINK("https://klasma.github.io/Logging_1290/klagomålsmail/A 14232-2023 FSC-klagomål mail.docx", "A 14232-2023")</f>
        <v/>
      </c>
      <c r="AC131">
        <f>HYPERLINK("https://klasma.github.io/Logging_1290/tillsyn/A 14232-2023 tillsynsbegäran.docx", "A 14232-2023")</f>
        <v/>
      </c>
      <c r="AD131">
        <f>HYPERLINK("https://klasma.github.io/Logging_1290/tillsynsmail/A 14232-2023 tillsynsbegäran mail.docx", "A 14232-2023")</f>
        <v/>
      </c>
    </row>
    <row r="132" ht="15" customHeight="1">
      <c r="A132" t="inlineStr">
        <is>
          <t>A 40668-2024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45558</v>
      </c>
      <c r="E132" s="1" t="n">
        <v>46321</v>
      </c>
      <c r="F132" t="inlineStr">
        <is>
          <t>SKÅNE LÄN</t>
        </is>
      </c>
      <c r="G132" t="inlineStr">
        <is>
          <t>KRISTIANSTAD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Spillkråka</t>
        </is>
      </c>
      <c r="W132">
        <f>HYPERLINK("https://klasma.github.io/Logging_1290/artfynd/A 40668-2024 artfynd.xlsx", "A 40668-2024")</f>
        <v/>
      </c>
      <c r="X132">
        <f>HYPERLINK("https://klasma.github.io/Logging_1290/kartor/A 40668-2024 karta.png", "A 40668-2024")</f>
        <v/>
      </c>
      <c r="Y132">
        <f>HYPERLINK("https://klasma.github.io/Logging_1290/kartor_geotiff/A 40668-2024 georefererad karta.tif", "A 40668-2024")</f>
        <v/>
      </c>
      <c r="AA132">
        <f>HYPERLINK("https://klasma.github.io/Logging_1290/klagomål/A 40668-2024 FSC-klagomål.docx", "A 40668-2024")</f>
        <v/>
      </c>
      <c r="AB132">
        <f>HYPERLINK("https://klasma.github.io/Logging_1290/klagomålsmail/A 40668-2024 FSC-klagomål mail.docx", "A 40668-2024")</f>
        <v/>
      </c>
      <c r="AC132">
        <f>HYPERLINK("https://klasma.github.io/Logging_1290/tillsyn/A 40668-2024 tillsynsbegäran.docx", "A 40668-2024")</f>
        <v/>
      </c>
      <c r="AD132">
        <f>HYPERLINK("https://klasma.github.io/Logging_1290/tillsynsmail/A 40668-2024 tillsynsbegäran mail.docx", "A 40668-2024")</f>
        <v/>
      </c>
      <c r="AE132">
        <f>HYPERLINK("https://klasma.github.io/Logging_1290/fåglar/A 40668-2024 prioriterade fågelarter.docx", "A 40668-2024")</f>
        <v/>
      </c>
    </row>
    <row r="133" ht="15" customHeight="1">
      <c r="A133" t="inlineStr">
        <is>
          <t>A 38440-2024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46321</v>
      </c>
      <c r="F133" t="inlineStr">
        <is>
          <t>SKÅNE LÄN</t>
        </is>
      </c>
      <c r="G133" t="inlineStr">
        <is>
          <t>KRISTIANSTAD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Igelkott</t>
        </is>
      </c>
      <c r="W133">
        <f>HYPERLINK("https://klasma.github.io/Logging_1290/artfynd/A 38440-2024 artfynd.xlsx", "A 38440-2024")</f>
        <v/>
      </c>
      <c r="X133">
        <f>HYPERLINK("https://klasma.github.io/Logging_1290/kartor/A 38440-2024 karta.png", "A 38440-2024")</f>
        <v/>
      </c>
      <c r="Y133">
        <f>HYPERLINK("https://klasma.github.io/Logging_1290/kartor_geotiff/A 38440-2024 georefererad karta.tif", "A 38440-2024")</f>
        <v/>
      </c>
      <c r="AA133">
        <f>HYPERLINK("https://klasma.github.io/Logging_1290/klagomål/A 38440-2024 FSC-klagomål.docx", "A 38440-2024")</f>
        <v/>
      </c>
      <c r="AB133">
        <f>HYPERLINK("https://klasma.github.io/Logging_1290/klagomålsmail/A 38440-2024 FSC-klagomål mail.docx", "A 38440-2024")</f>
        <v/>
      </c>
      <c r="AC133">
        <f>HYPERLINK("https://klasma.github.io/Logging_1290/tillsyn/A 38440-2024 tillsynsbegäran.docx", "A 38440-2024")</f>
        <v/>
      </c>
      <c r="AD133">
        <f>HYPERLINK("https://klasma.github.io/Logging_1290/tillsynsmail/A 38440-2024 tillsynsbegäran mail.docx", "A 38440-2024")</f>
        <v/>
      </c>
    </row>
    <row r="134" ht="15" customHeight="1">
      <c r="A134" t="inlineStr">
        <is>
          <t>A 17023-2025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46321</v>
      </c>
      <c r="F134" t="inlineStr">
        <is>
          <t>SKÅNE LÄN</t>
        </is>
      </c>
      <c r="G134" t="inlineStr">
        <is>
          <t>KRISTIANSTAD</t>
        </is>
      </c>
      <c r="I134" t="n">
        <v>5.7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Ekskinn</t>
        </is>
      </c>
      <c r="W134">
        <f>HYPERLINK("https://klasma.github.io/Logging_1290/artfynd/A 17023-2025 artfynd.xlsx", "A 17023-2025")</f>
        <v/>
      </c>
      <c r="X134">
        <f>HYPERLINK("https://klasma.github.io/Logging_1290/kartor/A 17023-2025 karta.png", "A 17023-2025")</f>
        <v/>
      </c>
      <c r="Y134">
        <f>HYPERLINK("https://klasma.github.io/Logging_1290/kartor_geotiff/A 17023-2025 georefererad karta.tif", "A 17023-2025")</f>
        <v/>
      </c>
      <c r="AA134">
        <f>HYPERLINK("https://klasma.github.io/Logging_1290/klagomål/A 17023-2025 FSC-klagomål.docx", "A 17023-2025")</f>
        <v/>
      </c>
      <c r="AB134">
        <f>HYPERLINK("https://klasma.github.io/Logging_1290/klagomålsmail/A 17023-2025 FSC-klagomål mail.docx", "A 17023-2025")</f>
        <v/>
      </c>
      <c r="AC134">
        <f>HYPERLINK("https://klasma.github.io/Logging_1290/tillsyn/A 17023-2025 tillsynsbegäran.docx", "A 17023-2025")</f>
        <v/>
      </c>
      <c r="AD134">
        <f>HYPERLINK("https://klasma.github.io/Logging_1290/tillsynsmail/A 17023-2025 tillsynsbegäran mail.docx", "A 17023-2025")</f>
        <v/>
      </c>
    </row>
    <row r="135" ht="15" customHeight="1">
      <c r="A135" t="inlineStr">
        <is>
          <t>A 18539-2022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44686</v>
      </c>
      <c r="E135" s="1" t="n">
        <v>46321</v>
      </c>
      <c r="F135" t="inlineStr">
        <is>
          <t>SKÅNE LÄN</t>
        </is>
      </c>
      <c r="G135" t="inlineStr">
        <is>
          <t>KRISTIANSTAD</t>
        </is>
      </c>
      <c r="I135" t="n">
        <v>4.3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Skogslysing</t>
        </is>
      </c>
      <c r="W135">
        <f>HYPERLINK("https://klasma.github.io/Logging_1290/artfynd/A 18539-2022 artfynd.xlsx", "A 18539-2022")</f>
        <v/>
      </c>
      <c r="X135">
        <f>HYPERLINK("https://klasma.github.io/Logging_1290/kartor/A 18539-2022 karta.png", "A 18539-2022")</f>
        <v/>
      </c>
      <c r="Y135">
        <f>HYPERLINK("https://klasma.github.io/Logging_1290/kartor_geotiff/A 18539-2022 georefererad karta.tif", "A 18539-2022")</f>
        <v/>
      </c>
      <c r="AA135">
        <f>HYPERLINK("https://klasma.github.io/Logging_1290/klagomål/A 18539-2022 FSC-klagomål.docx", "A 18539-2022")</f>
        <v/>
      </c>
      <c r="AB135">
        <f>HYPERLINK("https://klasma.github.io/Logging_1290/klagomålsmail/A 18539-2022 FSC-klagomål mail.docx", "A 18539-2022")</f>
        <v/>
      </c>
      <c r="AC135">
        <f>HYPERLINK("https://klasma.github.io/Logging_1290/tillsyn/A 18539-2022 tillsynsbegäran.docx", "A 18539-2022")</f>
        <v/>
      </c>
      <c r="AD135">
        <f>HYPERLINK("https://klasma.github.io/Logging_1290/tillsynsmail/A 18539-2022 tillsynsbegäran mail.docx", "A 18539-2022")</f>
        <v/>
      </c>
    </row>
    <row r="136" ht="15" customHeight="1">
      <c r="A136" t="inlineStr">
        <is>
          <t>A 62367-2023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45267</v>
      </c>
      <c r="E136" s="1" t="n">
        <v>46321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HYPERLINK("https://klasma.github.io/Logging_1290/artfynd/A 62367-2023 artfynd.xlsx", "A 62367-2023")</f>
        <v/>
      </c>
      <c r="X136">
        <f>HYPERLINK("https://klasma.github.io/Logging_1290/kartor/A 62367-2023 karta.png", "A 62367-2023")</f>
        <v/>
      </c>
      <c r="Y136">
        <f>HYPERLINK("https://klasma.github.io/Logging_1290/kartor_geotiff/A 62367-2023 georefererad karta.tif", "A 62367-2023")</f>
        <v/>
      </c>
      <c r="AA136">
        <f>HYPERLINK("https://klasma.github.io/Logging_1290/klagomål/A 62367-2023 FSC-klagomål.docx", "A 62367-2023")</f>
        <v/>
      </c>
      <c r="AB136">
        <f>HYPERLINK("https://klasma.github.io/Logging_1290/klagomålsmail/A 62367-2023 FSC-klagomål mail.docx", "A 62367-2023")</f>
        <v/>
      </c>
      <c r="AC136">
        <f>HYPERLINK("https://klasma.github.io/Logging_1290/tillsyn/A 62367-2023 tillsynsbegäran.docx", "A 62367-2023")</f>
        <v/>
      </c>
      <c r="AD136">
        <f>HYPERLINK("https://klasma.github.io/Logging_1290/tillsynsmail/A 62367-2023 tillsynsbegäran mail.docx", "A 62367-2023")</f>
        <v/>
      </c>
    </row>
    <row r="137" ht="15" customHeight="1">
      <c r="A137" t="inlineStr">
        <is>
          <t>A 4615-2024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46321</v>
      </c>
      <c r="F137" t="inlineStr">
        <is>
          <t>SKÅNE LÄN</t>
        </is>
      </c>
      <c r="G137" t="inlineStr">
        <is>
          <t>KRISTIANSTAD</t>
        </is>
      </c>
      <c r="I137" t="n">
        <v>6.6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Skogslysing</t>
        </is>
      </c>
      <c r="W137">
        <f>HYPERLINK("https://klasma.github.io/Logging_1290/artfynd/A 4615-2024 artfynd.xlsx", "A 4615-2024")</f>
        <v/>
      </c>
      <c r="X137">
        <f>HYPERLINK("https://klasma.github.io/Logging_1290/kartor/A 4615-2024 karta.png", "A 4615-2024")</f>
        <v/>
      </c>
      <c r="Y137">
        <f>HYPERLINK("https://klasma.github.io/Logging_1290/kartor_geotiff/A 4615-2024 georefererad karta.tif", "A 4615-2024")</f>
        <v/>
      </c>
      <c r="AA137">
        <f>HYPERLINK("https://klasma.github.io/Logging_1290/klagomål/A 4615-2024 FSC-klagomål.docx", "A 4615-2024")</f>
        <v/>
      </c>
      <c r="AB137">
        <f>HYPERLINK("https://klasma.github.io/Logging_1290/klagomålsmail/A 4615-2024 FSC-klagomål mail.docx", "A 4615-2024")</f>
        <v/>
      </c>
      <c r="AC137">
        <f>HYPERLINK("https://klasma.github.io/Logging_1290/tillsyn/A 4615-2024 tillsynsbegäran.docx", "A 4615-2024")</f>
        <v/>
      </c>
      <c r="AD137">
        <f>HYPERLINK("https://klasma.github.io/Logging_1290/tillsynsmail/A 4615-2024 tillsynsbegäran mail.docx", "A 4615-2024")</f>
        <v/>
      </c>
    </row>
    <row r="138" ht="15" customHeight="1">
      <c r="A138" t="inlineStr">
        <is>
          <t>A 8290-2024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46321</v>
      </c>
      <c r="F138" t="inlineStr">
        <is>
          <t>SKÅNE LÄN</t>
        </is>
      </c>
      <c r="G138" t="inlineStr">
        <is>
          <t>KRISTIANSTAD</t>
        </is>
      </c>
      <c r="I138" t="n">
        <v>0.7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Lömsk flugsvamp</t>
        </is>
      </c>
      <c r="W138">
        <f>HYPERLINK("https://klasma.github.io/Logging_1290/artfynd/A 8290-2024 artfynd.xlsx", "A 8290-2024")</f>
        <v/>
      </c>
      <c r="X138">
        <f>HYPERLINK("https://klasma.github.io/Logging_1290/kartor/A 8290-2024 karta.png", "A 8290-2024")</f>
        <v/>
      </c>
      <c r="Y138">
        <f>HYPERLINK("https://klasma.github.io/Logging_1290/kartor_geotiff/A 8290-2024 georefererad karta.tif", "A 8290-2024")</f>
        <v/>
      </c>
      <c r="AA138">
        <f>HYPERLINK("https://klasma.github.io/Logging_1290/klagomål/A 8290-2024 FSC-klagomål.docx", "A 8290-2024")</f>
        <v/>
      </c>
      <c r="AB138">
        <f>HYPERLINK("https://klasma.github.io/Logging_1290/klagomålsmail/A 8290-2024 FSC-klagomål mail.docx", "A 8290-2024")</f>
        <v/>
      </c>
      <c r="AC138">
        <f>HYPERLINK("https://klasma.github.io/Logging_1290/tillsyn/A 8290-2024 tillsynsbegäran.docx", "A 8290-2024")</f>
        <v/>
      </c>
      <c r="AD138">
        <f>HYPERLINK("https://klasma.github.io/Logging_1290/tillsynsmail/A 8290-2024 tillsynsbegäran mail.docx", "A 8290-2024")</f>
        <v/>
      </c>
    </row>
    <row r="139" ht="15" customHeight="1">
      <c r="A139" t="inlineStr">
        <is>
          <t>A 1188-2024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45302</v>
      </c>
      <c r="E139" s="1" t="n">
        <v>46321</v>
      </c>
      <c r="F139" t="inlineStr">
        <is>
          <t>SKÅNE LÄN</t>
        </is>
      </c>
      <c r="G139" t="inlineStr">
        <is>
          <t>KRISTIANSTAD</t>
        </is>
      </c>
      <c r="I139" t="n">
        <v>6.1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2</v>
      </c>
      <c r="U139" t="n">
        <v>2</v>
      </c>
      <c r="V139" s="2" t="inlineStr">
        <is>
          <t>Backsippa</t>
        </is>
      </c>
      <c r="W139">
        <f>HYPERLINK("https://klasma.github.io/Logging_1290/artfynd/A 1188-2024 artfynd.xlsx", "A 1188-2024")</f>
        <v/>
      </c>
      <c r="X139">
        <f>HYPERLINK("https://klasma.github.io/Logging_1290/kartor/A 1188-2024 karta.png", "A 1188-2024")</f>
        <v/>
      </c>
      <c r="Y139">
        <f>HYPERLINK("https://klasma.github.io/Logging_1290/kartor_geotiff/A 1188-2024 georefererad karta.tif", "A 1188-2024")</f>
        <v/>
      </c>
      <c r="AA139">
        <f>HYPERLINK("https://klasma.github.io/Logging_1290/klagomål/A 1188-2024 FSC-klagomål.docx", "A 1188-2024")</f>
        <v/>
      </c>
      <c r="AB139">
        <f>HYPERLINK("https://klasma.github.io/Logging_1290/klagomålsmail/A 1188-2024 FSC-klagomål mail.docx", "A 1188-2024")</f>
        <v/>
      </c>
      <c r="AC139">
        <f>HYPERLINK("https://klasma.github.io/Logging_1290/tillsyn/A 1188-2024 tillsynsbegäran.docx", "A 1188-2024")</f>
        <v/>
      </c>
      <c r="AD139">
        <f>HYPERLINK("https://klasma.github.io/Logging_1290/tillsynsmail/A 1188-2024 tillsynsbegäran mail.docx", "A 1188-2024")</f>
        <v/>
      </c>
    </row>
    <row r="140" ht="15" customHeight="1">
      <c r="A140" t="inlineStr">
        <is>
          <t>A 30925-2022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44767</v>
      </c>
      <c r="E140" s="1" t="n">
        <v>46321</v>
      </c>
      <c r="F140" t="inlineStr">
        <is>
          <t>SKÅNE LÄN</t>
        </is>
      </c>
      <c r="G140" t="inlineStr">
        <is>
          <t>KRISTIANSTAD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Sjötåtel</t>
        </is>
      </c>
      <c r="W140">
        <f>HYPERLINK("https://klasma.github.io/Logging_1290/artfynd/A 30925-2022 artfynd.xlsx", "A 30925-2022")</f>
        <v/>
      </c>
      <c r="X140">
        <f>HYPERLINK("https://klasma.github.io/Logging_1290/kartor/A 30925-2022 karta.png", "A 30925-2022")</f>
        <v/>
      </c>
      <c r="Y140">
        <f>HYPERLINK("https://klasma.github.io/Logging_1290/kartor_geotiff/A 30925-2022 georefererad karta.tif", "A 30925-2022")</f>
        <v/>
      </c>
      <c r="AA140">
        <f>HYPERLINK("https://klasma.github.io/Logging_1290/klagomål/A 30925-2022 FSC-klagomål.docx", "A 30925-2022")</f>
        <v/>
      </c>
      <c r="AB140">
        <f>HYPERLINK("https://klasma.github.io/Logging_1290/klagomålsmail/A 30925-2022 FSC-klagomål mail.docx", "A 30925-2022")</f>
        <v/>
      </c>
      <c r="AC140">
        <f>HYPERLINK("https://klasma.github.io/Logging_1290/tillsyn/A 30925-2022 tillsynsbegäran.docx", "A 30925-2022")</f>
        <v/>
      </c>
      <c r="AD140">
        <f>HYPERLINK("https://klasma.github.io/Logging_1290/tillsynsmail/A 30925-2022 tillsynsbegäran mail.docx", "A 30925-2022")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46321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46321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46321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46321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46321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46321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46321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46321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46321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46321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46321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46321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46321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46321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46321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46321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46321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46321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46321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46321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46321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46321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46321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46321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46321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46321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46321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46321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46321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46321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46321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46321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46321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46321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49747-2022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46321</v>
      </c>
      <c r="F175" t="inlineStr">
        <is>
          <t>SKÅNE LÄN</t>
        </is>
      </c>
      <c r="G175" t="inlineStr">
        <is>
          <t>KRISTIANSTAD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50520-2022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44866</v>
      </c>
      <c r="E176" s="1" t="n">
        <v>46321</v>
      </c>
      <c r="F176" t="inlineStr">
        <is>
          <t>SKÅNE LÄN</t>
        </is>
      </c>
      <c r="G176" t="inlineStr">
        <is>
          <t>KRISTIANSTAD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46321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46321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46321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46321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46321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46321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46321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46321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46321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46321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46321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46321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6616-2022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46321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12235-2023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44998</v>
      </c>
      <c r="E190" s="1" t="n">
        <v>46321</v>
      </c>
      <c r="F190" t="inlineStr">
        <is>
          <t>SKÅNE LÄN</t>
        </is>
      </c>
      <c r="G190" t="inlineStr">
        <is>
          <t>KRISTIANSTAD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44628</v>
      </c>
      <c r="E191" s="1" t="n">
        <v>46321</v>
      </c>
      <c r="F191" t="inlineStr">
        <is>
          <t>SKÅNE LÄN</t>
        </is>
      </c>
      <c r="G191" t="inlineStr">
        <is>
          <t>KRISTIANSTAD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45646</v>
      </c>
      <c r="E192" s="1" t="n">
        <v>46321</v>
      </c>
      <c r="F192" t="inlineStr">
        <is>
          <t>SKÅNE LÄN</t>
        </is>
      </c>
      <c r="G192" t="inlineStr">
        <is>
          <t>KRISTIANSTAD</t>
        </is>
      </c>
      <c r="H192" t="inlineStr">
        <is>
          <t>Övriga Aktiebolag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16579-2022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44672</v>
      </c>
      <c r="E193" s="1" t="n">
        <v>46321</v>
      </c>
      <c r="F193" t="inlineStr">
        <is>
          <t>SKÅNE LÄN</t>
        </is>
      </c>
      <c r="G193" t="inlineStr">
        <is>
          <t>KRISTIANSTAD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46321</v>
      </c>
      <c r="F194" t="inlineStr">
        <is>
          <t>SKÅNE LÄN</t>
        </is>
      </c>
      <c r="G194" t="inlineStr">
        <is>
          <t>KRISTIANSTAD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46321</v>
      </c>
      <c r="F195" t="inlineStr">
        <is>
          <t>SKÅNE LÄN</t>
        </is>
      </c>
      <c r="G195" t="inlineStr">
        <is>
          <t>KRISTIANSTAD</t>
        </is>
      </c>
      <c r="I195" t="n">
        <v>12.9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46321</v>
      </c>
      <c r="F196" t="inlineStr">
        <is>
          <t>SKÅNE LÄN</t>
        </is>
      </c>
      <c r="G196" t="inlineStr">
        <is>
          <t>KRISTIANSTAD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46321</v>
      </c>
      <c r="F197" t="inlineStr">
        <is>
          <t>SKÅNE LÄN</t>
        </is>
      </c>
      <c r="G197" t="inlineStr">
        <is>
          <t>KRISTIANSTAD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45197</v>
      </c>
      <c r="E198" s="1" t="n">
        <v>46321</v>
      </c>
      <c r="F198" t="inlineStr">
        <is>
          <t>SKÅNE LÄN</t>
        </is>
      </c>
      <c r="G198" t="inlineStr">
        <is>
          <t>KRISTIANSTAD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46524-2023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45197</v>
      </c>
      <c r="E199" s="1" t="n">
        <v>46321</v>
      </c>
      <c r="F199" t="inlineStr">
        <is>
          <t>SKÅNE LÄN</t>
        </is>
      </c>
      <c r="G199" t="inlineStr">
        <is>
          <t>KRISTIANSTAD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27529-2022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44742</v>
      </c>
      <c r="E200" s="1" t="n">
        <v>46321</v>
      </c>
      <c r="F200" t="inlineStr">
        <is>
          <t>SKÅNE LÄN</t>
        </is>
      </c>
      <c r="G200" t="inlineStr">
        <is>
          <t>KRISTIANSTAD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46321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22815-2023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45072</v>
      </c>
      <c r="E202" s="1" t="n">
        <v>46321</v>
      </c>
      <c r="F202" t="inlineStr">
        <is>
          <t>SKÅNE LÄN</t>
        </is>
      </c>
      <c r="G202" t="inlineStr">
        <is>
          <t>KRISTIANSTAD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45337</v>
      </c>
      <c r="E203" s="1" t="n">
        <v>46321</v>
      </c>
      <c r="F203" t="inlineStr">
        <is>
          <t>SKÅNE LÄN</t>
        </is>
      </c>
      <c r="G203" t="inlineStr">
        <is>
          <t>KRISTIANSTAD</t>
        </is>
      </c>
      <c r="H203" t="inlineStr">
        <is>
          <t>Övriga Aktiebolag</t>
        </is>
      </c>
      <c r="I203" t="n">
        <v>8.699999999999999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46321</v>
      </c>
      <c r="F204" t="inlineStr">
        <is>
          <t>SKÅNE LÄN</t>
        </is>
      </c>
      <c r="G204" t="inlineStr">
        <is>
          <t>KRISTIANSTAD</t>
        </is>
      </c>
      <c r="I204" t="n">
        <v>12.8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45728-2022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44846</v>
      </c>
      <c r="E205" s="1" t="n">
        <v>46321</v>
      </c>
      <c r="F205" t="inlineStr">
        <is>
          <t>SKÅNE LÄN</t>
        </is>
      </c>
      <c r="G205" t="inlineStr">
        <is>
          <t>KRISTIANSTAD</t>
        </is>
      </c>
      <c r="H205" t="inlineStr">
        <is>
          <t>Övriga Aktiebolag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40500-2025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45896</v>
      </c>
      <c r="E206" s="1" t="n">
        <v>46321</v>
      </c>
      <c r="F206" t="inlineStr">
        <is>
          <t>SKÅNE LÄN</t>
        </is>
      </c>
      <c r="G206" t="inlineStr">
        <is>
          <t>KRISTIANSTAD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45895</v>
      </c>
      <c r="E207" s="1" t="n">
        <v>46321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47652-2023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45198</v>
      </c>
      <c r="E208" s="1" t="n">
        <v>46321</v>
      </c>
      <c r="F208" t="inlineStr">
        <is>
          <t>SKÅNE LÄN</t>
        </is>
      </c>
      <c r="G208" t="inlineStr">
        <is>
          <t>KRISTIANSTAD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46321</v>
      </c>
      <c r="F209" t="inlineStr">
        <is>
          <t>SKÅNE LÄN</t>
        </is>
      </c>
      <c r="G209" t="inlineStr">
        <is>
          <t>KRISTIANSTAD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18752-2023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45043</v>
      </c>
      <c r="E210" s="1" t="n">
        <v>46321</v>
      </c>
      <c r="F210" t="inlineStr">
        <is>
          <t>SKÅNE LÄN</t>
        </is>
      </c>
      <c r="G210" t="inlineStr">
        <is>
          <t>KRISTIANSTAD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46321</v>
      </c>
      <c r="F211" t="inlineStr">
        <is>
          <t>SKÅNE LÄN</t>
        </is>
      </c>
      <c r="G211" t="inlineStr">
        <is>
          <t>KRISTIANSTAD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45532</v>
      </c>
      <c r="E212" s="1" t="n">
        <v>46321</v>
      </c>
      <c r="F212" t="inlineStr">
        <is>
          <t>SKÅNE LÄN</t>
        </is>
      </c>
      <c r="G212" t="inlineStr">
        <is>
          <t>KRISTIANSTAD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55954-2023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45233</v>
      </c>
      <c r="E213" s="1" t="n">
        <v>46321</v>
      </c>
      <c r="F213" t="inlineStr">
        <is>
          <t>SKÅNE LÄN</t>
        </is>
      </c>
      <c r="G213" t="inlineStr">
        <is>
          <t>KRISTIANSTAD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55959-2023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45233</v>
      </c>
      <c r="E214" s="1" t="n">
        <v>46321</v>
      </c>
      <c r="F214" t="inlineStr">
        <is>
          <t>SKÅNE LÄN</t>
        </is>
      </c>
      <c r="G214" t="inlineStr">
        <is>
          <t>KRISTIANSTAD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46321</v>
      </c>
      <c r="F215" t="inlineStr">
        <is>
          <t>SKÅNE LÄN</t>
        </is>
      </c>
      <c r="G215" t="inlineStr">
        <is>
          <t>KRISTIANSTAD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45331</v>
      </c>
      <c r="E216" s="1" t="n">
        <v>46321</v>
      </c>
      <c r="F216" t="inlineStr">
        <is>
          <t>SKÅNE LÄN</t>
        </is>
      </c>
      <c r="G216" t="inlineStr">
        <is>
          <t>KRISTIANSTAD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45343</v>
      </c>
      <c r="E217" s="1" t="n">
        <v>46321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41245-2025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46321</v>
      </c>
      <c r="F218" t="inlineStr">
        <is>
          <t>SKÅNE LÄN</t>
        </is>
      </c>
      <c r="G218" t="inlineStr">
        <is>
          <t>KRISTIANSTAD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27979-2024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45476</v>
      </c>
      <c r="E219" s="1" t="n">
        <v>46321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41361-2025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45900</v>
      </c>
      <c r="E220" s="1" t="n">
        <v>46321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41363-2025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45900</v>
      </c>
      <c r="E221" s="1" t="n">
        <v>46321</v>
      </c>
      <c r="F221" t="inlineStr">
        <is>
          <t>SKÅNE LÄN</t>
        </is>
      </c>
      <c r="G221" t="inlineStr">
        <is>
          <t>KRISTIANSTAD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41357-2025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45900</v>
      </c>
      <c r="E222" s="1" t="n">
        <v>46321</v>
      </c>
      <c r="F222" t="inlineStr">
        <is>
          <t>SKÅNE LÄN</t>
        </is>
      </c>
      <c r="G222" t="inlineStr">
        <is>
          <t>KRISTIANSTAD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49239-2022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44858</v>
      </c>
      <c r="E223" s="1" t="n">
        <v>46321</v>
      </c>
      <c r="F223" t="inlineStr">
        <is>
          <t>SKÅNE LÄN</t>
        </is>
      </c>
      <c r="G223" t="inlineStr">
        <is>
          <t>KRISTIANSTAD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1228-2022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44572</v>
      </c>
      <c r="E224" s="1" t="n">
        <v>46321</v>
      </c>
      <c r="F224" t="inlineStr">
        <is>
          <t>SKÅNE LÄN</t>
        </is>
      </c>
      <c r="G224" t="inlineStr">
        <is>
          <t>KRISTIANSTAD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41359-2025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45900</v>
      </c>
      <c r="E225" s="1" t="n">
        <v>46321</v>
      </c>
      <c r="F225" t="inlineStr">
        <is>
          <t>SKÅNE LÄN</t>
        </is>
      </c>
      <c r="G225" t="inlineStr">
        <is>
          <t>KRISTIANSTAD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41362-2025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45900</v>
      </c>
      <c r="E226" s="1" t="n">
        <v>46321</v>
      </c>
      <c r="F226" t="inlineStr">
        <is>
          <t>SKÅNE LÄN</t>
        </is>
      </c>
      <c r="G226" t="inlineStr">
        <is>
          <t>KRISTIANSTAD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44732</v>
      </c>
      <c r="E227" s="1" t="n">
        <v>46321</v>
      </c>
      <c r="F227" t="inlineStr">
        <is>
          <t>SKÅNE LÄN</t>
        </is>
      </c>
      <c r="G227" t="inlineStr">
        <is>
          <t>KRISTIANSTAD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41358-2025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45900</v>
      </c>
      <c r="E228" s="1" t="n">
        <v>46321</v>
      </c>
      <c r="F228" t="inlineStr">
        <is>
          <t>SKÅNE LÄN</t>
        </is>
      </c>
      <c r="G228" t="inlineStr">
        <is>
          <t>KRISTIANSTAD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54308-2023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45232</v>
      </c>
      <c r="E229" s="1" t="n">
        <v>46321</v>
      </c>
      <c r="F229" t="inlineStr">
        <is>
          <t>SKÅNE LÄN</t>
        </is>
      </c>
      <c r="G229" t="inlineStr">
        <is>
          <t>KRISTIANSTAD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27957-2022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44743</v>
      </c>
      <c r="E230" s="1" t="n">
        <v>46321</v>
      </c>
      <c r="F230" t="inlineStr">
        <is>
          <t>SKÅNE LÄN</t>
        </is>
      </c>
      <c r="G230" t="inlineStr">
        <is>
          <t>KRISTIANSTAD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30845-2022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46321</v>
      </c>
      <c r="F231" t="inlineStr">
        <is>
          <t>SKÅNE LÄN</t>
        </is>
      </c>
      <c r="G231" t="inlineStr">
        <is>
          <t>KRISTIANSTAD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13891-2025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46321</v>
      </c>
      <c r="F232" t="inlineStr">
        <is>
          <t>SKÅNE LÄN</t>
        </is>
      </c>
      <c r="G232" t="inlineStr">
        <is>
          <t>KRISTIANSTAD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53299-2023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45229</v>
      </c>
      <c r="E233" s="1" t="n">
        <v>46321</v>
      </c>
      <c r="F233" t="inlineStr">
        <is>
          <t>SKÅNE LÄN</t>
        </is>
      </c>
      <c r="G233" t="inlineStr">
        <is>
          <t>KRISTIANSTAD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53466-2022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44879</v>
      </c>
      <c r="E234" s="1" t="n">
        <v>46321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38849-2025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45887</v>
      </c>
      <c r="E235" s="1" t="n">
        <v>46321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36907-2025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46321</v>
      </c>
      <c r="F236" t="inlineStr">
        <is>
          <t>SKÅNE LÄN</t>
        </is>
      </c>
      <c r="G236" t="inlineStr">
        <is>
          <t>KRISTIANSTAD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41023-2025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46321</v>
      </c>
      <c r="F237" t="inlineStr">
        <is>
          <t>SKÅNE LÄN</t>
        </is>
      </c>
      <c r="G237" t="inlineStr">
        <is>
          <t>KRISTIANSTAD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9794-2023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44984</v>
      </c>
      <c r="E238" s="1" t="n">
        <v>46321</v>
      </c>
      <c r="F238" t="inlineStr">
        <is>
          <t>SKÅNE LÄN</t>
        </is>
      </c>
      <c r="G238" t="inlineStr">
        <is>
          <t>KRISTIANSTAD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23560-2025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46321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59302-2023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45253</v>
      </c>
      <c r="E240" s="1" t="n">
        <v>46321</v>
      </c>
      <c r="F240" t="inlineStr">
        <is>
          <t>SKÅNE LÄN</t>
        </is>
      </c>
      <c r="G240" t="inlineStr">
        <is>
          <t>KRISTIANSTAD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44915</v>
      </c>
      <c r="E241" s="1" t="n">
        <v>46321</v>
      </c>
      <c r="F241" t="inlineStr">
        <is>
          <t>SKÅNE LÄN</t>
        </is>
      </c>
      <c r="G241" t="inlineStr">
        <is>
          <t>KRISTIANSTAD</t>
        </is>
      </c>
      <c r="H241" t="inlineStr">
        <is>
          <t>Kyrkan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46321</v>
      </c>
      <c r="F242" t="inlineStr">
        <is>
          <t>SKÅNE LÄN</t>
        </is>
      </c>
      <c r="G242" t="inlineStr">
        <is>
          <t>KRISTIANSTAD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43939-2025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46321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44111-2025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46321</v>
      </c>
      <c r="F244" t="inlineStr">
        <is>
          <t>SKÅNE LÄN</t>
        </is>
      </c>
      <c r="G244" t="inlineStr">
        <is>
          <t>KRISTIANSTAD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45465</v>
      </c>
      <c r="E245" s="1" t="n">
        <v>46321</v>
      </c>
      <c r="F245" t="inlineStr">
        <is>
          <t>SKÅNE LÄN</t>
        </is>
      </c>
      <c r="G245" t="inlineStr">
        <is>
          <t>KRISTIANSTAD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30749-2024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45496</v>
      </c>
      <c r="E246" s="1" t="n">
        <v>46321</v>
      </c>
      <c r="F246" t="inlineStr">
        <is>
          <t>SKÅNE LÄN</t>
        </is>
      </c>
      <c r="G246" t="inlineStr">
        <is>
          <t>KRISTIANSTAD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52064-2024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45608</v>
      </c>
      <c r="E247" s="1" t="n">
        <v>46321</v>
      </c>
      <c r="F247" t="inlineStr">
        <is>
          <t>SKÅNE LÄN</t>
        </is>
      </c>
      <c r="G247" t="inlineStr">
        <is>
          <t>KRISTIANSTAD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46321</v>
      </c>
      <c r="F248" t="inlineStr">
        <is>
          <t>SKÅNE LÄN</t>
        </is>
      </c>
      <c r="G248" t="inlineStr">
        <is>
          <t>KRISTIANSTAD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46321</v>
      </c>
      <c r="F249" t="inlineStr">
        <is>
          <t>SKÅNE LÄN</t>
        </is>
      </c>
      <c r="G249" t="inlineStr">
        <is>
          <t>KRISTIANSTAD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53982-2022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44876</v>
      </c>
      <c r="E250" s="1" t="n">
        <v>46321</v>
      </c>
      <c r="F250" t="inlineStr">
        <is>
          <t>SKÅNE LÄN</t>
        </is>
      </c>
      <c r="G250" t="inlineStr">
        <is>
          <t>KRISTIANSTAD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18146-2022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44684</v>
      </c>
      <c r="E251" s="1" t="n">
        <v>46321</v>
      </c>
      <c r="F251" t="inlineStr">
        <is>
          <t>SKÅNE LÄN</t>
        </is>
      </c>
      <c r="G251" t="inlineStr">
        <is>
          <t>KRISTIANSTAD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11067-2022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44628</v>
      </c>
      <c r="E252" s="1" t="n">
        <v>46321</v>
      </c>
      <c r="F252" t="inlineStr">
        <is>
          <t>SKÅNE LÄN</t>
        </is>
      </c>
      <c r="G252" t="inlineStr">
        <is>
          <t>KRISTIANSTAD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45321</v>
      </c>
      <c r="E253" s="1" t="n">
        <v>46321</v>
      </c>
      <c r="F253" t="inlineStr">
        <is>
          <t>SKÅNE LÄN</t>
        </is>
      </c>
      <c r="G253" t="inlineStr">
        <is>
          <t>KRISTIANSTAD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56633-2022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44893</v>
      </c>
      <c r="E254" s="1" t="n">
        <v>46321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46321</v>
      </c>
      <c r="F255" t="inlineStr">
        <is>
          <t>SKÅNE LÄN</t>
        </is>
      </c>
      <c r="G255" t="inlineStr">
        <is>
          <t>KRISTIANSTAD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46343-2025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45925</v>
      </c>
      <c r="E256" s="1" t="n">
        <v>46321</v>
      </c>
      <c r="F256" t="inlineStr">
        <is>
          <t>SKÅNE LÄN</t>
        </is>
      </c>
      <c r="G256" t="inlineStr">
        <is>
          <t>KRISTIANSTAD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45903</v>
      </c>
      <c r="E257" s="1" t="n">
        <v>46321</v>
      </c>
      <c r="F257" t="inlineStr">
        <is>
          <t>SKÅNE LÄN</t>
        </is>
      </c>
      <c r="G257" t="inlineStr">
        <is>
          <t>KRISTIANSTAD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46336-2025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45925</v>
      </c>
      <c r="E258" s="1" t="n">
        <v>46321</v>
      </c>
      <c r="F258" t="inlineStr">
        <is>
          <t>SKÅNE LÄN</t>
        </is>
      </c>
      <c r="G258" t="inlineStr">
        <is>
          <t>KRISTIANSTAD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46340-2025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46321</v>
      </c>
      <c r="F259" t="inlineStr">
        <is>
          <t>SKÅNE LÄN</t>
        </is>
      </c>
      <c r="G259" t="inlineStr">
        <is>
          <t>KRISTIANSTAD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17025-2025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45755</v>
      </c>
      <c r="E260" s="1" t="n">
        <v>46321</v>
      </c>
      <c r="F260" t="inlineStr">
        <is>
          <t>SKÅNE LÄN</t>
        </is>
      </c>
      <c r="G260" t="inlineStr">
        <is>
          <t>KRISTIANSTAD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24347-2026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46169</v>
      </c>
      <c r="E261" s="1" t="n">
        <v>46321</v>
      </c>
      <c r="F261" t="inlineStr">
        <is>
          <t>SKÅNE LÄN</t>
        </is>
      </c>
      <c r="G261" t="inlineStr">
        <is>
          <t>KRISTIANSTAD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47303-2025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45930</v>
      </c>
      <c r="E262" s="1" t="n">
        <v>46321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45664</v>
      </c>
      <c r="E263" s="1" t="n">
        <v>46321</v>
      </c>
      <c r="F263" t="inlineStr">
        <is>
          <t>SKÅNE LÄN</t>
        </is>
      </c>
      <c r="G263" t="inlineStr">
        <is>
          <t>KRISTIANSTAD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45336</v>
      </c>
      <c r="E264" s="1" t="n">
        <v>46321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45882</v>
      </c>
      <c r="E265" s="1" t="n">
        <v>46321</v>
      </c>
      <c r="F265" t="inlineStr">
        <is>
          <t>SKÅNE LÄN</t>
        </is>
      </c>
      <c r="G265" t="inlineStr">
        <is>
          <t>KRISTIANSTAD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17613-2024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45416</v>
      </c>
      <c r="E266" s="1" t="n">
        <v>46321</v>
      </c>
      <c r="F266" t="inlineStr">
        <is>
          <t>SKÅNE LÄN</t>
        </is>
      </c>
      <c r="G266" t="inlineStr">
        <is>
          <t>KRISTIANSTAD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46321</v>
      </c>
      <c r="F267" t="inlineStr">
        <is>
          <t>SKÅNE LÄN</t>
        </is>
      </c>
      <c r="G267" t="inlineStr">
        <is>
          <t>KRISTIANSTAD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46321</v>
      </c>
      <c r="F268" t="inlineStr">
        <is>
          <t>SKÅNE LÄN</t>
        </is>
      </c>
      <c r="G268" t="inlineStr">
        <is>
          <t>KRISTIANSTAD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49143-2025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46321</v>
      </c>
      <c r="F269" t="inlineStr">
        <is>
          <t>SKÅNE LÄN</t>
        </is>
      </c>
      <c r="G269" t="inlineStr">
        <is>
          <t>KRISTIANSTAD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46321</v>
      </c>
      <c r="F270" t="inlineStr">
        <is>
          <t>SKÅNE LÄN</t>
        </is>
      </c>
      <c r="G270" t="inlineStr">
        <is>
          <t>KRISTIANSTAD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47665-2025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46321</v>
      </c>
      <c r="F271" t="inlineStr">
        <is>
          <t>SKÅNE LÄN</t>
        </is>
      </c>
      <c r="G271" t="inlineStr">
        <is>
          <t>KRISTIANSTAD</t>
        </is>
      </c>
      <c r="H271" t="inlineStr">
        <is>
          <t>Övriga Aktiebolag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44923</v>
      </c>
      <c r="E272" s="1" t="n">
        <v>46321</v>
      </c>
      <c r="F272" t="inlineStr">
        <is>
          <t>SKÅNE LÄN</t>
        </is>
      </c>
      <c r="G272" t="inlineStr">
        <is>
          <t>KRISTIANSTAD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48378-2025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46321</v>
      </c>
      <c r="F273" t="inlineStr">
        <is>
          <t>SKÅNE LÄN</t>
        </is>
      </c>
      <c r="G273" t="inlineStr">
        <is>
          <t>KRISTIANSTAD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43966-2025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45915</v>
      </c>
      <c r="E274" s="1" t="n">
        <v>46321</v>
      </c>
      <c r="F274" t="inlineStr">
        <is>
          <t>SKÅNE LÄN</t>
        </is>
      </c>
      <c r="G274" t="inlineStr">
        <is>
          <t>KRISTIANSTAD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46504-2022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44847</v>
      </c>
      <c r="E275" s="1" t="n">
        <v>46321</v>
      </c>
      <c r="F275" t="inlineStr">
        <is>
          <t>SKÅNE LÄN</t>
        </is>
      </c>
      <c r="G275" t="inlineStr">
        <is>
          <t>KRISTIANSTAD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45310</v>
      </c>
      <c r="E276" s="1" t="n">
        <v>46321</v>
      </c>
      <c r="F276" t="inlineStr">
        <is>
          <t>SKÅNE LÄN</t>
        </is>
      </c>
      <c r="G276" t="inlineStr">
        <is>
          <t>KRISTIANSTAD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10971-2023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44991</v>
      </c>
      <c r="E277" s="1" t="n">
        <v>46321</v>
      </c>
      <c r="F277" t="inlineStr">
        <is>
          <t>SKÅNE LÄN</t>
        </is>
      </c>
      <c r="G277" t="inlineStr">
        <is>
          <t>KRISTIANSTAD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13431-2022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44645</v>
      </c>
      <c r="E278" s="1" t="n">
        <v>46321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46321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49568-2025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46321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46321</v>
      </c>
      <c r="F281" t="inlineStr">
        <is>
          <t>SKÅNE LÄN</t>
        </is>
      </c>
      <c r="G281" t="inlineStr">
        <is>
          <t>KRISTIANSTAD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49630-2025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45939</v>
      </c>
      <c r="E282" s="1" t="n">
        <v>46321</v>
      </c>
      <c r="F282" t="inlineStr">
        <is>
          <t>SKÅNE LÄN</t>
        </is>
      </c>
      <c r="G282" t="inlineStr">
        <is>
          <t>KRISTIANSTAD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45939</v>
      </c>
      <c r="E283" s="1" t="n">
        <v>46321</v>
      </c>
      <c r="F283" t="inlineStr">
        <is>
          <t>SKÅNE LÄN</t>
        </is>
      </c>
      <c r="G283" t="inlineStr">
        <is>
          <t>KRISTIANSTAD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45307</v>
      </c>
      <c r="E284" s="1" t="n">
        <v>46321</v>
      </c>
      <c r="F284" t="inlineStr">
        <is>
          <t>SKÅNE LÄN</t>
        </is>
      </c>
      <c r="G284" t="inlineStr">
        <is>
          <t>KRISTIANSTAD</t>
        </is>
      </c>
      <c r="H284" t="inlineStr">
        <is>
          <t>Övriga Aktiebolag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45568</v>
      </c>
      <c r="E285" s="1" t="n">
        <v>46321</v>
      </c>
      <c r="F285" t="inlineStr">
        <is>
          <t>SKÅNE LÄN</t>
        </is>
      </c>
      <c r="G285" t="inlineStr">
        <is>
          <t>KRISTIANSTAD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24947-2023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45085</v>
      </c>
      <c r="E286" s="1" t="n">
        <v>46321</v>
      </c>
      <c r="F286" t="inlineStr">
        <is>
          <t>SKÅNE LÄN</t>
        </is>
      </c>
      <c r="G286" t="inlineStr">
        <is>
          <t>KRISTIANSTAD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45049</v>
      </c>
      <c r="E287" s="1" t="n">
        <v>46321</v>
      </c>
      <c r="F287" t="inlineStr">
        <is>
          <t>SKÅNE LÄN</t>
        </is>
      </c>
      <c r="G287" t="inlineStr">
        <is>
          <t>KRISTIANSTAD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46177</v>
      </c>
      <c r="E288" s="1" t="n">
        <v>46321</v>
      </c>
      <c r="F288" t="inlineStr">
        <is>
          <t>SKÅNE LÄN</t>
        </is>
      </c>
      <c r="G288" t="inlineStr">
        <is>
          <t>KRISTIANSTAD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11010-2024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46321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50655-2025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46321</v>
      </c>
      <c r="F290" t="inlineStr">
        <is>
          <t>SKÅNE LÄN</t>
        </is>
      </c>
      <c r="G290" t="inlineStr">
        <is>
          <t>KRISTIANSTAD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45370</v>
      </c>
      <c r="E291" s="1" t="n">
        <v>46321</v>
      </c>
      <c r="F291" t="inlineStr">
        <is>
          <t>SKÅNE LÄN</t>
        </is>
      </c>
      <c r="G291" t="inlineStr">
        <is>
          <t>KRISTIANSTAD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45812</v>
      </c>
      <c r="E292" s="1" t="n">
        <v>46321</v>
      </c>
      <c r="F292" t="inlineStr">
        <is>
          <t>SKÅNE LÄN</t>
        </is>
      </c>
      <c r="G292" t="inlineStr">
        <is>
          <t>KRISTIANSTAD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45420</v>
      </c>
      <c r="E293" s="1" t="n">
        <v>46321</v>
      </c>
      <c r="F293" t="inlineStr">
        <is>
          <t>SKÅNE LÄN</t>
        </is>
      </c>
      <c r="G293" t="inlineStr">
        <is>
          <t>KRISTIANSTAD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9020-2024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45357</v>
      </c>
      <c r="E294" s="1" t="n">
        <v>46321</v>
      </c>
      <c r="F294" t="inlineStr">
        <is>
          <t>SKÅNE LÄN</t>
        </is>
      </c>
      <c r="G294" t="inlineStr">
        <is>
          <t>KRISTIANSTAD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35026-2023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45144</v>
      </c>
      <c r="E295" s="1" t="n">
        <v>46321</v>
      </c>
      <c r="F295" t="inlineStr">
        <is>
          <t>SKÅNE LÄN</t>
        </is>
      </c>
      <c r="G295" t="inlineStr">
        <is>
          <t>KRISTIANSTAD</t>
        </is>
      </c>
      <c r="H295" t="inlineStr">
        <is>
          <t>Övriga Aktiebolag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50658-2025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45945</v>
      </c>
      <c r="E296" s="1" t="n">
        <v>46321</v>
      </c>
      <c r="F296" t="inlineStr">
        <is>
          <t>SKÅNE LÄN</t>
        </is>
      </c>
      <c r="G296" t="inlineStr">
        <is>
          <t>KRISTIANSTAD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50659-2025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45945</v>
      </c>
      <c r="E297" s="1" t="n">
        <v>46321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35948-2024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45533</v>
      </c>
      <c r="E298" s="1" t="n">
        <v>46321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35693-2024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45532</v>
      </c>
      <c r="E299" s="1" t="n">
        <v>46321</v>
      </c>
      <c r="F299" t="inlineStr">
        <is>
          <t>SKÅNE LÄN</t>
        </is>
      </c>
      <c r="G299" t="inlineStr">
        <is>
          <t>KRISTIANSTAD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26168-2026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46181</v>
      </c>
      <c r="E300" s="1" t="n">
        <v>46321</v>
      </c>
      <c r="F300" t="inlineStr">
        <is>
          <t>SKÅNE LÄN</t>
        </is>
      </c>
      <c r="G300" t="inlineStr">
        <is>
          <t>KRISTIANSTAD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46321</v>
      </c>
      <c r="F301" t="inlineStr">
        <is>
          <t>SKÅNE LÄN</t>
        </is>
      </c>
      <c r="G301" t="inlineStr">
        <is>
          <t>KRISTIANSTAD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44945</v>
      </c>
      <c r="E302" s="1" t="n">
        <v>46321</v>
      </c>
      <c r="F302" t="inlineStr">
        <is>
          <t>SKÅNE LÄN</t>
        </is>
      </c>
      <c r="G302" t="inlineStr">
        <is>
          <t>KRISTIANSTAD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44963</v>
      </c>
      <c r="E303" s="1" t="n">
        <v>46321</v>
      </c>
      <c r="F303" t="inlineStr">
        <is>
          <t>SKÅNE LÄN</t>
        </is>
      </c>
      <c r="G303" t="inlineStr">
        <is>
          <t>KRISTIANSTAD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34688-2024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45526</v>
      </c>
      <c r="E304" s="1" t="n">
        <v>46321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57987-2023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45247</v>
      </c>
      <c r="E305" s="1" t="n">
        <v>46321</v>
      </c>
      <c r="F305" t="inlineStr">
        <is>
          <t>SKÅNE LÄN</t>
        </is>
      </c>
      <c r="G305" t="inlineStr">
        <is>
          <t>KRISTIANSTAD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46321</v>
      </c>
      <c r="F306" t="inlineStr">
        <is>
          <t>SKÅNE LÄN</t>
        </is>
      </c>
      <c r="G306" t="inlineStr">
        <is>
          <t>KRISTIANSTAD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45954</v>
      </c>
      <c r="E307" s="1" t="n">
        <v>46321</v>
      </c>
      <c r="F307" t="inlineStr">
        <is>
          <t>SKÅNE LÄN</t>
        </is>
      </c>
      <c r="G307" t="inlineStr">
        <is>
          <t>KRISTIANSTAD</t>
        </is>
      </c>
      <c r="H307" t="inlineStr">
        <is>
          <t>Övriga Aktiebolag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52409-2025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46321</v>
      </c>
      <c r="F308" t="inlineStr">
        <is>
          <t>SKÅNE LÄN</t>
        </is>
      </c>
      <c r="G308" t="inlineStr">
        <is>
          <t>KRISTIANSTAD</t>
        </is>
      </c>
      <c r="H308" t="inlineStr">
        <is>
          <t>Övriga Aktiebolag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60460-2023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45258</v>
      </c>
      <c r="E309" s="1" t="n">
        <v>46321</v>
      </c>
      <c r="F309" t="inlineStr">
        <is>
          <t>SKÅNE LÄN</t>
        </is>
      </c>
      <c r="G309" t="inlineStr">
        <is>
          <t>KRISTIANSTAD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31525-2023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45116</v>
      </c>
      <c r="E310" s="1" t="n">
        <v>46321</v>
      </c>
      <c r="F310" t="inlineStr">
        <is>
          <t>SKÅNE LÄN</t>
        </is>
      </c>
      <c r="G310" t="inlineStr">
        <is>
          <t>KRISTIANSTAD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53179-2025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45958</v>
      </c>
      <c r="E311" s="1" t="n">
        <v>46321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46095-2023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45190</v>
      </c>
      <c r="E312" s="1" t="n">
        <v>46321</v>
      </c>
      <c r="F312" t="inlineStr">
        <is>
          <t>SKÅNE LÄN</t>
        </is>
      </c>
      <c r="G312" t="inlineStr">
        <is>
          <t>KRISTIANSTAD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46321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27447-2026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46321</v>
      </c>
      <c r="F314" t="inlineStr">
        <is>
          <t>SKÅNE LÄN</t>
        </is>
      </c>
      <c r="G314" t="inlineStr">
        <is>
          <t>KRISTIANSTAD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10748-2023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46321</v>
      </c>
      <c r="F315" t="inlineStr">
        <is>
          <t>SKÅNE LÄN</t>
        </is>
      </c>
      <c r="G315" t="inlineStr">
        <is>
          <t>KRISTIANSTAD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45902</v>
      </c>
      <c r="E316" s="1" t="n">
        <v>46321</v>
      </c>
      <c r="F316" t="inlineStr">
        <is>
          <t>SKÅNE LÄN</t>
        </is>
      </c>
      <c r="G316" t="inlineStr">
        <is>
          <t>KRISTIANSTAD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46321</v>
      </c>
      <c r="F317" t="inlineStr">
        <is>
          <t>SKÅNE LÄN</t>
        </is>
      </c>
      <c r="G317" t="inlineStr">
        <is>
          <t>KRISTIANSTAD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46041</v>
      </c>
      <c r="E318" s="1" t="n">
        <v>46321</v>
      </c>
      <c r="F318" t="inlineStr">
        <is>
          <t>SKÅNE LÄN</t>
        </is>
      </c>
      <c r="G318" t="inlineStr">
        <is>
          <t>KRISTIANSTAD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44579-2023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46321</v>
      </c>
      <c r="F319" t="inlineStr">
        <is>
          <t>SKÅNE LÄN</t>
        </is>
      </c>
      <c r="G319" t="inlineStr">
        <is>
          <t>KRISTIANSTAD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45803</v>
      </c>
      <c r="E320" s="1" t="n">
        <v>46321</v>
      </c>
      <c r="F320" t="inlineStr">
        <is>
          <t>SKÅNE LÄN</t>
        </is>
      </c>
      <c r="G320" t="inlineStr">
        <is>
          <t>KRISTIANSTAD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32714-2023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45121</v>
      </c>
      <c r="E321" s="1" t="n">
        <v>46321</v>
      </c>
      <c r="F321" t="inlineStr">
        <is>
          <t>SKÅNE LÄN</t>
        </is>
      </c>
      <c r="G321" t="inlineStr">
        <is>
          <t>KRISTIANSTAD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46321</v>
      </c>
      <c r="F322" t="inlineStr">
        <is>
          <t>SKÅNE LÄN</t>
        </is>
      </c>
      <c r="G322" t="inlineStr">
        <is>
          <t>KRISTIANSTAD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45668</v>
      </c>
      <c r="E323" s="1" t="n">
        <v>46321</v>
      </c>
      <c r="F323" t="inlineStr">
        <is>
          <t>SKÅNE LÄN</t>
        </is>
      </c>
      <c r="G323" t="inlineStr">
        <is>
          <t>KRISTIANSTAD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55631-2025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45972</v>
      </c>
      <c r="E324" s="1" t="n">
        <v>46321</v>
      </c>
      <c r="F324" t="inlineStr">
        <is>
          <t>SKÅNE LÄN</t>
        </is>
      </c>
      <c r="G324" t="inlineStr">
        <is>
          <t>KRISTIANSTAD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8804-2025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45712</v>
      </c>
      <c r="E325" s="1" t="n">
        <v>46321</v>
      </c>
      <c r="F325" t="inlineStr">
        <is>
          <t>SKÅNE LÄN</t>
        </is>
      </c>
      <c r="G325" t="inlineStr">
        <is>
          <t>KRISTIANSTAD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1668-2024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46321</v>
      </c>
      <c r="F326" t="inlineStr">
        <is>
          <t>SKÅNE LÄN</t>
        </is>
      </c>
      <c r="G326" t="inlineStr">
        <is>
          <t>KRISTIANSTAD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42898-2023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46321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15322-2023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45019</v>
      </c>
      <c r="E328" s="1" t="n">
        <v>46321</v>
      </c>
      <c r="F328" t="inlineStr">
        <is>
          <t>SKÅNE LÄN</t>
        </is>
      </c>
      <c r="G328" t="inlineStr">
        <is>
          <t>KRISTIANSTAD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56011-2025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46321</v>
      </c>
      <c r="F329" t="inlineStr">
        <is>
          <t>SKÅNE LÄN</t>
        </is>
      </c>
      <c r="G329" t="inlineStr">
        <is>
          <t>KRISTIANSTAD</t>
        </is>
      </c>
      <c r="H329" t="inlineStr">
        <is>
          <t>Övriga Aktiebolag</t>
        </is>
      </c>
      <c r="I329" t="n">
        <v>8.6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46321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11272-2023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44992</v>
      </c>
      <c r="E331" s="1" t="n">
        <v>46321</v>
      </c>
      <c r="F331" t="inlineStr">
        <is>
          <t>SKÅNE LÄN</t>
        </is>
      </c>
      <c r="G331" t="inlineStr">
        <is>
          <t>KRISTIANSTAD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44933</v>
      </c>
      <c r="E332" s="1" t="n">
        <v>46321</v>
      </c>
      <c r="F332" t="inlineStr">
        <is>
          <t>SKÅNE LÄN</t>
        </is>
      </c>
      <c r="G332" t="inlineStr">
        <is>
          <t>KRISTIANSTAD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46321</v>
      </c>
      <c r="F333" t="inlineStr">
        <is>
          <t>SKÅNE LÄN</t>
        </is>
      </c>
      <c r="G333" t="inlineStr">
        <is>
          <t>KRISTIANSTAD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28722-2026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46321</v>
      </c>
      <c r="F334" t="inlineStr">
        <is>
          <t>SKÅNE LÄN</t>
        </is>
      </c>
      <c r="G334" t="inlineStr">
        <is>
          <t>KRISTIANSTAD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45149</v>
      </c>
      <c r="E335" s="1" t="n">
        <v>46321</v>
      </c>
      <c r="F335" t="inlineStr">
        <is>
          <t>SKÅNE LÄN</t>
        </is>
      </c>
      <c r="G335" t="inlineStr">
        <is>
          <t>KRISTIANSTAD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13211-2023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45002</v>
      </c>
      <c r="E336" s="1" t="n">
        <v>46321</v>
      </c>
      <c r="F336" t="inlineStr">
        <is>
          <t>SKÅNE LÄN</t>
        </is>
      </c>
      <c r="G336" t="inlineStr">
        <is>
          <t>KRISTIANSTAD</t>
        </is>
      </c>
      <c r="H336" t="inlineStr">
        <is>
          <t>Kyrkan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61701-2024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45648</v>
      </c>
      <c r="E337" s="1" t="n">
        <v>46321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1833-2024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45307</v>
      </c>
      <c r="E338" s="1" t="n">
        <v>46321</v>
      </c>
      <c r="F338" t="inlineStr">
        <is>
          <t>SKÅNE LÄN</t>
        </is>
      </c>
      <c r="G338" t="inlineStr">
        <is>
          <t>KRISTIANSTAD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25803-2024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45467</v>
      </c>
      <c r="E339" s="1" t="n">
        <v>46321</v>
      </c>
      <c r="F339" t="inlineStr">
        <is>
          <t>SKÅNE LÄN</t>
        </is>
      </c>
      <c r="G339" t="inlineStr">
        <is>
          <t>KRISTIANSTAD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32705-2023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45121</v>
      </c>
      <c r="E340" s="1" t="n">
        <v>46321</v>
      </c>
      <c r="F340" t="inlineStr">
        <is>
          <t>SKÅNE LÄN</t>
        </is>
      </c>
      <c r="G340" t="inlineStr">
        <is>
          <t>KRISTIANSTAD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35022-2023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45144</v>
      </c>
      <c r="E341" s="1" t="n">
        <v>46321</v>
      </c>
      <c r="F341" t="inlineStr">
        <is>
          <t>SKÅNE LÄN</t>
        </is>
      </c>
      <c r="G341" t="inlineStr">
        <is>
          <t>KRISTIANSTAD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35023-2023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45144</v>
      </c>
      <c r="E342" s="1" t="n">
        <v>46321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15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57016-2025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46321</v>
      </c>
      <c r="F343" t="inlineStr">
        <is>
          <t>SKÅNE LÄN</t>
        </is>
      </c>
      <c r="G343" t="inlineStr">
        <is>
          <t>KRISTIANSTAD</t>
        </is>
      </c>
      <c r="I343" t="n">
        <v>7.6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46321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31374-2022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44774</v>
      </c>
      <c r="E345" s="1" t="n">
        <v>46321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50516-2022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44866</v>
      </c>
      <c r="E346" s="1" t="n">
        <v>46321</v>
      </c>
      <c r="F346" t="inlineStr">
        <is>
          <t>SKÅNE LÄN</t>
        </is>
      </c>
      <c r="G346" t="inlineStr">
        <is>
          <t>KRISTIANSTAD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29169-2026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46202</v>
      </c>
      <c r="E347" s="1" t="n">
        <v>46321</v>
      </c>
      <c r="F347" t="inlineStr">
        <is>
          <t>SKÅNE LÄN</t>
        </is>
      </c>
      <c r="G347" t="inlineStr">
        <is>
          <t>KRISTIANSTAD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46321</v>
      </c>
      <c r="F348" t="inlineStr">
        <is>
          <t>SKÅNE LÄN</t>
        </is>
      </c>
      <c r="G348" t="inlineStr">
        <is>
          <t>KRISTIANSTAD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46321</v>
      </c>
      <c r="F349" t="inlineStr">
        <is>
          <t>SKÅNE LÄN</t>
        </is>
      </c>
      <c r="G349" t="inlineStr">
        <is>
          <t>KRISTIANSTAD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46321</v>
      </c>
      <c r="F350" t="inlineStr">
        <is>
          <t>SKÅNE LÄN</t>
        </is>
      </c>
      <c r="G350" t="inlineStr">
        <is>
          <t>KRISTIANSTAD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13954-2025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45737</v>
      </c>
      <c r="E351" s="1" t="n">
        <v>46321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28442-2024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45477</v>
      </c>
      <c r="E352" s="1" t="n">
        <v>46321</v>
      </c>
      <c r="F352" t="inlineStr">
        <is>
          <t>SKÅNE LÄN</t>
        </is>
      </c>
      <c r="G352" t="inlineStr">
        <is>
          <t>KRISTIANSTAD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13952-2025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45737</v>
      </c>
      <c r="E353" s="1" t="n">
        <v>46321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13974-2025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45738</v>
      </c>
      <c r="E354" s="1" t="n">
        <v>46321</v>
      </c>
      <c r="F354" t="inlineStr">
        <is>
          <t>SKÅNE LÄN</t>
        </is>
      </c>
      <c r="G354" t="inlineStr">
        <is>
          <t>KRISTIANSTAD</t>
        </is>
      </c>
      <c r="I354" t="n">
        <v>11.3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58477-2025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45985</v>
      </c>
      <c r="E355" s="1" t="n">
        <v>46321</v>
      </c>
      <c r="F355" t="inlineStr">
        <is>
          <t>SKÅNE LÄN</t>
        </is>
      </c>
      <c r="G355" t="inlineStr">
        <is>
          <t>KRISTIANSTAD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45000</v>
      </c>
      <c r="E356" s="1" t="n">
        <v>46321</v>
      </c>
      <c r="F356" t="inlineStr">
        <is>
          <t>SKÅNE LÄN</t>
        </is>
      </c>
      <c r="G356" t="inlineStr">
        <is>
          <t>KRISTIANSTAD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46321</v>
      </c>
      <c r="F357" t="inlineStr">
        <is>
          <t>SKÅNE LÄN</t>
        </is>
      </c>
      <c r="G357" t="inlineStr">
        <is>
          <t>KRISTIANSTAD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40145-2024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45554</v>
      </c>
      <c r="E358" s="1" t="n">
        <v>46321</v>
      </c>
      <c r="F358" t="inlineStr">
        <is>
          <t>SKÅNE LÄN</t>
        </is>
      </c>
      <c r="G358" t="inlineStr">
        <is>
          <t>KRISTIANSTAD</t>
        </is>
      </c>
      <c r="I358" t="n">
        <v>7.5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45343</v>
      </c>
      <c r="E359" s="1" t="n">
        <v>46321</v>
      </c>
      <c r="F359" t="inlineStr">
        <is>
          <t>SKÅNE LÄN</t>
        </is>
      </c>
      <c r="G359" t="inlineStr">
        <is>
          <t>KRISTIANSTAD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30220-2024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45490</v>
      </c>
      <c r="E360" s="1" t="n">
        <v>46321</v>
      </c>
      <c r="F360" t="inlineStr">
        <is>
          <t>SKÅNE LÄN</t>
        </is>
      </c>
      <c r="G360" t="inlineStr">
        <is>
          <t>KRISTIANSTAD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40300-2024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46321</v>
      </c>
      <c r="F361" t="inlineStr">
        <is>
          <t>SKÅNE LÄN</t>
        </is>
      </c>
      <c r="G361" t="inlineStr">
        <is>
          <t>KRISTIANSTAD</t>
        </is>
      </c>
      <c r="I361" t="n">
        <v>12.6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58879-2025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45987</v>
      </c>
      <c r="E362" s="1" t="n">
        <v>46321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5.3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13263-2024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45386</v>
      </c>
      <c r="E363" s="1" t="n">
        <v>46321</v>
      </c>
      <c r="F363" t="inlineStr">
        <is>
          <t>SKÅNE LÄN</t>
        </is>
      </c>
      <c r="G363" t="inlineStr">
        <is>
          <t>KRISTIANSTAD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33988-2023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45134</v>
      </c>
      <c r="E364" s="1" t="n">
        <v>46321</v>
      </c>
      <c r="F364" t="inlineStr">
        <is>
          <t>SKÅNE LÄN</t>
        </is>
      </c>
      <c r="G364" t="inlineStr">
        <is>
          <t>KRISTIANSTAD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32156-2023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45106</v>
      </c>
      <c r="E365" s="1" t="n">
        <v>46321</v>
      </c>
      <c r="F365" t="inlineStr">
        <is>
          <t>SKÅNE LÄN</t>
        </is>
      </c>
      <c r="G365" t="inlineStr">
        <is>
          <t>KRISTIANSTAD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46321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45609-2023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45194</v>
      </c>
      <c r="E367" s="1" t="n">
        <v>46321</v>
      </c>
      <c r="F367" t="inlineStr">
        <is>
          <t>SKÅNE LÄN</t>
        </is>
      </c>
      <c r="G367" t="inlineStr">
        <is>
          <t>KRISTIANSTAD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46321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30811-2026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46212</v>
      </c>
      <c r="E369" s="1" t="n">
        <v>46321</v>
      </c>
      <c r="F369" t="inlineStr">
        <is>
          <t>SKÅNE LÄN</t>
        </is>
      </c>
      <c r="G369" t="inlineStr">
        <is>
          <t>KRISTIANSTAD</t>
        </is>
      </c>
      <c r="H369" t="inlineStr">
        <is>
          <t>Sveaskog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30851-2026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46212</v>
      </c>
      <c r="E370" s="1" t="n">
        <v>46321</v>
      </c>
      <c r="F370" t="inlineStr">
        <is>
          <t>SKÅNE LÄN</t>
        </is>
      </c>
      <c r="G370" t="inlineStr">
        <is>
          <t>KRISTIANSTAD</t>
        </is>
      </c>
      <c r="H370" t="inlineStr">
        <is>
          <t>Sveaskog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46214</v>
      </c>
      <c r="E371" s="1" t="n">
        <v>46321</v>
      </c>
      <c r="F371" t="inlineStr">
        <is>
          <t>SKÅNE LÄN</t>
        </is>
      </c>
      <c r="G371" t="inlineStr">
        <is>
          <t>KRISTIANSTAD</t>
        </is>
      </c>
      <c r="H371" t="inlineStr">
        <is>
          <t>Sveaskog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46212</v>
      </c>
      <c r="E372" s="1" t="n">
        <v>46321</v>
      </c>
      <c r="F372" t="inlineStr">
        <is>
          <t>SKÅNE LÄN</t>
        </is>
      </c>
      <c r="G372" t="inlineStr">
        <is>
          <t>KRISTIANSTAD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30849-2026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46212</v>
      </c>
      <c r="E373" s="1" t="n">
        <v>46321</v>
      </c>
      <c r="F373" t="inlineStr">
        <is>
          <t>SKÅNE LÄN</t>
        </is>
      </c>
      <c r="G373" t="inlineStr">
        <is>
          <t>KRISTIANSTAD</t>
        </is>
      </c>
      <c r="H373" t="inlineStr">
        <is>
          <t>Sveaskog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4080-2024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45323</v>
      </c>
      <c r="E374" s="1" t="n">
        <v>46321</v>
      </c>
      <c r="F374" t="inlineStr">
        <is>
          <t>SKÅNE LÄN</t>
        </is>
      </c>
      <c r="G374" t="inlineStr">
        <is>
          <t>KRISTIANSTAD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60008-2025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46321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60007-2025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45993</v>
      </c>
      <c r="E376" s="1" t="n">
        <v>46321</v>
      </c>
      <c r="F376" t="inlineStr">
        <is>
          <t>SKÅNE LÄN</t>
        </is>
      </c>
      <c r="G376" t="inlineStr">
        <is>
          <t>KRISTIANSTAD</t>
        </is>
      </c>
      <c r="H376" t="inlineStr">
        <is>
          <t>Övriga Aktiebolag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47232-2024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46321</v>
      </c>
      <c r="F377" t="inlineStr">
        <is>
          <t>SKÅNE LÄN</t>
        </is>
      </c>
      <c r="G377" t="inlineStr">
        <is>
          <t>KRISTIANSTAD</t>
        </is>
      </c>
      <c r="H377" t="inlineStr">
        <is>
          <t>Övriga Aktiebolag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60012-2025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46321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37999-2024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45544</v>
      </c>
      <c r="E379" s="1" t="n">
        <v>46321</v>
      </c>
      <c r="F379" t="inlineStr">
        <is>
          <t>SKÅNE LÄN</t>
        </is>
      </c>
      <c r="G379" t="inlineStr">
        <is>
          <t>KRISTIANSTAD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31219-2026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46217</v>
      </c>
      <c r="E380" s="1" t="n">
        <v>46321</v>
      </c>
      <c r="F380" t="inlineStr">
        <is>
          <t>SKÅNE LÄN</t>
        </is>
      </c>
      <c r="G380" t="inlineStr">
        <is>
          <t>KRISTIANSTAD</t>
        </is>
      </c>
      <c r="H380" t="inlineStr">
        <is>
          <t>Sveaskog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12134-2024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45377</v>
      </c>
      <c r="E381" s="1" t="n">
        <v>46321</v>
      </c>
      <c r="F381" t="inlineStr">
        <is>
          <t>SKÅNE LÄN</t>
        </is>
      </c>
      <c r="G381" t="inlineStr">
        <is>
          <t>KRISTIANSTAD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25766-2024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45465</v>
      </c>
      <c r="E382" s="1" t="n">
        <v>46321</v>
      </c>
      <c r="F382" t="inlineStr">
        <is>
          <t>SKÅNE LÄN</t>
        </is>
      </c>
      <c r="G382" t="inlineStr">
        <is>
          <t>KRISTIANSTAD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10062-2024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45364</v>
      </c>
      <c r="E383" s="1" t="n">
        <v>46321</v>
      </c>
      <c r="F383" t="inlineStr">
        <is>
          <t>SKÅNE LÄN</t>
        </is>
      </c>
      <c r="G383" t="inlineStr">
        <is>
          <t>KRISTIANSTAD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31292-2026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46218</v>
      </c>
      <c r="E384" s="1" t="n">
        <v>46321</v>
      </c>
      <c r="F384" t="inlineStr">
        <is>
          <t>SKÅNE LÄN</t>
        </is>
      </c>
      <c r="G384" t="inlineStr">
        <is>
          <t>KRISTIANSTAD</t>
        </is>
      </c>
      <c r="H384" t="inlineStr">
        <is>
          <t>Sveaskog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61348-2024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45646</v>
      </c>
      <c r="E385" s="1" t="n">
        <v>46321</v>
      </c>
      <c r="F385" t="inlineStr">
        <is>
          <t>SKÅNE LÄN</t>
        </is>
      </c>
      <c r="G385" t="inlineStr">
        <is>
          <t>KRISTIANSTAD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31486-2026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46223</v>
      </c>
      <c r="E386" s="1" t="n">
        <v>46321</v>
      </c>
      <c r="F386" t="inlineStr">
        <is>
          <t>SKÅNE LÄN</t>
        </is>
      </c>
      <c r="G386" t="inlineStr">
        <is>
          <t>KRISTIANSTAD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34610-2025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45846</v>
      </c>
      <c r="E387" s="1" t="n">
        <v>46321</v>
      </c>
      <c r="F387" t="inlineStr">
        <is>
          <t>SKÅNE LÄN</t>
        </is>
      </c>
      <c r="G387" t="inlineStr">
        <is>
          <t>KRISTIANSTAD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20714-2025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45776</v>
      </c>
      <c r="E388" s="1" t="n">
        <v>46321</v>
      </c>
      <c r="F388" t="inlineStr">
        <is>
          <t>SKÅNE LÄN</t>
        </is>
      </c>
      <c r="G388" t="inlineStr">
        <is>
          <t>KRISTIANSTAD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43312-2024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45568</v>
      </c>
      <c r="E389" s="1" t="n">
        <v>46321</v>
      </c>
      <c r="F389" t="inlineStr">
        <is>
          <t>SKÅNE LÄN</t>
        </is>
      </c>
      <c r="G389" t="inlineStr">
        <is>
          <t>KRISTIANSTAD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26907-2024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45470</v>
      </c>
      <c r="E390" s="1" t="n">
        <v>46321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31472-2026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46222</v>
      </c>
      <c r="E391" s="1" t="n">
        <v>46321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61557-2025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46001</v>
      </c>
      <c r="E392" s="1" t="n">
        <v>46321</v>
      </c>
      <c r="F392" t="inlineStr">
        <is>
          <t>SKÅNE LÄN</t>
        </is>
      </c>
      <c r="G392" t="inlineStr">
        <is>
          <t>KRISTIANSTAD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19997-2026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46321</v>
      </c>
      <c r="F393" t="inlineStr">
        <is>
          <t>SKÅNE LÄN</t>
        </is>
      </c>
      <c r="G393" t="inlineStr">
        <is>
          <t>KRISTIANSTAD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46321</v>
      </c>
      <c r="F394" t="inlineStr">
        <is>
          <t>SKÅNE LÄN</t>
        </is>
      </c>
      <c r="G394" t="inlineStr">
        <is>
          <t>KRISTIANSTAD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45443</v>
      </c>
      <c r="E395" s="1" t="n">
        <v>46321</v>
      </c>
      <c r="F395" t="inlineStr">
        <is>
          <t>SKÅNE LÄN</t>
        </is>
      </c>
      <c r="G395" t="inlineStr">
        <is>
          <t>KRISTIANSTAD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61137-2021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44497</v>
      </c>
      <c r="E396" s="1" t="n">
        <v>46321</v>
      </c>
      <c r="F396" t="inlineStr">
        <is>
          <t>SKÅNE LÄN</t>
        </is>
      </c>
      <c r="G396" t="inlineStr">
        <is>
          <t>KRISTIANSTAD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45217</v>
      </c>
      <c r="E397" s="1" t="n">
        <v>46321</v>
      </c>
      <c r="F397" t="inlineStr">
        <is>
          <t>SKÅNE LÄN</t>
        </is>
      </c>
      <c r="G397" t="inlineStr">
        <is>
          <t>KRISTIANSTAD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9002-2024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46321</v>
      </c>
      <c r="F398" t="inlineStr">
        <is>
          <t>SKÅNE LÄN</t>
        </is>
      </c>
      <c r="G398" t="inlineStr">
        <is>
          <t>KRISTIANSTAD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62685-2025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46321</v>
      </c>
      <c r="F399" t="inlineStr">
        <is>
          <t>SKÅNE LÄN</t>
        </is>
      </c>
      <c r="G399" t="inlineStr">
        <is>
          <t>KRISTIANSTAD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62539-2025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46007</v>
      </c>
      <c r="E400" s="1" t="n">
        <v>46321</v>
      </c>
      <c r="F400" t="inlineStr">
        <is>
          <t>SKÅNE LÄN</t>
        </is>
      </c>
      <c r="G400" t="inlineStr">
        <is>
          <t>KRISTIANSTAD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45233</v>
      </c>
      <c r="E401" s="1" t="n">
        <v>46321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17270-2024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45414</v>
      </c>
      <c r="E402" s="1" t="n">
        <v>46321</v>
      </c>
      <c r="F402" t="inlineStr">
        <is>
          <t>SKÅNE LÄN</t>
        </is>
      </c>
      <c r="G402" t="inlineStr">
        <is>
          <t>KRISTIANSTAD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32263-2026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46237</v>
      </c>
      <c r="E403" s="1" t="n">
        <v>46321</v>
      </c>
      <c r="F403" t="inlineStr">
        <is>
          <t>SKÅNE LÄN</t>
        </is>
      </c>
      <c r="G403" t="inlineStr">
        <is>
          <t>KRISTIANSTAD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45370</v>
      </c>
      <c r="E404" s="1" t="n">
        <v>46321</v>
      </c>
      <c r="F404" t="inlineStr">
        <is>
          <t>SKÅNE LÄN</t>
        </is>
      </c>
      <c r="G404" t="inlineStr">
        <is>
          <t>KRISTIANSTAD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38072-2026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46321</v>
      </c>
      <c r="F405" t="inlineStr">
        <is>
          <t>SKÅNE LÄN</t>
        </is>
      </c>
      <c r="G405" t="inlineStr">
        <is>
          <t>KRISTIANSTAD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44538-2024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46321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45803</v>
      </c>
      <c r="E407" s="1" t="n">
        <v>46321</v>
      </c>
      <c r="F407" t="inlineStr">
        <is>
          <t>SKÅNE LÄN</t>
        </is>
      </c>
      <c r="G407" t="inlineStr">
        <is>
          <t>KRISTIANSTAD</t>
        </is>
      </c>
      <c r="I407" t="n">
        <v>18.8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6858-2025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45700</v>
      </c>
      <c r="E408" s="1" t="n">
        <v>46321</v>
      </c>
      <c r="F408" t="inlineStr">
        <is>
          <t>SKÅNE LÄN</t>
        </is>
      </c>
      <c r="G408" t="inlineStr">
        <is>
          <t>KRISTIANSTAD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51248-2024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45603</v>
      </c>
      <c r="E409" s="1" t="n">
        <v>46321</v>
      </c>
      <c r="F409" t="inlineStr">
        <is>
          <t>SKÅNE LÄN</t>
        </is>
      </c>
      <c r="G409" t="inlineStr">
        <is>
          <t>KRISTIANSTAD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43321-2023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45183</v>
      </c>
      <c r="E410" s="1" t="n">
        <v>46321</v>
      </c>
      <c r="F410" t="inlineStr">
        <is>
          <t>SKÅNE LÄN</t>
        </is>
      </c>
      <c r="G410" t="inlineStr">
        <is>
          <t>KRISTIANSTAD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1358-2026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46031</v>
      </c>
      <c r="E411" s="1" t="n">
        <v>46321</v>
      </c>
      <c r="F411" t="inlineStr">
        <is>
          <t>SKÅNE LÄN</t>
        </is>
      </c>
      <c r="G411" t="inlineStr">
        <is>
          <t>KRISTIANSTAD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40037-2022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44818</v>
      </c>
      <c r="E412" s="1" t="n">
        <v>46321</v>
      </c>
      <c r="F412" t="inlineStr">
        <is>
          <t>SKÅNE LÄN</t>
        </is>
      </c>
      <c r="G412" t="inlineStr">
        <is>
          <t>KRISTIANSTAD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32990-2024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45517</v>
      </c>
      <c r="E413" s="1" t="n">
        <v>46321</v>
      </c>
      <c r="F413" t="inlineStr">
        <is>
          <t>SKÅNE LÄN</t>
        </is>
      </c>
      <c r="G413" t="inlineStr">
        <is>
          <t>KRISTIANSTAD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38719-2026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46284</v>
      </c>
      <c r="E414" s="1" t="n">
        <v>46321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46321</v>
      </c>
      <c r="F415" t="inlineStr">
        <is>
          <t>SKÅNE LÄN</t>
        </is>
      </c>
      <c r="G415" t="inlineStr">
        <is>
          <t>KRISTIANSTAD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17925-2024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45419</v>
      </c>
      <c r="E416" s="1" t="n">
        <v>46321</v>
      </c>
      <c r="F416" t="inlineStr">
        <is>
          <t>SKÅNE LÄN</t>
        </is>
      </c>
      <c r="G416" t="inlineStr">
        <is>
          <t>KRISTIANSTAD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2345-2026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46036</v>
      </c>
      <c r="E417" s="1" t="n">
        <v>46321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2215-2026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46031</v>
      </c>
      <c r="E418" s="1" t="n">
        <v>46321</v>
      </c>
      <c r="F418" t="inlineStr">
        <is>
          <t>SKÅNE LÄN</t>
        </is>
      </c>
      <c r="G418" t="inlineStr">
        <is>
          <t>KRISTIANSTAD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30893-2024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45498</v>
      </c>
      <c r="E419" s="1" t="n">
        <v>46321</v>
      </c>
      <c r="F419" t="inlineStr">
        <is>
          <t>SKÅNE LÄN</t>
        </is>
      </c>
      <c r="G419" t="inlineStr">
        <is>
          <t>KRISTIANSTAD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46042</v>
      </c>
      <c r="E420" s="1" t="n">
        <v>46321</v>
      </c>
      <c r="F420" t="inlineStr">
        <is>
          <t>SKÅNE LÄN</t>
        </is>
      </c>
      <c r="G420" t="inlineStr">
        <is>
          <t>KRISTIANSTAD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46042</v>
      </c>
      <c r="E421" s="1" t="n">
        <v>46321</v>
      </c>
      <c r="F421" t="inlineStr">
        <is>
          <t>SKÅNE LÄN</t>
        </is>
      </c>
      <c r="G421" t="inlineStr">
        <is>
          <t>KRISTIANSTAD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39230-2026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46287</v>
      </c>
      <c r="E422" s="1" t="n">
        <v>46321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46041</v>
      </c>
      <c r="E423" s="1" t="n">
        <v>46321</v>
      </c>
      <c r="F423" t="inlineStr">
        <is>
          <t>SKÅNE LÄN</t>
        </is>
      </c>
      <c r="G423" t="inlineStr">
        <is>
          <t>KRISTIANSTAD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46041</v>
      </c>
      <c r="E424" s="1" t="n">
        <v>46321</v>
      </c>
      <c r="F424" t="inlineStr">
        <is>
          <t>SKÅNE LÄN</t>
        </is>
      </c>
      <c r="G424" t="inlineStr">
        <is>
          <t>KRISTIANSTAD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46321</v>
      </c>
      <c r="F425" t="inlineStr">
        <is>
          <t>SKÅNE LÄN</t>
        </is>
      </c>
      <c r="G425" t="inlineStr">
        <is>
          <t>KRISTIANSTAD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3905-2026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46321</v>
      </c>
      <c r="F426" t="inlineStr">
        <is>
          <t>SKÅNE LÄN</t>
        </is>
      </c>
      <c r="G426" t="inlineStr">
        <is>
          <t>KRISTIANSTAD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39229-2026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46287</v>
      </c>
      <c r="E427" s="1" t="n">
        <v>46321</v>
      </c>
      <c r="F427" t="inlineStr">
        <is>
          <t>SKÅNE LÄN</t>
        </is>
      </c>
      <c r="G427" t="inlineStr">
        <is>
          <t>KRISTIANSTAD</t>
        </is>
      </c>
      <c r="H427" t="inlineStr">
        <is>
          <t>Sveaskog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46043</v>
      </c>
      <c r="E428" s="1" t="n">
        <v>46321</v>
      </c>
      <c r="F428" t="inlineStr">
        <is>
          <t>SKÅNE LÄN</t>
        </is>
      </c>
      <c r="G428" t="inlineStr">
        <is>
          <t>KRISTIANSTAD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1875-2026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46035</v>
      </c>
      <c r="E429" s="1" t="n">
        <v>46321</v>
      </c>
      <c r="F429" t="inlineStr">
        <is>
          <t>SKÅNE LÄN</t>
        </is>
      </c>
      <c r="G429" t="inlineStr">
        <is>
          <t>KRISTIANSTAD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46321</v>
      </c>
      <c r="F430" t="inlineStr">
        <is>
          <t>SKÅNE LÄN</t>
        </is>
      </c>
      <c r="G430" t="inlineStr">
        <is>
          <t>KRISTIANSTAD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3895-2026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46321</v>
      </c>
      <c r="F431" t="inlineStr">
        <is>
          <t>SKÅNE LÄN</t>
        </is>
      </c>
      <c r="G431" t="inlineStr">
        <is>
          <t>KRISTIANSTAD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45797</v>
      </c>
      <c r="E432" s="1" t="n">
        <v>46321</v>
      </c>
      <c r="F432" t="inlineStr">
        <is>
          <t>SKÅNE LÄN</t>
        </is>
      </c>
      <c r="G432" t="inlineStr">
        <is>
          <t>KRISTIANSTAD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45533</v>
      </c>
      <c r="E433" s="1" t="n">
        <v>46321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4834-2026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46321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39231-2026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46287</v>
      </c>
      <c r="E435" s="1" t="n">
        <v>46321</v>
      </c>
      <c r="F435" t="inlineStr">
        <is>
          <t>SKÅNE LÄN</t>
        </is>
      </c>
      <c r="G435" t="inlineStr">
        <is>
          <t>KRISTIANSTAD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39232-2026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46321</v>
      </c>
      <c r="F436" t="inlineStr">
        <is>
          <t>SKÅNE LÄN</t>
        </is>
      </c>
      <c r="G436" t="inlineStr">
        <is>
          <t>KRISTIANSTAD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46288</v>
      </c>
      <c r="E437" s="1" t="n">
        <v>46321</v>
      </c>
      <c r="F437" t="inlineStr">
        <is>
          <t>SKÅNE LÄN</t>
        </is>
      </c>
      <c r="G437" t="inlineStr">
        <is>
          <t>KRISTIANSTAD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45670</v>
      </c>
      <c r="E438" s="1" t="n">
        <v>46321</v>
      </c>
      <c r="F438" t="inlineStr">
        <is>
          <t>SKÅNE LÄN</t>
        </is>
      </c>
      <c r="G438" t="inlineStr">
        <is>
          <t>KRISTIANSTAD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24798-2025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45799</v>
      </c>
      <c r="E439" s="1" t="n">
        <v>46321</v>
      </c>
      <c r="F439" t="inlineStr">
        <is>
          <t>SKÅNE LÄN</t>
        </is>
      </c>
      <c r="G439" t="inlineStr">
        <is>
          <t>KRISTIANSTAD</t>
        </is>
      </c>
      <c r="H439" t="inlineStr">
        <is>
          <t>Övriga Aktiebolag</t>
        </is>
      </c>
      <c r="I439" t="n">
        <v>10.1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61703-2024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45648</v>
      </c>
      <c r="E440" s="1" t="n">
        <v>46321</v>
      </c>
      <c r="F440" t="inlineStr">
        <is>
          <t>SKÅNE LÄN</t>
        </is>
      </c>
      <c r="G440" t="inlineStr">
        <is>
          <t>KRISTIANSTAD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45553</v>
      </c>
      <c r="E441" s="1" t="n">
        <v>46321</v>
      </c>
      <c r="F441" t="inlineStr">
        <is>
          <t>SKÅNE LÄN</t>
        </is>
      </c>
      <c r="G441" t="inlineStr">
        <is>
          <t>KRISTIANSTAD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25860-2025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45804</v>
      </c>
      <c r="E442" s="1" t="n">
        <v>46321</v>
      </c>
      <c r="F442" t="inlineStr">
        <is>
          <t>SKÅNE LÄN</t>
        </is>
      </c>
      <c r="G442" t="inlineStr">
        <is>
          <t>KRISTIANSTAD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25433-2025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45800</v>
      </c>
      <c r="E443" s="1" t="n">
        <v>46321</v>
      </c>
      <c r="F443" t="inlineStr">
        <is>
          <t>SKÅNE LÄN</t>
        </is>
      </c>
      <c r="G443" t="inlineStr">
        <is>
          <t>KRISTIANSTAD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25809-2025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45804</v>
      </c>
      <c r="E444" s="1" t="n">
        <v>46321</v>
      </c>
      <c r="F444" t="inlineStr">
        <is>
          <t>SKÅNE LÄN</t>
        </is>
      </c>
      <c r="G444" t="inlineStr">
        <is>
          <t>KRISTIANSTAD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14611-2024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45396</v>
      </c>
      <c r="E445" s="1" t="n">
        <v>46321</v>
      </c>
      <c r="F445" t="inlineStr">
        <is>
          <t>SKÅNE LÄN</t>
        </is>
      </c>
      <c r="G445" t="inlineStr">
        <is>
          <t>KRISTIANSTAD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46057</v>
      </c>
      <c r="E446" s="1" t="n">
        <v>46321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45810</v>
      </c>
      <c r="E447" s="1" t="n">
        <v>46321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39743-2026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46321</v>
      </c>
      <c r="F448" t="inlineStr">
        <is>
          <t>SKÅNE LÄN</t>
        </is>
      </c>
      <c r="G448" t="inlineStr">
        <is>
          <t>KRISTIANSTAD</t>
        </is>
      </c>
      <c r="I448" t="n">
        <v>8.9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26678-2025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45810</v>
      </c>
      <c r="E449" s="1" t="n">
        <v>46321</v>
      </c>
      <c r="F449" t="inlineStr">
        <is>
          <t>SKÅNE LÄN</t>
        </is>
      </c>
      <c r="G449" t="inlineStr">
        <is>
          <t>KRISTIANSTAD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33702-2026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46250</v>
      </c>
      <c r="E450" s="1" t="n">
        <v>46321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46250</v>
      </c>
      <c r="E451" s="1" t="n">
        <v>46321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18059-2024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45420</v>
      </c>
      <c r="E452" s="1" t="n">
        <v>46321</v>
      </c>
      <c r="F452" t="inlineStr">
        <is>
          <t>SKÅNE LÄN</t>
        </is>
      </c>
      <c r="G452" t="inlineStr">
        <is>
          <t>KRISTIANSTAD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46069</v>
      </c>
      <c r="E453" s="1" t="n">
        <v>46321</v>
      </c>
      <c r="F453" t="inlineStr">
        <is>
          <t>SKÅNE LÄN</t>
        </is>
      </c>
      <c r="G453" t="inlineStr">
        <is>
          <t>KRISTIANSTAD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70705-2021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44537</v>
      </c>
      <c r="E454" s="1" t="n">
        <v>46321</v>
      </c>
      <c r="F454" t="inlineStr">
        <is>
          <t>SKÅNE LÄN</t>
        </is>
      </c>
      <c r="G454" t="inlineStr">
        <is>
          <t>KRISTIANSTAD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10263-2026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46076</v>
      </c>
      <c r="E455" s="1" t="n">
        <v>46321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34291-2026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46321</v>
      </c>
      <c r="F456" t="inlineStr">
        <is>
          <t>SKÅNE LÄN</t>
        </is>
      </c>
      <c r="G456" t="inlineStr">
        <is>
          <t>KRISTIANSTAD</t>
        </is>
      </c>
      <c r="H456" t="inlineStr">
        <is>
          <t>Sveaskog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46295</v>
      </c>
      <c r="E457" s="1" t="n">
        <v>46321</v>
      </c>
      <c r="F457" t="inlineStr">
        <is>
          <t>SKÅNE LÄN</t>
        </is>
      </c>
      <c r="G457" t="inlineStr">
        <is>
          <t>KRISTIANSTAD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33984-2025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45843</v>
      </c>
      <c r="E458" s="1" t="n">
        <v>46321</v>
      </c>
      <c r="F458" t="inlineStr">
        <is>
          <t>SKÅNE LÄN</t>
        </is>
      </c>
      <c r="G458" t="inlineStr">
        <is>
          <t>KRISTIANSTAD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40835-2026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46296</v>
      </c>
      <c r="E459" s="1" t="n">
        <v>46321</v>
      </c>
      <c r="F459" t="inlineStr">
        <is>
          <t>SKÅNE LÄN</t>
        </is>
      </c>
      <c r="G459" t="inlineStr">
        <is>
          <t>KRISTIANSTAD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11531-2026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46321</v>
      </c>
      <c r="F460" t="inlineStr">
        <is>
          <t>SKÅNE LÄN</t>
        </is>
      </c>
      <c r="G460" t="inlineStr">
        <is>
          <t>KRISTIANSTAD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45706</v>
      </c>
      <c r="E461" s="1" t="n">
        <v>46321</v>
      </c>
      <c r="F461" t="inlineStr">
        <is>
          <t>SKÅNE LÄN</t>
        </is>
      </c>
      <c r="G461" t="inlineStr">
        <is>
          <t>KRISTIANSTAD</t>
        </is>
      </c>
      <c r="I461" t="n">
        <v>11.8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46321</v>
      </c>
      <c r="F462" t="inlineStr">
        <is>
          <t>SKÅNE LÄN</t>
        </is>
      </c>
      <c r="G462" t="inlineStr">
        <is>
          <t>KRISTIANSTAD</t>
        </is>
      </c>
      <c r="H462" t="inlineStr">
        <is>
          <t>Sveaskog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34294-2026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46321</v>
      </c>
      <c r="F463" t="inlineStr">
        <is>
          <t>SKÅNE LÄN</t>
        </is>
      </c>
      <c r="G463" t="inlineStr">
        <is>
          <t>KRISTIANSTAD</t>
        </is>
      </c>
      <c r="H463" t="inlineStr">
        <is>
          <t>Sveaskog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13875-2025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45737</v>
      </c>
      <c r="E464" s="1" t="n">
        <v>46321</v>
      </c>
      <c r="F464" t="inlineStr">
        <is>
          <t>SKÅNE LÄN</t>
        </is>
      </c>
      <c r="G464" t="inlineStr">
        <is>
          <t>KRISTIANSTAD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31105-2025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45832</v>
      </c>
      <c r="E465" s="1" t="n">
        <v>46321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39997-2025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45894</v>
      </c>
      <c r="E466" s="1" t="n">
        <v>46321</v>
      </c>
      <c r="F466" t="inlineStr">
        <is>
          <t>SKÅNE LÄN</t>
        </is>
      </c>
      <c r="G466" t="inlineStr">
        <is>
          <t>KRISTIANSTAD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45894</v>
      </c>
      <c r="E467" s="1" t="n">
        <v>46321</v>
      </c>
      <c r="F467" t="inlineStr">
        <is>
          <t>SKÅNE LÄN</t>
        </is>
      </c>
      <c r="G467" t="inlineStr">
        <is>
          <t>KRISTIANSTAD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13940-2025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46321</v>
      </c>
      <c r="F468" t="inlineStr">
        <is>
          <t>SKÅNE LÄN</t>
        </is>
      </c>
      <c r="G468" t="inlineStr">
        <is>
          <t>KRISTIANSTAD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34159-2026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46321</v>
      </c>
      <c r="F469" t="inlineStr">
        <is>
          <t>SKÅNE LÄN</t>
        </is>
      </c>
      <c r="G469" t="inlineStr">
        <is>
          <t>KRISTIANSTAD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62295-2025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46006</v>
      </c>
      <c r="E470" s="1" t="n">
        <v>46321</v>
      </c>
      <c r="F470" t="inlineStr">
        <is>
          <t>SKÅNE LÄN</t>
        </is>
      </c>
      <c r="G470" t="inlineStr">
        <is>
          <t>KRISTIANSTAD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64835-2023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45282</v>
      </c>
      <c r="E471" s="1" t="n">
        <v>46321</v>
      </c>
      <c r="F471" t="inlineStr">
        <is>
          <t>SKÅNE LÄN</t>
        </is>
      </c>
      <c r="G471" t="inlineStr">
        <is>
          <t>KRISTIANSTAD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45737</v>
      </c>
      <c r="E472" s="1" t="n">
        <v>46321</v>
      </c>
      <c r="F472" t="inlineStr">
        <is>
          <t>SKÅNE LÄN</t>
        </is>
      </c>
      <c r="G472" t="inlineStr">
        <is>
          <t>KRISTIANSTAD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46321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38173-2025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45882</v>
      </c>
      <c r="E474" s="1" t="n">
        <v>46321</v>
      </c>
      <c r="F474" t="inlineStr">
        <is>
          <t>SKÅNE LÄN</t>
        </is>
      </c>
      <c r="G474" t="inlineStr">
        <is>
          <t>KRISTIANSTAD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46321</v>
      </c>
      <c r="F475" t="inlineStr">
        <is>
          <t>SKÅNE LÄN</t>
        </is>
      </c>
      <c r="G475" t="inlineStr">
        <is>
          <t>KRISTIANSTAD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40000-2025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45894</v>
      </c>
      <c r="E476" s="1" t="n">
        <v>46321</v>
      </c>
      <c r="F476" t="inlineStr">
        <is>
          <t>SKÅNE LÄN</t>
        </is>
      </c>
      <c r="G476" t="inlineStr">
        <is>
          <t>KRISTIANSTAD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15111-2023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45015</v>
      </c>
      <c r="E477" s="1" t="n">
        <v>46321</v>
      </c>
      <c r="F477" t="inlineStr">
        <is>
          <t>SKÅNE LÄN</t>
        </is>
      </c>
      <c r="G477" t="inlineStr">
        <is>
          <t>KRISTIANSTAD</t>
        </is>
      </c>
      <c r="H477" t="inlineStr">
        <is>
          <t>Kyrkan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34930-2026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46256</v>
      </c>
      <c r="E478" s="1" t="n">
        <v>46321</v>
      </c>
      <c r="F478" t="inlineStr">
        <is>
          <t>SKÅNE LÄN</t>
        </is>
      </c>
      <c r="G478" t="inlineStr">
        <is>
          <t>KRISTIANSTAD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31575-2025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45833</v>
      </c>
      <c r="E479" s="1" t="n">
        <v>46321</v>
      </c>
      <c r="F479" t="inlineStr">
        <is>
          <t>SKÅNE LÄN</t>
        </is>
      </c>
      <c r="G479" t="inlineStr">
        <is>
          <t>KRISTIANSTAD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21238-2024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45440</v>
      </c>
      <c r="E480" s="1" t="n">
        <v>46321</v>
      </c>
      <c r="F480" t="inlineStr">
        <is>
          <t>SKÅNE LÄN</t>
        </is>
      </c>
      <c r="G480" t="inlineStr">
        <is>
          <t>KRISTIANSTAD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41090-2026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46300</v>
      </c>
      <c r="E481" s="1" t="n">
        <v>46321</v>
      </c>
      <c r="F481" t="inlineStr">
        <is>
          <t>SKÅNE LÄN</t>
        </is>
      </c>
      <c r="G481" t="inlineStr">
        <is>
          <t>KRISTIANSTAD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17753-2025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45758</v>
      </c>
      <c r="E482" s="1" t="n">
        <v>46321</v>
      </c>
      <c r="F482" t="inlineStr">
        <is>
          <t>SKÅNE LÄN</t>
        </is>
      </c>
      <c r="G482" t="inlineStr">
        <is>
          <t>KRISTIANSTAD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46092</v>
      </c>
      <c r="E483" s="1" t="n">
        <v>46321</v>
      </c>
      <c r="F483" t="inlineStr">
        <is>
          <t>SKÅNE LÄN</t>
        </is>
      </c>
      <c r="G483" t="inlineStr">
        <is>
          <t>KRISTIANSTAD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41092-2026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46300</v>
      </c>
      <c r="E484" s="1" t="n">
        <v>46321</v>
      </c>
      <c r="F484" t="inlineStr">
        <is>
          <t>SKÅNE LÄN</t>
        </is>
      </c>
      <c r="G484" t="inlineStr">
        <is>
          <t>KRISTIANSTAD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41093-2026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46300</v>
      </c>
      <c r="E485" s="1" t="n">
        <v>46321</v>
      </c>
      <c r="F485" t="inlineStr">
        <is>
          <t>SKÅNE LÄN</t>
        </is>
      </c>
      <c r="G485" t="inlineStr">
        <is>
          <t>KRISTIANSTAD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41087-2026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46300</v>
      </c>
      <c r="E486" s="1" t="n">
        <v>46321</v>
      </c>
      <c r="F486" t="inlineStr">
        <is>
          <t>SKÅNE LÄN</t>
        </is>
      </c>
      <c r="G486" t="inlineStr">
        <is>
          <t>KRISTIANSTAD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12839-2026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46092</v>
      </c>
      <c r="E487" s="1" t="n">
        <v>46321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13430-2026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46094</v>
      </c>
      <c r="E488" s="1" t="n">
        <v>46321</v>
      </c>
      <c r="F488" t="inlineStr">
        <is>
          <t>SKÅNE LÄN</t>
        </is>
      </c>
      <c r="G488" t="inlineStr">
        <is>
          <t>KRISTIANSTAD</t>
        </is>
      </c>
      <c r="H488" t="inlineStr">
        <is>
          <t>Övriga Aktiebolag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41082-2026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46300</v>
      </c>
      <c r="E489" s="1" t="n">
        <v>46321</v>
      </c>
      <c r="F489" t="inlineStr">
        <is>
          <t>SKÅNE LÄN</t>
        </is>
      </c>
      <c r="G489" t="inlineStr">
        <is>
          <t>KRISTIANSTAD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46095</v>
      </c>
      <c r="E490" s="1" t="n">
        <v>46321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10.9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13444-2026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46094</v>
      </c>
      <c r="E491" s="1" t="n">
        <v>46321</v>
      </c>
      <c r="F491" t="inlineStr">
        <is>
          <t>SKÅNE LÄN</t>
        </is>
      </c>
      <c r="G491" t="inlineStr">
        <is>
          <t>KRISTIANSTAD</t>
        </is>
      </c>
      <c r="H491" t="inlineStr">
        <is>
          <t>Övriga Aktiebolag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46255</v>
      </c>
      <c r="E492" s="1" t="n">
        <v>46321</v>
      </c>
      <c r="F492" t="inlineStr">
        <is>
          <t>SKÅNE LÄN</t>
        </is>
      </c>
      <c r="G492" t="inlineStr">
        <is>
          <t>KRISTIANSTAD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3769-2024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45321</v>
      </c>
      <c r="E493" s="1" t="n">
        <v>46321</v>
      </c>
      <c r="F493" t="inlineStr">
        <is>
          <t>SKÅNE LÄN</t>
        </is>
      </c>
      <c r="G493" t="inlineStr">
        <is>
          <t>KRISTIANSTAD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16525-2024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46321</v>
      </c>
      <c r="F494" t="inlineStr">
        <is>
          <t>SKÅNE LÄN</t>
        </is>
      </c>
      <c r="G494" t="inlineStr">
        <is>
          <t>KRISTIANSTAD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9596-2025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45715</v>
      </c>
      <c r="E495" s="1" t="n">
        <v>46321</v>
      </c>
      <c r="F495" t="inlineStr">
        <is>
          <t>SKÅNE LÄN</t>
        </is>
      </c>
      <c r="G495" t="inlineStr">
        <is>
          <t>KRISTIANSTAD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13562-2025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45736</v>
      </c>
      <c r="E496" s="1" t="n">
        <v>46321</v>
      </c>
      <c r="F496" t="inlineStr">
        <is>
          <t>SKÅNE LÄN</t>
        </is>
      </c>
      <c r="G496" t="inlineStr">
        <is>
          <t>KRISTIANSTAD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46321</v>
      </c>
      <c r="F497" t="inlineStr">
        <is>
          <t>SKÅNE LÄN</t>
        </is>
      </c>
      <c r="G497" t="inlineStr">
        <is>
          <t>KRISTIANSTAD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14682-2023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46321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34131-2025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45845</v>
      </c>
      <c r="E499" s="1" t="n">
        <v>46321</v>
      </c>
      <c r="F499" t="inlineStr">
        <is>
          <t>SKÅNE LÄN</t>
        </is>
      </c>
      <c r="G499" t="inlineStr">
        <is>
          <t>KRISTIANSTAD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45706</v>
      </c>
      <c r="E500" s="1" t="n">
        <v>46321</v>
      </c>
      <c r="F500" t="inlineStr">
        <is>
          <t>SKÅNE LÄN</t>
        </is>
      </c>
      <c r="G500" t="inlineStr">
        <is>
          <t>KRISTIANSTAD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13664-2025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45736</v>
      </c>
      <c r="E501" s="1" t="n">
        <v>46321</v>
      </c>
      <c r="F501" t="inlineStr">
        <is>
          <t>SKÅNE LÄN</t>
        </is>
      </c>
      <c r="G501" t="inlineStr">
        <is>
          <t>KRISTIANSTAD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52495-2024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45609</v>
      </c>
      <c r="E502" s="1" t="n">
        <v>46321</v>
      </c>
      <c r="F502" t="inlineStr">
        <is>
          <t>SKÅNE LÄN</t>
        </is>
      </c>
      <c r="G502" t="inlineStr">
        <is>
          <t>KRISTIANSTAD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35158-2026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46260</v>
      </c>
      <c r="E503" s="1" t="n">
        <v>46321</v>
      </c>
      <c r="F503" t="inlineStr">
        <is>
          <t>SKÅNE LÄN</t>
        </is>
      </c>
      <c r="G503" t="inlineStr">
        <is>
          <t>KRISTIANSTAD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46260</v>
      </c>
      <c r="E504" s="1" t="n">
        <v>46321</v>
      </c>
      <c r="F504" t="inlineStr">
        <is>
          <t>SKÅNE LÄN</t>
        </is>
      </c>
      <c r="G504" t="inlineStr">
        <is>
          <t>KRISTIANSTAD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29832-2024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45485</v>
      </c>
      <c r="E505" s="1" t="n">
        <v>46321</v>
      </c>
      <c r="F505" t="inlineStr">
        <is>
          <t>SKÅNE LÄN</t>
        </is>
      </c>
      <c r="G505" t="inlineStr">
        <is>
          <t>KRISTIANSTAD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15890-2025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45749</v>
      </c>
      <c r="E506" s="1" t="n">
        <v>46321</v>
      </c>
      <c r="F506" t="inlineStr">
        <is>
          <t>SKÅNE LÄN</t>
        </is>
      </c>
      <c r="G506" t="inlineStr">
        <is>
          <t>KRISTIANSTAD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46321</v>
      </c>
      <c r="F507" t="inlineStr">
        <is>
          <t>SKÅNE LÄN</t>
        </is>
      </c>
      <c r="G507" t="inlineStr">
        <is>
          <t>KRISTIANSTAD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46111</v>
      </c>
      <c r="E508" s="1" t="n">
        <v>46321</v>
      </c>
      <c r="F508" t="inlineStr">
        <is>
          <t>SKÅNE LÄN</t>
        </is>
      </c>
      <c r="G508" t="inlineStr">
        <is>
          <t>KRISTIANSTAD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35721-2025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45860</v>
      </c>
      <c r="E509" s="1" t="n">
        <v>46321</v>
      </c>
      <c r="F509" t="inlineStr">
        <is>
          <t>SKÅNE LÄN</t>
        </is>
      </c>
      <c r="G509" t="inlineStr">
        <is>
          <t>KRISTIANSTAD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45337</v>
      </c>
      <c r="E510" s="1" t="n">
        <v>46321</v>
      </c>
      <c r="F510" t="inlineStr">
        <is>
          <t>SKÅNE LÄN</t>
        </is>
      </c>
      <c r="G510" t="inlineStr">
        <is>
          <t>KRISTIANSTAD</t>
        </is>
      </c>
      <c r="H510" t="inlineStr">
        <is>
          <t>Övriga Aktiebolag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30457-2025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45827</v>
      </c>
      <c r="E511" s="1" t="n">
        <v>46321</v>
      </c>
      <c r="F511" t="inlineStr">
        <is>
          <t>SKÅNE LÄN</t>
        </is>
      </c>
      <c r="G511" t="inlineStr">
        <is>
          <t>KRISTIANSTAD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61147-2021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44497</v>
      </c>
      <c r="E512" s="1" t="n">
        <v>46321</v>
      </c>
      <c r="F512" t="inlineStr">
        <is>
          <t>SKÅNE LÄN</t>
        </is>
      </c>
      <c r="G512" t="inlineStr">
        <is>
          <t>KRISTIANSTAD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22292-2022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44712</v>
      </c>
      <c r="E513" s="1" t="n">
        <v>46321</v>
      </c>
      <c r="F513" t="inlineStr">
        <is>
          <t>SKÅNE LÄN</t>
        </is>
      </c>
      <c r="G513" t="inlineStr">
        <is>
          <t>KRISTIANSTAD</t>
        </is>
      </c>
      <c r="H513" t="inlineStr">
        <is>
          <t>Övriga Aktiebolag</t>
        </is>
      </c>
      <c r="I513" t="n">
        <v>19.5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35327-2026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46261</v>
      </c>
      <c r="E514" s="1" t="n">
        <v>46321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32158-2024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45511</v>
      </c>
      <c r="E515" s="1" t="n">
        <v>46321</v>
      </c>
      <c r="F515" t="inlineStr">
        <is>
          <t>SKÅNE LÄN</t>
        </is>
      </c>
      <c r="G515" t="inlineStr">
        <is>
          <t>KRISTIANSTAD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17511-2026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46120</v>
      </c>
      <c r="E516" s="1" t="n">
        <v>46321</v>
      </c>
      <c r="F516" t="inlineStr">
        <is>
          <t>SKÅNE LÄN</t>
        </is>
      </c>
      <c r="G516" t="inlineStr">
        <is>
          <t>KRISTIANSTAD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46120</v>
      </c>
      <c r="E517" s="1" t="n">
        <v>46321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17514-2026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46321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46120</v>
      </c>
      <c r="E519" s="1" t="n">
        <v>46321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9.199999999999999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36916-2025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45874</v>
      </c>
      <c r="E520" s="1" t="n">
        <v>46321</v>
      </c>
      <c r="F520" t="inlineStr">
        <is>
          <t>SKÅNE LÄN</t>
        </is>
      </c>
      <c r="G520" t="inlineStr">
        <is>
          <t>KRISTIANSTAD</t>
        </is>
      </c>
      <c r="I520" t="n">
        <v>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37140-2025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45874</v>
      </c>
      <c r="E521" s="1" t="n">
        <v>46321</v>
      </c>
      <c r="F521" t="inlineStr">
        <is>
          <t>SKÅNE LÄN</t>
        </is>
      </c>
      <c r="G521" t="inlineStr">
        <is>
          <t>KRISTIANSTAD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45874</v>
      </c>
      <c r="E522" s="1" t="n">
        <v>46321</v>
      </c>
      <c r="F522" t="inlineStr">
        <is>
          <t>SKÅNE LÄN</t>
        </is>
      </c>
      <c r="G522" t="inlineStr">
        <is>
          <t>KRISTIANSTAD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42572-2026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46308</v>
      </c>
      <c r="E523" s="1" t="n">
        <v>46321</v>
      </c>
      <c r="F523" t="inlineStr">
        <is>
          <t>SKÅNE LÄN</t>
        </is>
      </c>
      <c r="G523" t="inlineStr">
        <is>
          <t>KRISTIANSTAD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18945-2026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46129</v>
      </c>
      <c r="E524" s="1" t="n">
        <v>46321</v>
      </c>
      <c r="F524" t="inlineStr">
        <is>
          <t>SKÅNE LÄN</t>
        </is>
      </c>
      <c r="G524" t="inlineStr">
        <is>
          <t>KRISTIANSTAD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45303</v>
      </c>
      <c r="E525" s="1" t="n">
        <v>46321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19.7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22504-2022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44713</v>
      </c>
      <c r="E526" s="1" t="n">
        <v>46321</v>
      </c>
      <c r="F526" t="inlineStr">
        <is>
          <t>SKÅNE LÄN</t>
        </is>
      </c>
      <c r="G526" t="inlineStr">
        <is>
          <t>KRISTIANSTAD</t>
        </is>
      </c>
      <c r="H526" t="inlineStr">
        <is>
          <t>Övriga Aktiebolag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17693-2024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45418</v>
      </c>
      <c r="E527" s="1" t="n">
        <v>46321</v>
      </c>
      <c r="F527" t="inlineStr">
        <is>
          <t>SKÅNE LÄN</t>
        </is>
      </c>
      <c r="G527" t="inlineStr">
        <is>
          <t>KRISTIANSTAD</t>
        </is>
      </c>
      <c r="H527" t="inlineStr">
        <is>
          <t>Övriga Aktiebolag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46321</v>
      </c>
      <c r="F528" t="inlineStr">
        <is>
          <t>SKÅNE LÄN</t>
        </is>
      </c>
      <c r="G528" t="inlineStr">
        <is>
          <t>KRISTIANSTAD</t>
        </is>
      </c>
      <c r="H528" t="inlineStr">
        <is>
          <t>Övriga Aktiebolag</t>
        </is>
      </c>
      <c r="I528" t="n">
        <v>19.8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45581</v>
      </c>
      <c r="E529" s="1" t="n">
        <v>46321</v>
      </c>
      <c r="F529" t="inlineStr">
        <is>
          <t>SKÅNE LÄN</t>
        </is>
      </c>
      <c r="G529" t="inlineStr">
        <is>
          <t>KRISTIANSTAD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51898-2024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45607</v>
      </c>
      <c r="E530" s="1" t="n">
        <v>46321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40896-2024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45558</v>
      </c>
      <c r="E531" s="1" t="n">
        <v>46321</v>
      </c>
      <c r="F531" t="inlineStr">
        <is>
          <t>SKÅNE LÄN</t>
        </is>
      </c>
      <c r="G531" t="inlineStr">
        <is>
          <t>KRISTIANSTAD</t>
        </is>
      </c>
      <c r="H531" t="inlineStr">
        <is>
          <t>Övriga Aktiebolag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40903-2024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46321</v>
      </c>
      <c r="F532" t="inlineStr">
        <is>
          <t>SKÅNE LÄN</t>
        </is>
      </c>
      <c r="G532" t="inlineStr">
        <is>
          <t>KRISTIANSTAD</t>
        </is>
      </c>
      <c r="H532" t="inlineStr">
        <is>
          <t>Övriga Aktiebolag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7546-2022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44607</v>
      </c>
      <c r="E533" s="1" t="n">
        <v>46321</v>
      </c>
      <c r="F533" t="inlineStr">
        <is>
          <t>SKÅNE LÄN</t>
        </is>
      </c>
      <c r="G533" t="inlineStr">
        <is>
          <t>KRISTIANSTAD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51903-2024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46321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13953-2025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45737</v>
      </c>
      <c r="E535" s="1" t="n">
        <v>46321</v>
      </c>
      <c r="F535" t="inlineStr">
        <is>
          <t>SKÅNE LÄN</t>
        </is>
      </c>
      <c r="G535" t="inlineStr">
        <is>
          <t>KRISTIANSTAD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20891-2025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45777</v>
      </c>
      <c r="E536" s="1" t="n">
        <v>46321</v>
      </c>
      <c r="F536" t="inlineStr">
        <is>
          <t>SKÅNE LÄN</t>
        </is>
      </c>
      <c r="G536" t="inlineStr">
        <is>
          <t>KRISTIANSTAD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48173-2024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45589</v>
      </c>
      <c r="E537" s="1" t="n">
        <v>46321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44378-2024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45573</v>
      </c>
      <c r="E538" s="1" t="n">
        <v>46321</v>
      </c>
      <c r="F538" t="inlineStr">
        <is>
          <t>SKÅNE LÄN</t>
        </is>
      </c>
      <c r="G538" t="inlineStr">
        <is>
          <t>KRISTIANSTAD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44993</v>
      </c>
      <c r="E539" s="1" t="n">
        <v>46321</v>
      </c>
      <c r="F539" t="inlineStr">
        <is>
          <t>SKÅNE LÄN</t>
        </is>
      </c>
      <c r="G539" t="inlineStr">
        <is>
          <t>KRISTIANSTAD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42450-2026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46308</v>
      </c>
      <c r="E540" s="1" t="n">
        <v>46321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27402-2026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46189</v>
      </c>
      <c r="E541" s="1" t="n">
        <v>46321</v>
      </c>
      <c r="F541" t="inlineStr">
        <is>
          <t>SKÅNE LÄN</t>
        </is>
      </c>
      <c r="G541" t="inlineStr">
        <is>
          <t>KRISTIANSTAD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45482</v>
      </c>
      <c r="E542" s="1" t="n">
        <v>46321</v>
      </c>
      <c r="F542" t="inlineStr">
        <is>
          <t>SKÅNE LÄN</t>
        </is>
      </c>
      <c r="G542" t="inlineStr">
        <is>
          <t>KRISTIANSTAD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15887-2025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45749</v>
      </c>
      <c r="E543" s="1" t="n">
        <v>46321</v>
      </c>
      <c r="F543" t="inlineStr">
        <is>
          <t>SKÅNE LÄN</t>
        </is>
      </c>
      <c r="G543" t="inlineStr">
        <is>
          <t>KRISTIANSTAD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11997-2023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46321</v>
      </c>
      <c r="F544" t="inlineStr">
        <is>
          <t>SKÅNE LÄN</t>
        </is>
      </c>
      <c r="G544" t="inlineStr">
        <is>
          <t>KRISTIANSTAD</t>
        </is>
      </c>
      <c r="I544" t="n">
        <v>5.4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46321</v>
      </c>
      <c r="F545" t="inlineStr">
        <is>
          <t>SKÅNE LÄN</t>
        </is>
      </c>
      <c r="G545" t="inlineStr">
        <is>
          <t>KRISTIANSTAD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48217-2022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44853</v>
      </c>
      <c r="E546" s="1" t="n">
        <v>46321</v>
      </c>
      <c r="F546" t="inlineStr">
        <is>
          <t>SKÅNE LÄN</t>
        </is>
      </c>
      <c r="G546" t="inlineStr">
        <is>
          <t>KRISTIANSTAD</t>
        </is>
      </c>
      <c r="H546" t="inlineStr">
        <is>
          <t>Kyrkan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16565-2024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45408</v>
      </c>
      <c r="E547" s="1" t="n">
        <v>46321</v>
      </c>
      <c r="F547" t="inlineStr">
        <is>
          <t>SKÅNE LÄN</t>
        </is>
      </c>
      <c r="G547" t="inlineStr">
        <is>
          <t>KRISTIANSTAD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5987-2022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44599</v>
      </c>
      <c r="E548" s="1" t="n">
        <v>46321</v>
      </c>
      <c r="F548" t="inlineStr">
        <is>
          <t>SKÅNE LÄN</t>
        </is>
      </c>
      <c r="G548" t="inlineStr">
        <is>
          <t>KRISTIANSTAD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20302-2026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46136</v>
      </c>
      <c r="E549" s="1" t="n">
        <v>46321</v>
      </c>
      <c r="F549" t="inlineStr">
        <is>
          <t>SKÅNE LÄN</t>
        </is>
      </c>
      <c r="G549" t="inlineStr">
        <is>
          <t>KRISTIANSTAD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36633-2026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46271</v>
      </c>
      <c r="E550" s="1" t="n">
        <v>46321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43418-2026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46314</v>
      </c>
      <c r="E551" s="1" t="n">
        <v>46321</v>
      </c>
      <c r="F551" t="inlineStr">
        <is>
          <t>SKÅNE LÄN</t>
        </is>
      </c>
      <c r="G551" t="inlineStr">
        <is>
          <t>KRISTIANSTAD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36628-2026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46271</v>
      </c>
      <c r="E552" s="1" t="n">
        <v>46321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36631-2026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46271</v>
      </c>
      <c r="E553" s="1" t="n">
        <v>46321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32397-2023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45120</v>
      </c>
      <c r="E554" s="1" t="n">
        <v>46321</v>
      </c>
      <c r="F554" t="inlineStr">
        <is>
          <t>SKÅNE LÄN</t>
        </is>
      </c>
      <c r="G554" t="inlineStr">
        <is>
          <t>KRISTIANSTAD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24930-2024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45461</v>
      </c>
      <c r="E555" s="1" t="n">
        <v>46321</v>
      </c>
      <c r="F555" t="inlineStr">
        <is>
          <t>SKÅNE LÄN</t>
        </is>
      </c>
      <c r="G555" t="inlineStr">
        <is>
          <t>KRISTIANSTAD</t>
        </is>
      </c>
      <c r="H555" t="inlineStr">
        <is>
          <t>Sveaskog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17043-2024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45412</v>
      </c>
      <c r="E556" s="1" t="n">
        <v>46321</v>
      </c>
      <c r="F556" t="inlineStr">
        <is>
          <t>SKÅNE LÄN</t>
        </is>
      </c>
      <c r="G556" t="inlineStr">
        <is>
          <t>KRISTIANSTAD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43368-2026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46310</v>
      </c>
      <c r="E557" s="1" t="n">
        <v>46321</v>
      </c>
      <c r="F557" t="inlineStr">
        <is>
          <t>SKÅNE LÄN</t>
        </is>
      </c>
      <c r="G557" t="inlineStr">
        <is>
          <t>KRISTIANSTAD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46321</v>
      </c>
      <c r="F558" t="inlineStr">
        <is>
          <t>SKÅNE LÄN</t>
        </is>
      </c>
      <c r="G558" t="inlineStr">
        <is>
          <t>KRISTIANSTAD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36632-2026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46271</v>
      </c>
      <c r="E559" s="1" t="n">
        <v>46321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46321</v>
      </c>
      <c r="F560" t="inlineStr">
        <is>
          <t>SKÅNE LÄN</t>
        </is>
      </c>
      <c r="G560" t="inlineStr">
        <is>
          <t>KRISTIANSTAD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62397-2022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44923</v>
      </c>
      <c r="E561" s="1" t="n">
        <v>46321</v>
      </c>
      <c r="F561" t="inlineStr">
        <is>
          <t>SKÅNE LÄN</t>
        </is>
      </c>
      <c r="G561" t="inlineStr">
        <is>
          <t>KRISTIANSTAD</t>
        </is>
      </c>
      <c r="I561" t="n">
        <v>12.6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48217-2022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44853</v>
      </c>
      <c r="E562" s="1" t="n">
        <v>46321</v>
      </c>
      <c r="F562" t="inlineStr">
        <is>
          <t>SKÅNE LÄN</t>
        </is>
      </c>
      <c r="G562" t="inlineStr">
        <is>
          <t>KRISTIANSTAD</t>
        </is>
      </c>
      <c r="H562" t="inlineStr">
        <is>
          <t>Kyrkan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45577</v>
      </c>
      <c r="E563" s="1" t="n">
        <v>46321</v>
      </c>
      <c r="F563" t="inlineStr">
        <is>
          <t>SKÅNE LÄN</t>
        </is>
      </c>
      <c r="G563" t="inlineStr">
        <is>
          <t>KRISTIANSTAD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46772-2023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45198</v>
      </c>
      <c r="E564" s="1" t="n">
        <v>46321</v>
      </c>
      <c r="F564" t="inlineStr">
        <is>
          <t>SKÅNE LÄN</t>
        </is>
      </c>
      <c r="G564" t="inlineStr">
        <is>
          <t>KRISTIANSTAD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56930-2022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44894</v>
      </c>
      <c r="E565" s="1" t="n">
        <v>46321</v>
      </c>
      <c r="F565" t="inlineStr">
        <is>
          <t>SKÅNE LÄN</t>
        </is>
      </c>
      <c r="G565" t="inlineStr">
        <is>
          <t>KRISTIANSTAD</t>
        </is>
      </c>
      <c r="H565" t="inlineStr">
        <is>
          <t>Kyrkan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18524-2023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45042</v>
      </c>
      <c r="E566" s="1" t="n">
        <v>46321</v>
      </c>
      <c r="F566" t="inlineStr">
        <is>
          <t>SKÅNE LÄN</t>
        </is>
      </c>
      <c r="G566" t="inlineStr">
        <is>
          <t>KRISTIANSTAD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46272</v>
      </c>
      <c r="E567" s="1" t="n">
        <v>46321</v>
      </c>
      <c r="F567" t="inlineStr">
        <is>
          <t>SKÅNE LÄN</t>
        </is>
      </c>
      <c r="G567" t="inlineStr">
        <is>
          <t>KRISTIANSTAD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36902-2026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46273</v>
      </c>
      <c r="E568" s="1" t="n">
        <v>46321</v>
      </c>
      <c r="F568" t="inlineStr">
        <is>
          <t>SKÅNE LÄN</t>
        </is>
      </c>
      <c r="G568" t="inlineStr">
        <is>
          <t>KRISTIANSTAD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36838-2026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46321</v>
      </c>
      <c r="F569" t="inlineStr">
        <is>
          <t>SKÅNE LÄN</t>
        </is>
      </c>
      <c r="G569" t="inlineStr">
        <is>
          <t>KRISTIANSTAD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36833-2026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46272</v>
      </c>
      <c r="E570" s="1" t="n">
        <v>46321</v>
      </c>
      <c r="F570" t="inlineStr">
        <is>
          <t>SKÅNE LÄN</t>
        </is>
      </c>
      <c r="G570" t="inlineStr">
        <is>
          <t>KRISTIANSTAD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45338</v>
      </c>
      <c r="E571" s="1" t="n">
        <v>46321</v>
      </c>
      <c r="F571" t="inlineStr">
        <is>
          <t>SKÅNE LÄN</t>
        </is>
      </c>
      <c r="G571" t="inlineStr">
        <is>
          <t>KRISTIANSTAD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42986-2026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46310</v>
      </c>
      <c r="E572" s="1" t="n">
        <v>46321</v>
      </c>
      <c r="F572" t="inlineStr">
        <is>
          <t>SKÅNE LÄN</t>
        </is>
      </c>
      <c r="G572" t="inlineStr">
        <is>
          <t>KRISTIANSTAD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46627-2024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45583</v>
      </c>
      <c r="E573" s="1" t="n">
        <v>46321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39558-2026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46289</v>
      </c>
      <c r="E574" s="1" t="n">
        <v>46321</v>
      </c>
      <c r="F574" t="inlineStr">
        <is>
          <t>SKÅNE LÄN</t>
        </is>
      </c>
      <c r="G574" t="inlineStr">
        <is>
          <t>KRISTIANSTAD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20651-2026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46141</v>
      </c>
      <c r="E575" s="1" t="n">
        <v>46321</v>
      </c>
      <c r="F575" t="inlineStr">
        <is>
          <t>SKÅNE LÄN</t>
        </is>
      </c>
      <c r="G575" t="inlineStr">
        <is>
          <t>KRISTIANSTAD</t>
        </is>
      </c>
      <c r="H575" t="inlineStr">
        <is>
          <t>Sveaskog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37532-2026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46276</v>
      </c>
      <c r="E576" s="1" t="n">
        <v>46321</v>
      </c>
      <c r="F576" t="inlineStr">
        <is>
          <t>SKÅNE LÄN</t>
        </is>
      </c>
      <c r="G576" t="inlineStr">
        <is>
          <t>KRISTIANSTAD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37525-2026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46276</v>
      </c>
      <c r="E577" s="1" t="n">
        <v>46321</v>
      </c>
      <c r="F577" t="inlineStr">
        <is>
          <t>SKÅNE LÄN</t>
        </is>
      </c>
      <c r="G577" t="inlineStr">
        <is>
          <t>KRISTIANSTAD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43448-2026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46314</v>
      </c>
      <c r="E578" s="1" t="n">
        <v>46321</v>
      </c>
      <c r="F578" t="inlineStr">
        <is>
          <t>SKÅNE LÄN</t>
        </is>
      </c>
      <c r="G578" t="inlineStr">
        <is>
          <t>KRISTIANSTAD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32849-2026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46244</v>
      </c>
      <c r="E579" s="1" t="n">
        <v>46321</v>
      </c>
      <c r="F579" t="inlineStr">
        <is>
          <t>SKÅNE LÄN</t>
        </is>
      </c>
      <c r="G579" t="inlineStr">
        <is>
          <t>KRISTIANSTAD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37571-2026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46276</v>
      </c>
      <c r="E580" s="1" t="n">
        <v>46321</v>
      </c>
      <c r="F580" t="inlineStr">
        <is>
          <t>SKÅNE LÄN</t>
        </is>
      </c>
      <c r="G580" t="inlineStr">
        <is>
          <t>KRISTIANSTAD</t>
        </is>
      </c>
      <c r="H580" t="inlineStr">
        <is>
          <t>Sveaskog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37522-2026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46276</v>
      </c>
      <c r="E581" s="1" t="n">
        <v>46321</v>
      </c>
      <c r="F581" t="inlineStr">
        <is>
          <t>SKÅNE LÄN</t>
        </is>
      </c>
      <c r="G581" t="inlineStr">
        <is>
          <t>KRISTIANSTAD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38000-2024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45544</v>
      </c>
      <c r="E582" s="1" t="n">
        <v>46321</v>
      </c>
      <c r="F582" t="inlineStr">
        <is>
          <t>SKÅNE LÄN</t>
        </is>
      </c>
      <c r="G582" t="inlineStr">
        <is>
          <t>KRISTIANSTAD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44946</v>
      </c>
      <c r="E583" s="1" t="n">
        <v>46321</v>
      </c>
      <c r="F583" t="inlineStr">
        <is>
          <t>SKÅNE LÄN</t>
        </is>
      </c>
      <c r="G583" t="inlineStr">
        <is>
          <t>KRISTIANSTAD</t>
        </is>
      </c>
      <c r="I583" t="n">
        <v>5.2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27961-2022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44744</v>
      </c>
      <c r="E584" s="1" t="n">
        <v>46321</v>
      </c>
      <c r="F584" t="inlineStr">
        <is>
          <t>SKÅNE LÄN</t>
        </is>
      </c>
      <c r="G584" t="inlineStr">
        <is>
          <t>KRISTIANSTAD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45228</v>
      </c>
      <c r="E585" s="1" t="n">
        <v>46321</v>
      </c>
      <c r="F585" t="inlineStr">
        <is>
          <t>SKÅNE LÄN</t>
        </is>
      </c>
      <c r="G585" t="inlineStr">
        <is>
          <t>KRISTIANSTAD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21274-2026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46147</v>
      </c>
      <c r="E586" s="1" t="n">
        <v>46321</v>
      </c>
      <c r="F586" t="inlineStr">
        <is>
          <t>SKÅNE LÄN</t>
        </is>
      </c>
      <c r="G586" t="inlineStr">
        <is>
          <t>KRISTIANSTAD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10580-2023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44988</v>
      </c>
      <c r="E587" s="1" t="n">
        <v>46321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24952-2023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45085</v>
      </c>
      <c r="E588" s="1" t="n">
        <v>46321</v>
      </c>
      <c r="F588" t="inlineStr">
        <is>
          <t>SKÅNE LÄN</t>
        </is>
      </c>
      <c r="G588" t="inlineStr">
        <is>
          <t>KRISTIANSTAD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46149</v>
      </c>
      <c r="E589" s="1" t="n">
        <v>46321</v>
      </c>
      <c r="F589" t="inlineStr">
        <is>
          <t>SKÅNE LÄN</t>
        </is>
      </c>
      <c r="G589" t="inlineStr">
        <is>
          <t>KRISTIANSTAD</t>
        </is>
      </c>
      <c r="I589" t="n">
        <v>10.1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21851-2026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46321</v>
      </c>
      <c r="F590" t="inlineStr">
        <is>
          <t>SKÅNE LÄN</t>
        </is>
      </c>
      <c r="G590" t="inlineStr">
        <is>
          <t>KRISTIANSTAD</t>
        </is>
      </c>
      <c r="H590" t="inlineStr">
        <is>
          <t>Kommuner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34348-2024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46321</v>
      </c>
      <c r="F591" t="inlineStr">
        <is>
          <t>SKÅNE LÄN</t>
        </is>
      </c>
      <c r="G591" t="inlineStr">
        <is>
          <t>KRISTIANSTAD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14965-2024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45398</v>
      </c>
      <c r="E592" s="1" t="n">
        <v>46321</v>
      </c>
      <c r="F592" t="inlineStr">
        <is>
          <t>SKÅNE LÄN</t>
        </is>
      </c>
      <c r="G592" t="inlineStr">
        <is>
          <t>KRISTIANSTAD</t>
        </is>
      </c>
      <c r="I592" t="n">
        <v>13.5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22116-2026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46153</v>
      </c>
      <c r="E593" s="1" t="n">
        <v>46321</v>
      </c>
      <c r="F593" t="inlineStr">
        <is>
          <t>SKÅNE LÄN</t>
        </is>
      </c>
      <c r="G593" t="inlineStr">
        <is>
          <t>KRISTIANSTAD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29934-2023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45107</v>
      </c>
      <c r="E594" s="1" t="n">
        <v>46321</v>
      </c>
      <c r="F594" t="inlineStr">
        <is>
          <t>SKÅNE LÄN</t>
        </is>
      </c>
      <c r="G594" t="inlineStr">
        <is>
          <t>KRISTIANSTAD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8750-2024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45343</v>
      </c>
      <c r="E595" s="1" t="n">
        <v>46321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47235-2024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45586</v>
      </c>
      <c r="E596" s="1" t="n">
        <v>46321</v>
      </c>
      <c r="F596" t="inlineStr">
        <is>
          <t>SKÅNE LÄN</t>
        </is>
      </c>
      <c r="G596" t="inlineStr">
        <is>
          <t>KRISTIANSTAD</t>
        </is>
      </c>
      <c r="H596" t="inlineStr">
        <is>
          <t>Övriga Aktiebolag</t>
        </is>
      </c>
      <c r="I596" t="n">
        <v>6.2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8807-2025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45712</v>
      </c>
      <c r="E597" s="1" t="n">
        <v>46321</v>
      </c>
      <c r="F597" t="inlineStr">
        <is>
          <t>SKÅNE LÄN</t>
        </is>
      </c>
      <c r="G597" t="inlineStr">
        <is>
          <t>KRISTIANSTAD</t>
        </is>
      </c>
      <c r="I597" t="n">
        <v>7.1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7056-2024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45343</v>
      </c>
      <c r="E598" s="1" t="n">
        <v>46321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10961-2025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46321</v>
      </c>
      <c r="F599" t="inlineStr">
        <is>
          <t>SKÅNE LÄN</t>
        </is>
      </c>
      <c r="G599" t="inlineStr">
        <is>
          <t>KRISTIANSTAD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11786-2022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44634</v>
      </c>
      <c r="E600" s="1" t="n">
        <v>46321</v>
      </c>
      <c r="F600" t="inlineStr">
        <is>
          <t>SKÅNE LÄN</t>
        </is>
      </c>
      <c r="G600" t="inlineStr">
        <is>
          <t>KRISTIANSTAD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8512-2024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45355</v>
      </c>
      <c r="E601" s="1" t="n">
        <v>46321</v>
      </c>
      <c r="F601" t="inlineStr">
        <is>
          <t>SKÅNE LÄN</t>
        </is>
      </c>
      <c r="G601" t="inlineStr">
        <is>
          <t>KRISTIANSTAD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42293-2023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45180</v>
      </c>
      <c r="E602" s="1" t="n">
        <v>46321</v>
      </c>
      <c r="F602" t="inlineStr">
        <is>
          <t>SKÅNE LÄN</t>
        </is>
      </c>
      <c r="G602" t="inlineStr">
        <is>
          <t>KRISTIANSTAD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46030</v>
      </c>
      <c r="E603" s="1" t="n">
        <v>46321</v>
      </c>
      <c r="F603" t="inlineStr">
        <is>
          <t>SKÅNE LÄN</t>
        </is>
      </c>
      <c r="G603" t="inlineStr">
        <is>
          <t>KRISTIANSTAD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2472-2022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44579</v>
      </c>
      <c r="E604" s="1" t="n">
        <v>46321</v>
      </c>
      <c r="F604" t="inlineStr">
        <is>
          <t>SKÅNE LÄN</t>
        </is>
      </c>
      <c r="G604" t="inlineStr">
        <is>
          <t>KRISTIANSTAD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32702-2023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46321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45121</v>
      </c>
      <c r="E606" s="1" t="n">
        <v>46321</v>
      </c>
      <c r="F606" t="inlineStr">
        <is>
          <t>SKÅNE LÄN</t>
        </is>
      </c>
      <c r="G606" t="inlineStr">
        <is>
          <t>KRISTIANSTAD</t>
        </is>
      </c>
      <c r="H606" t="inlineStr">
        <is>
          <t>Sveaskog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23497-2024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45453</v>
      </c>
      <c r="E607" s="1" t="n">
        <v>46321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3.9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45112</v>
      </c>
      <c r="E608" s="1" t="n">
        <v>46321</v>
      </c>
      <c r="F608" t="inlineStr">
        <is>
          <t>SKÅNE LÄN</t>
        </is>
      </c>
      <c r="G608" t="inlineStr">
        <is>
          <t>KRISTIANSTAD</t>
        </is>
      </c>
      <c r="H608" t="inlineStr">
        <is>
          <t>Sveaskog</t>
        </is>
      </c>
      <c r="I608" t="n">
        <v>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45496-2024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45577</v>
      </c>
      <c r="E609" s="1" t="n">
        <v>46321</v>
      </c>
      <c r="F609" t="inlineStr">
        <is>
          <t>SKÅNE LÄN</t>
        </is>
      </c>
      <c r="G609" t="inlineStr">
        <is>
          <t>KRISTIANSTAD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45307</v>
      </c>
      <c r="E610" s="1" t="n">
        <v>46321</v>
      </c>
      <c r="F610" t="inlineStr">
        <is>
          <t>SKÅNE LÄN</t>
        </is>
      </c>
      <c r="G610" t="inlineStr">
        <is>
          <t>KRISTIANSTAD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50543-2024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45600</v>
      </c>
      <c r="E611" s="1" t="n">
        <v>46321</v>
      </c>
      <c r="F611" t="inlineStr">
        <is>
          <t>SKÅNE LÄN</t>
        </is>
      </c>
      <c r="G611" t="inlineStr">
        <is>
          <t>KRISTIANSTAD</t>
        </is>
      </c>
      <c r="I611" t="n">
        <v>9.5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11970-2023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44995</v>
      </c>
      <c r="E612" s="1" t="n">
        <v>46321</v>
      </c>
      <c r="F612" t="inlineStr">
        <is>
          <t>SKÅNE LÄN</t>
        </is>
      </c>
      <c r="G612" t="inlineStr">
        <is>
          <t>KRISTIANSTAD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24164-2023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45079</v>
      </c>
      <c r="E613" s="1" t="n">
        <v>46321</v>
      </c>
      <c r="F613" t="inlineStr">
        <is>
          <t>SKÅNE LÄN</t>
        </is>
      </c>
      <c r="G613" t="inlineStr">
        <is>
          <t>KRISTIANSTAD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39898-2023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45166</v>
      </c>
      <c r="E614" s="1" t="n">
        <v>46321</v>
      </c>
      <c r="F614" t="inlineStr">
        <is>
          <t>SKÅNE LÄN</t>
        </is>
      </c>
      <c r="G614" t="inlineStr">
        <is>
          <t>KRISTIANSTAD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45672</v>
      </c>
      <c r="E615" s="1" t="n">
        <v>46321</v>
      </c>
      <c r="F615" t="inlineStr">
        <is>
          <t>SKÅNE LÄN</t>
        </is>
      </c>
      <c r="G615" t="inlineStr">
        <is>
          <t>KRISTIANSTAD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14442-2023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45012</v>
      </c>
      <c r="E616" s="1" t="n">
        <v>46321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46321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46321</v>
      </c>
      <c r="F618" t="inlineStr">
        <is>
          <t>SKÅNE LÄN</t>
        </is>
      </c>
      <c r="G618" t="inlineStr">
        <is>
          <t>KRISTIANSTAD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35024-2023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45144</v>
      </c>
      <c r="E619" s="1" t="n">
        <v>46321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32021-2023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45119</v>
      </c>
      <c r="E620" s="1" t="n">
        <v>46321</v>
      </c>
      <c r="F620" t="inlineStr">
        <is>
          <t>SKÅNE LÄN</t>
        </is>
      </c>
      <c r="G620" t="inlineStr">
        <is>
          <t>KRISTIANSTAD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11150-2023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44992</v>
      </c>
      <c r="E621" s="1" t="n">
        <v>46321</v>
      </c>
      <c r="F621" t="inlineStr">
        <is>
          <t>SKÅNE LÄN</t>
        </is>
      </c>
      <c r="G621" t="inlineStr">
        <is>
          <t>KRISTIANSTAD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63681-2023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45275</v>
      </c>
      <c r="E622" s="1" t="n">
        <v>46321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36358-2023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46321</v>
      </c>
      <c r="F623" t="inlineStr">
        <is>
          <t>SKÅNE LÄN</t>
        </is>
      </c>
      <c r="G623" t="inlineStr">
        <is>
          <t>KRISTIANSTAD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25759-2024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45465</v>
      </c>
      <c r="E624" s="1" t="n">
        <v>46321</v>
      </c>
      <c r="F624" t="inlineStr">
        <is>
          <t>SKÅNE LÄN</t>
        </is>
      </c>
      <c r="G624" t="inlineStr">
        <is>
          <t>KRISTIANSTAD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14837-2023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45014</v>
      </c>
      <c r="E625" s="1" t="n">
        <v>46321</v>
      </c>
      <c r="F625" t="inlineStr">
        <is>
          <t>SKÅNE LÄN</t>
        </is>
      </c>
      <c r="G625" t="inlineStr">
        <is>
          <t>KRISTIANSTAD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8997-2024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45357</v>
      </c>
      <c r="E626" s="1" t="n">
        <v>46321</v>
      </c>
      <c r="F626" t="inlineStr">
        <is>
          <t>SKÅNE LÄN</t>
        </is>
      </c>
      <c r="G626" t="inlineStr">
        <is>
          <t>KRISTIANSTAD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46321</v>
      </c>
      <c r="F627" t="inlineStr">
        <is>
          <t>SKÅNE LÄN</t>
        </is>
      </c>
      <c r="G627" t="inlineStr">
        <is>
          <t>KRISTIANSTAD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34719-2022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44795</v>
      </c>
      <c r="E628" s="1" t="n">
        <v>46321</v>
      </c>
      <c r="F628" t="inlineStr">
        <is>
          <t>SKÅNE LÄN</t>
        </is>
      </c>
      <c r="G628" t="inlineStr">
        <is>
          <t>KRISTIANSTAD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43871-2023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45187</v>
      </c>
      <c r="E629" s="1" t="n">
        <v>46321</v>
      </c>
      <c r="F629" t="inlineStr">
        <is>
          <t>SKÅNE LÄN</t>
        </is>
      </c>
      <c r="G629" t="inlineStr">
        <is>
          <t>KRISTIANSTAD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5594-2025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45693</v>
      </c>
      <c r="E630" s="1" t="n">
        <v>46321</v>
      </c>
      <c r="F630" t="inlineStr">
        <is>
          <t>SKÅNE LÄN</t>
        </is>
      </c>
      <c r="G630" t="inlineStr">
        <is>
          <t>KRISTIANSTAD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23850-2024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45455</v>
      </c>
      <c r="E631" s="1" t="n">
        <v>46321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8110-2025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45707</v>
      </c>
      <c r="E632" s="1" t="n">
        <v>46321</v>
      </c>
      <c r="F632" t="inlineStr">
        <is>
          <t>SKÅNE LÄN</t>
        </is>
      </c>
      <c r="G632" t="inlineStr">
        <is>
          <t>KRISTIANSTAD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8455-2025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45709</v>
      </c>
      <c r="E633" s="1" t="n">
        <v>46321</v>
      </c>
      <c r="F633" t="inlineStr">
        <is>
          <t>SKÅNE LÄN</t>
        </is>
      </c>
      <c r="G633" t="inlineStr">
        <is>
          <t>KRISTIANSTAD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38046-2024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45544</v>
      </c>
      <c r="E634" s="1" t="n">
        <v>46321</v>
      </c>
      <c r="F634" t="inlineStr">
        <is>
          <t>SKÅNE LÄN</t>
        </is>
      </c>
      <c r="G634" t="inlineStr">
        <is>
          <t>KRISTIANSTAD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25671-2023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45089</v>
      </c>
      <c r="E635" s="1" t="n">
        <v>46321</v>
      </c>
      <c r="F635" t="inlineStr">
        <is>
          <t>SKÅNE LÄN</t>
        </is>
      </c>
      <c r="G635" t="inlineStr">
        <is>
          <t>KRISTIANSTAD</t>
        </is>
      </c>
      <c r="I635" t="n">
        <v>4.3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30065-2023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45110</v>
      </c>
      <c r="E636" s="1" t="n">
        <v>46321</v>
      </c>
      <c r="F636" t="inlineStr">
        <is>
          <t>SKÅNE LÄN</t>
        </is>
      </c>
      <c r="G636" t="inlineStr">
        <is>
          <t>KRISTIANSTAD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57979-2023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45247</v>
      </c>
      <c r="E637" s="1" t="n">
        <v>46321</v>
      </c>
      <c r="F637" t="inlineStr">
        <is>
          <t>SKÅNE LÄN</t>
        </is>
      </c>
      <c r="G637" t="inlineStr">
        <is>
          <t>KRISTIANSTAD</t>
        </is>
      </c>
      <c r="I637" t="n">
        <v>11.9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45554</v>
      </c>
      <c r="E638" s="1" t="n">
        <v>46321</v>
      </c>
      <c r="F638" t="inlineStr">
        <is>
          <t>SKÅNE LÄN</t>
        </is>
      </c>
      <c r="G638" t="inlineStr">
        <is>
          <t>KRISTIANSTAD</t>
        </is>
      </c>
      <c r="I638" t="n">
        <v>9.1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15957-2023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45022</v>
      </c>
      <c r="E639" s="1" t="n">
        <v>46321</v>
      </c>
      <c r="F639" t="inlineStr">
        <is>
          <t>SKÅNE LÄN</t>
        </is>
      </c>
      <c r="G639" t="inlineStr">
        <is>
          <t>KRISTIANSTAD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16131-2023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45027</v>
      </c>
      <c r="E640" s="1" t="n">
        <v>46321</v>
      </c>
      <c r="F640" t="inlineStr">
        <is>
          <t>SKÅNE LÄN</t>
        </is>
      </c>
      <c r="G640" t="inlineStr">
        <is>
          <t>KRISTIANSTAD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5622-2024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45334</v>
      </c>
      <c r="E641" s="1" t="n">
        <v>46321</v>
      </c>
      <c r="F641" t="inlineStr">
        <is>
          <t>SKÅNE LÄN</t>
        </is>
      </c>
      <c r="G641" t="inlineStr">
        <is>
          <t>KRISTIANSTAD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13972-2025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45738</v>
      </c>
      <c r="E642" s="1" t="n">
        <v>46321</v>
      </c>
      <c r="F642" t="inlineStr">
        <is>
          <t>SKÅNE LÄN</t>
        </is>
      </c>
      <c r="G642" t="inlineStr">
        <is>
          <t>KRISTIANSTAD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46525-2023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45197</v>
      </c>
      <c r="E643" s="1" t="n">
        <v>46321</v>
      </c>
      <c r="F643" t="inlineStr">
        <is>
          <t>SKÅNE LÄN</t>
        </is>
      </c>
      <c r="G643" t="inlineStr">
        <is>
          <t>KRISTIANSTAD</t>
        </is>
      </c>
      <c r="I643" t="n">
        <v>5.5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24583-2023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45083</v>
      </c>
      <c r="E644" s="1" t="n">
        <v>46321</v>
      </c>
      <c r="F644" t="inlineStr">
        <is>
          <t>SKÅNE LÄN</t>
        </is>
      </c>
      <c r="G644" t="inlineStr">
        <is>
          <t>KRISTIANSTAD</t>
        </is>
      </c>
      <c r="H644" t="inlineStr">
        <is>
          <t>Övriga Aktiebolag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27590-2024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45474</v>
      </c>
      <c r="E645" s="1" t="n">
        <v>46321</v>
      </c>
      <c r="F645" t="inlineStr">
        <is>
          <t>SKÅNE LÄN</t>
        </is>
      </c>
      <c r="G645" t="inlineStr">
        <is>
          <t>KRISTIANSTAD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62066-2022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44918</v>
      </c>
      <c r="E646" s="1" t="n">
        <v>46321</v>
      </c>
      <c r="F646" t="inlineStr">
        <is>
          <t>SKÅNE LÄN</t>
        </is>
      </c>
      <c r="G646" t="inlineStr">
        <is>
          <t>KRISTIANSTAD</t>
        </is>
      </c>
      <c r="I646" t="n">
        <v>6.3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14441-2023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45012</v>
      </c>
      <c r="E647" s="1" t="n">
        <v>46321</v>
      </c>
      <c r="F647" t="inlineStr">
        <is>
          <t>SKÅNE LÄN</t>
        </is>
      </c>
      <c r="G647" t="inlineStr">
        <is>
          <t>KRISTIANSTAD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19880-2023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45054</v>
      </c>
      <c r="E648" s="1" t="n">
        <v>46321</v>
      </c>
      <c r="F648" t="inlineStr">
        <is>
          <t>SKÅNE LÄN</t>
        </is>
      </c>
      <c r="G648" t="inlineStr">
        <is>
          <t>KRISTIANSTAD</t>
        </is>
      </c>
      <c r="I648" t="n">
        <v>2.4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10988-2023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44991</v>
      </c>
      <c r="E649" s="1" t="n">
        <v>46321</v>
      </c>
      <c r="F649" t="inlineStr">
        <is>
          <t>SKÅNE LÄN</t>
        </is>
      </c>
      <c r="G649" t="inlineStr">
        <is>
          <t>KRISTIANSTAD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45465</v>
      </c>
      <c r="E650" s="1" t="n">
        <v>46321</v>
      </c>
      <c r="F650" t="inlineStr">
        <is>
          <t>SKÅNE LÄN</t>
        </is>
      </c>
      <c r="G650" t="inlineStr">
        <is>
          <t>KRISTIANSTAD</t>
        </is>
      </c>
      <c r="I650" t="n">
        <v>16.6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22074-2023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45069</v>
      </c>
      <c r="E651" s="1" t="n">
        <v>46321</v>
      </c>
      <c r="F651" t="inlineStr">
        <is>
          <t>SKÅNE LÄN</t>
        </is>
      </c>
      <c r="G651" t="inlineStr">
        <is>
          <t>KRISTIANSTAD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54392-2023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45226</v>
      </c>
      <c r="E652" s="1" t="n">
        <v>46321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45764-2022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44846</v>
      </c>
      <c r="E653" s="1" t="n">
        <v>46321</v>
      </c>
      <c r="F653" t="inlineStr">
        <is>
          <t>SKÅNE LÄN</t>
        </is>
      </c>
      <c r="G653" t="inlineStr">
        <is>
          <t>KRISTIANSTAD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27932-2023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45098</v>
      </c>
      <c r="E654" s="1" t="n">
        <v>46321</v>
      </c>
      <c r="F654" t="inlineStr">
        <is>
          <t>SKÅNE LÄN</t>
        </is>
      </c>
      <c r="G654" t="inlineStr">
        <is>
          <t>KRISTIANSTAD</t>
        </is>
      </c>
      <c r="I654" t="n">
        <v>7.2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32013-2023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45119</v>
      </c>
      <c r="E655" s="1" t="n">
        <v>46321</v>
      </c>
      <c r="F655" t="inlineStr">
        <is>
          <t>SKÅNE LÄN</t>
        </is>
      </c>
      <c r="G655" t="inlineStr">
        <is>
          <t>KRISTIANSTAD</t>
        </is>
      </c>
      <c r="I655" t="n">
        <v>7.2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61402-2023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45260</v>
      </c>
      <c r="E656" s="1" t="n">
        <v>46321</v>
      </c>
      <c r="F656" t="inlineStr">
        <is>
          <t>SKÅNE LÄN</t>
        </is>
      </c>
      <c r="G656" t="inlineStr">
        <is>
          <t>KRISTIANSTAD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40423-2024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45555</v>
      </c>
      <c r="E657" s="1" t="n">
        <v>46321</v>
      </c>
      <c r="F657" t="inlineStr">
        <is>
          <t>SKÅNE LÄN</t>
        </is>
      </c>
      <c r="G657" t="inlineStr">
        <is>
          <t>KRISTIANSTAD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45493</v>
      </c>
      <c r="E658" s="1" t="n">
        <v>46321</v>
      </c>
      <c r="F658" t="inlineStr">
        <is>
          <t>SKÅNE LÄN</t>
        </is>
      </c>
      <c r="G658" t="inlineStr">
        <is>
          <t>KRISTIANSTAD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6719-2024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45342</v>
      </c>
      <c r="E659" s="1" t="n">
        <v>46321</v>
      </c>
      <c r="F659" t="inlineStr">
        <is>
          <t>SKÅNE LÄN</t>
        </is>
      </c>
      <c r="G659" t="inlineStr">
        <is>
          <t>KRISTIANSTAD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13975-2025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45738</v>
      </c>
      <c r="E660" s="1" t="n">
        <v>46321</v>
      </c>
      <c r="F660" t="inlineStr">
        <is>
          <t>SKÅNE LÄN</t>
        </is>
      </c>
      <c r="G660" t="inlineStr">
        <is>
          <t>KRISTIANSTAD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13976-2025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45738</v>
      </c>
      <c r="E661" s="1" t="n">
        <v>46321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45311</v>
      </c>
      <c r="E662" s="1" t="n">
        <v>46321</v>
      </c>
      <c r="F662" t="inlineStr">
        <is>
          <t>SKÅNE LÄN</t>
        </is>
      </c>
      <c r="G662" t="inlineStr">
        <is>
          <t>KRISTIANSTAD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45307</v>
      </c>
      <c r="E663" s="1" t="n">
        <v>46321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18035-2025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45761</v>
      </c>
      <c r="E664" s="1" t="n">
        <v>46321</v>
      </c>
      <c r="F664" t="inlineStr">
        <is>
          <t>SKÅNE LÄN</t>
        </is>
      </c>
      <c r="G664" t="inlineStr">
        <is>
          <t>KRISTIANSTAD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46469-2024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45582</v>
      </c>
      <c r="E665" s="1" t="n">
        <v>46321</v>
      </c>
      <c r="F665" t="inlineStr">
        <is>
          <t>SKÅNE LÄN</t>
        </is>
      </c>
      <c r="G665" t="inlineStr">
        <is>
          <t>KRISTIANSTAD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10464-2024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45366</v>
      </c>
      <c r="E666" s="1" t="n">
        <v>46321</v>
      </c>
      <c r="F666" t="inlineStr">
        <is>
          <t>SKÅNE LÄN</t>
        </is>
      </c>
      <c r="G666" t="inlineStr">
        <is>
          <t>KRISTIANSTAD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22277-2024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45446</v>
      </c>
      <c r="E667" s="1" t="n">
        <v>46321</v>
      </c>
      <c r="F667" t="inlineStr">
        <is>
          <t>SKÅNE LÄN</t>
        </is>
      </c>
      <c r="G667" t="inlineStr">
        <is>
          <t>KRISTIANSTAD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9899-2025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45716</v>
      </c>
      <c r="E668" s="1" t="n">
        <v>46321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42919-2024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45566</v>
      </c>
      <c r="E669" s="1" t="n">
        <v>46321</v>
      </c>
      <c r="F669" t="inlineStr">
        <is>
          <t>SKÅNE LÄN</t>
        </is>
      </c>
      <c r="G669" t="inlineStr">
        <is>
          <t>KRISTIANSTAD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58269-2022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44894</v>
      </c>
      <c r="E670" s="1" t="n">
        <v>46321</v>
      </c>
      <c r="F670" t="inlineStr">
        <is>
          <t>SKÅNE LÄN</t>
        </is>
      </c>
      <c r="G670" t="inlineStr">
        <is>
          <t>KRISTIANSTAD</t>
        </is>
      </c>
      <c r="I670" t="n">
        <v>14.9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45727</v>
      </c>
      <c r="E671" s="1" t="n">
        <v>46321</v>
      </c>
      <c r="F671" t="inlineStr">
        <is>
          <t>SKÅNE LÄN</t>
        </is>
      </c>
      <c r="G671" t="inlineStr">
        <is>
          <t>KRISTIANSTAD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7055-2024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45343</v>
      </c>
      <c r="E672" s="1" t="n">
        <v>46321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57976-2023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45247</v>
      </c>
      <c r="E673" s="1" t="n">
        <v>46321</v>
      </c>
      <c r="F673" t="inlineStr">
        <is>
          <t>SKÅNE LÄN</t>
        </is>
      </c>
      <c r="G673" t="inlineStr">
        <is>
          <t>KRISTIANSTAD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32103-2023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45119</v>
      </c>
      <c r="E674" s="1" t="n">
        <v>46321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27948-2023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45098</v>
      </c>
      <c r="E675" s="1" t="n">
        <v>46321</v>
      </c>
      <c r="F675" t="inlineStr">
        <is>
          <t>SKÅNE LÄN</t>
        </is>
      </c>
      <c r="G675" t="inlineStr">
        <is>
          <t>KRISTIANSTAD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28654-2024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45478</v>
      </c>
      <c r="E676" s="1" t="n">
        <v>46321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50294-2024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45600</v>
      </c>
      <c r="E677" s="1" t="n">
        <v>46321</v>
      </c>
      <c r="F677" t="inlineStr">
        <is>
          <t>SKÅNE LÄN</t>
        </is>
      </c>
      <c r="G677" t="inlineStr">
        <is>
          <t>KRISTIANSTAD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13070-2023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45002</v>
      </c>
      <c r="E678" s="1" t="n">
        <v>46321</v>
      </c>
      <c r="F678" t="inlineStr">
        <is>
          <t>SKÅNE LÄN</t>
        </is>
      </c>
      <c r="G678" t="inlineStr">
        <is>
          <t>KRISTIANSTAD</t>
        </is>
      </c>
      <c r="I678" t="n">
        <v>4.3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4370-2024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45326</v>
      </c>
      <c r="E679" s="1" t="n">
        <v>46321</v>
      </c>
      <c r="F679" t="inlineStr">
        <is>
          <t>SKÅNE LÄN</t>
        </is>
      </c>
      <c r="G679" t="inlineStr">
        <is>
          <t>KRISTIANSTAD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37983-2024</t>
        </is>
      </c>
      <c r="B680" t="inlineStr">
        <is>
          <t>avverkningsanmälan</t>
        </is>
      </c>
      <c r="C680" t="inlineStr">
        <is>
          <t>Avverkning för att bevara och utveckla /försöksver</t>
        </is>
      </c>
      <c r="D680" s="1" t="n">
        <v>45544</v>
      </c>
      <c r="E680" s="1" t="n">
        <v>46321</v>
      </c>
      <c r="F680" t="inlineStr">
        <is>
          <t>SKÅNE LÄN</t>
        </is>
      </c>
      <c r="G680" t="inlineStr">
        <is>
          <t>KRISTIANSTAD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40661-2022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44824</v>
      </c>
      <c r="E681" s="1" t="n">
        <v>46321</v>
      </c>
      <c r="F681" t="inlineStr">
        <is>
          <t>SKÅNE LÄN</t>
        </is>
      </c>
      <c r="G681" t="inlineStr">
        <is>
          <t>KRISTIANSTAD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32701-2023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45121</v>
      </c>
      <c r="E682" s="1" t="n">
        <v>46321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64626-2023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45281</v>
      </c>
      <c r="E683" s="1" t="n">
        <v>46321</v>
      </c>
      <c r="F683" t="inlineStr">
        <is>
          <t>SKÅNE LÄN</t>
        </is>
      </c>
      <c r="G683" t="inlineStr">
        <is>
          <t>KRISTIANSTAD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72100-2021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44544</v>
      </c>
      <c r="E684" s="1" t="n">
        <v>46321</v>
      </c>
      <c r="F684" t="inlineStr">
        <is>
          <t>SKÅNE LÄN</t>
        </is>
      </c>
      <c r="G684" t="inlineStr">
        <is>
          <t>KRISTIANSTAD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13522-2024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45387</v>
      </c>
      <c r="E685" s="1" t="n">
        <v>46321</v>
      </c>
      <c r="F685" t="inlineStr">
        <is>
          <t>SKÅNE LÄN</t>
        </is>
      </c>
      <c r="G685" t="inlineStr">
        <is>
          <t>KRISTIANSTAD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14471-2024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45394</v>
      </c>
      <c r="E686" s="1" t="n">
        <v>46321</v>
      </c>
      <c r="F686" t="inlineStr">
        <is>
          <t>SKÅNE LÄN</t>
        </is>
      </c>
      <c r="G686" t="inlineStr">
        <is>
          <t>KRISTIANSTAD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45338</v>
      </c>
      <c r="E687" s="1" t="n">
        <v>46321</v>
      </c>
      <c r="F687" t="inlineStr">
        <is>
          <t>SKÅNE LÄN</t>
        </is>
      </c>
      <c r="G687" t="inlineStr">
        <is>
          <t>KRISTIANSTAD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45494-2024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45577</v>
      </c>
      <c r="E688" s="1" t="n">
        <v>46321</v>
      </c>
      <c r="F688" t="inlineStr">
        <is>
          <t>SKÅNE LÄN</t>
        </is>
      </c>
      <c r="G688" t="inlineStr">
        <is>
          <t>KRISTIANSTAD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13820-2023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45007</v>
      </c>
      <c r="E689" s="1" t="n">
        <v>46321</v>
      </c>
      <c r="F689" t="inlineStr">
        <is>
          <t>SKÅNE LÄN</t>
        </is>
      </c>
      <c r="G689" t="inlineStr">
        <is>
          <t>KRISTIANSTAD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27584-2024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45474</v>
      </c>
      <c r="E690" s="1" t="n">
        <v>46321</v>
      </c>
      <c r="F690" t="inlineStr">
        <is>
          <t>SKÅNE LÄN</t>
        </is>
      </c>
      <c r="G690" t="inlineStr">
        <is>
          <t>KRISTIANSTAD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42248-2023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45180</v>
      </c>
      <c r="E691" s="1" t="n">
        <v>46321</v>
      </c>
      <c r="F691" t="inlineStr">
        <is>
          <t>SKÅNE LÄN</t>
        </is>
      </c>
      <c r="G691" t="inlineStr">
        <is>
          <t>KRISTIANSTAD</t>
        </is>
      </c>
      <c r="I691" t="n">
        <v>6.1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60380-2024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45643</v>
      </c>
      <c r="E692" s="1" t="n">
        <v>46321</v>
      </c>
      <c r="F692" t="inlineStr">
        <is>
          <t>SKÅNE LÄN</t>
        </is>
      </c>
      <c r="G692" t="inlineStr">
        <is>
          <t>KRISTIANSTAD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36158-2023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45149</v>
      </c>
      <c r="E693" s="1" t="n">
        <v>46321</v>
      </c>
      <c r="F693" t="inlineStr">
        <is>
          <t>SKÅNE LÄN</t>
        </is>
      </c>
      <c r="G693" t="inlineStr">
        <is>
          <t>KRISTIANSTAD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61356-2023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45260</v>
      </c>
      <c r="E694" s="1" t="n">
        <v>46321</v>
      </c>
      <c r="F694" t="inlineStr">
        <is>
          <t>SKÅNE LÄN</t>
        </is>
      </c>
      <c r="G694" t="inlineStr">
        <is>
          <t>KRISTIANSTAD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39935-2023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45168</v>
      </c>
      <c r="E695" s="1" t="n">
        <v>46321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3904-2022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44587</v>
      </c>
      <c r="E696" s="1" t="n">
        <v>46321</v>
      </c>
      <c r="F696" t="inlineStr">
        <is>
          <t>SKÅNE LÄN</t>
        </is>
      </c>
      <c r="G696" t="inlineStr">
        <is>
          <t>KRISTIANSTAD</t>
        </is>
      </c>
      <c r="H696" t="inlineStr">
        <is>
          <t>Sveaskog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63931-2023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45278</v>
      </c>
      <c r="E697" s="1" t="n">
        <v>46321</v>
      </c>
      <c r="F697" t="inlineStr">
        <is>
          <t>SKÅNE LÄN</t>
        </is>
      </c>
      <c r="G697" t="inlineStr">
        <is>
          <t>KRISTIANSTAD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60474-2022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44904</v>
      </c>
      <c r="E698" s="1" t="n">
        <v>46321</v>
      </c>
      <c r="F698" t="inlineStr">
        <is>
          <t>SKÅNE LÄN</t>
        </is>
      </c>
      <c r="G698" t="inlineStr">
        <is>
          <t>KRISTIANSTAD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42061-2024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45561</v>
      </c>
      <c r="E699" s="1" t="n">
        <v>46321</v>
      </c>
      <c r="F699" t="inlineStr">
        <is>
          <t>SKÅNE LÄN</t>
        </is>
      </c>
      <c r="G699" t="inlineStr">
        <is>
          <t>KRISTIANSTAD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33320-2023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45127</v>
      </c>
      <c r="E700" s="1" t="n">
        <v>46321</v>
      </c>
      <c r="F700" t="inlineStr">
        <is>
          <t>SKÅNE LÄN</t>
        </is>
      </c>
      <c r="G700" t="inlineStr">
        <is>
          <t>KRISTIANSTAD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2974-2024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45315</v>
      </c>
      <c r="E701" s="1" t="n">
        <v>46321</v>
      </c>
      <c r="F701" t="inlineStr">
        <is>
          <t>SKÅNE LÄN</t>
        </is>
      </c>
      <c r="G701" t="inlineStr">
        <is>
          <t>KRISTIANSTAD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17024-2025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45755</v>
      </c>
      <c r="E702" s="1" t="n">
        <v>46321</v>
      </c>
      <c r="F702" t="inlineStr">
        <is>
          <t>SKÅNE LÄN</t>
        </is>
      </c>
      <c r="G702" t="inlineStr">
        <is>
          <t>KRISTIANSTAD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32814-2023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45124</v>
      </c>
      <c r="E703" s="1" t="n">
        <v>46321</v>
      </c>
      <c r="F703" t="inlineStr">
        <is>
          <t>SKÅNE LÄN</t>
        </is>
      </c>
      <c r="G703" t="inlineStr">
        <is>
          <t>KRISTIANSTAD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17371-2024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45414</v>
      </c>
      <c r="E704" s="1" t="n">
        <v>46321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5853-2022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44596</v>
      </c>
      <c r="E705" s="1" t="n">
        <v>46321</v>
      </c>
      <c r="F705" t="inlineStr">
        <is>
          <t>SKÅNE LÄN</t>
        </is>
      </c>
      <c r="G705" t="inlineStr">
        <is>
          <t>KRISTIANSTAD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12315-2025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45729</v>
      </c>
      <c r="E706" s="1" t="n">
        <v>46321</v>
      </c>
      <c r="F706" t="inlineStr">
        <is>
          <t>SKÅNE LÄN</t>
        </is>
      </c>
      <c r="G706" t="inlineStr">
        <is>
          <t>KRISTIANSTAD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47231-2024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45586</v>
      </c>
      <c r="E707" s="1" t="n">
        <v>46321</v>
      </c>
      <c r="F707" t="inlineStr">
        <is>
          <t>SKÅNE LÄN</t>
        </is>
      </c>
      <c r="G707" t="inlineStr">
        <is>
          <t>KRISTIANSTAD</t>
        </is>
      </c>
      <c r="H707" t="inlineStr">
        <is>
          <t>Övriga Aktiebolag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47237-2024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45586</v>
      </c>
      <c r="E708" s="1" t="n">
        <v>46321</v>
      </c>
      <c r="F708" t="inlineStr">
        <is>
          <t>SKÅNE LÄN</t>
        </is>
      </c>
      <c r="G708" t="inlineStr">
        <is>
          <t>KRISTIANSTAD</t>
        </is>
      </c>
      <c r="H708" t="inlineStr">
        <is>
          <t>Övriga Aktiebolag</t>
        </is>
      </c>
      <c r="I708" t="n">
        <v>11.2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38021-2023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45159</v>
      </c>
      <c r="E709" s="1" t="n">
        <v>46321</v>
      </c>
      <c r="F709" t="inlineStr">
        <is>
          <t>SKÅNE LÄN</t>
        </is>
      </c>
      <c r="G709" t="inlineStr">
        <is>
          <t>KRISTIANSTAD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6347-2024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45338</v>
      </c>
      <c r="E710" s="1" t="n">
        <v>46321</v>
      </c>
      <c r="F710" t="inlineStr">
        <is>
          <t>SKÅNE LÄN</t>
        </is>
      </c>
      <c r="G710" t="inlineStr">
        <is>
          <t>KRISTIANSTAD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10781-2022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44627</v>
      </c>
      <c r="E711" s="1" t="n">
        <v>46321</v>
      </c>
      <c r="F711" t="inlineStr">
        <is>
          <t>SKÅNE LÄN</t>
        </is>
      </c>
      <c r="G711" t="inlineStr">
        <is>
          <t>KRISTIANSTAD</t>
        </is>
      </c>
      <c r="I711" t="n">
        <v>5.2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44363-2024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45573</v>
      </c>
      <c r="E712" s="1" t="n">
        <v>46321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5.1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19257-2023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45049</v>
      </c>
      <c r="E713" s="1" t="n">
        <v>46321</v>
      </c>
      <c r="F713" t="inlineStr">
        <is>
          <t>SKÅNE LÄN</t>
        </is>
      </c>
      <c r="G713" t="inlineStr">
        <is>
          <t>KRISTIANSTAD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11642-2025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45727</v>
      </c>
      <c r="E714" s="1" t="n">
        <v>46321</v>
      </c>
      <c r="F714" t="inlineStr">
        <is>
          <t>SKÅNE LÄN</t>
        </is>
      </c>
      <c r="G714" t="inlineStr">
        <is>
          <t>KRISTIANSTAD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32015-2023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45119</v>
      </c>
      <c r="E715" s="1" t="n">
        <v>46321</v>
      </c>
      <c r="F715" t="inlineStr">
        <is>
          <t>SKÅNE LÄN</t>
        </is>
      </c>
      <c r="G715" t="inlineStr">
        <is>
          <t>KRISTIANSTAD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40419-2024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45555</v>
      </c>
      <c r="E716" s="1" t="n">
        <v>46321</v>
      </c>
      <c r="F716" t="inlineStr">
        <is>
          <t>SKÅNE LÄN</t>
        </is>
      </c>
      <c r="G716" t="inlineStr">
        <is>
          <t>KRISTIANSTAD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45189</v>
      </c>
      <c r="E717" s="1" t="n">
        <v>46321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39117-2023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45165</v>
      </c>
      <c r="E718" s="1" t="n">
        <v>46321</v>
      </c>
      <c r="F718" t="inlineStr">
        <is>
          <t>SKÅNE LÄN</t>
        </is>
      </c>
      <c r="G718" t="inlineStr">
        <is>
          <t>KRISTIANSTAD</t>
        </is>
      </c>
      <c r="H718" t="inlineStr">
        <is>
          <t>Sveaskog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30233-2023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45110</v>
      </c>
      <c r="E719" s="1" t="n">
        <v>46321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55469-2024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45622</v>
      </c>
      <c r="E720" s="1" t="n">
        <v>46321</v>
      </c>
      <c r="F720" t="inlineStr">
        <is>
          <t>SKÅNE LÄN</t>
        </is>
      </c>
      <c r="G720" t="inlineStr">
        <is>
          <t>KRISTIANSTAD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751-2025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45665</v>
      </c>
      <c r="E721" s="1" t="n">
        <v>46321</v>
      </c>
      <c r="F721" t="inlineStr">
        <is>
          <t>SKÅNE LÄN</t>
        </is>
      </c>
      <c r="G721" t="inlineStr">
        <is>
          <t>KRISTIANSTAD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34723-2023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45141</v>
      </c>
      <c r="E722" s="1" t="n">
        <v>46321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34730-2023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45141</v>
      </c>
      <c r="E723" s="1" t="n">
        <v>46321</v>
      </c>
      <c r="F723" t="inlineStr">
        <is>
          <t>SKÅNE LÄN</t>
        </is>
      </c>
      <c r="G723" t="inlineStr">
        <is>
          <t>KRISTIANSTAD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24579-2023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45083</v>
      </c>
      <c r="E724" s="1" t="n">
        <v>46321</v>
      </c>
      <c r="F724" t="inlineStr">
        <is>
          <t>SKÅNE LÄN</t>
        </is>
      </c>
      <c r="G724" t="inlineStr">
        <is>
          <t>KRISTIANSTAD</t>
        </is>
      </c>
      <c r="H724" t="inlineStr">
        <is>
          <t>Övriga Aktiebolag</t>
        </is>
      </c>
      <c r="I724" t="n">
        <v>10.5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25839-2023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45090</v>
      </c>
      <c r="E725" s="1" t="n">
        <v>46321</v>
      </c>
      <c r="F725" t="inlineStr">
        <is>
          <t>SKÅNE LÄN</t>
        </is>
      </c>
      <c r="G725" t="inlineStr">
        <is>
          <t>KRISTIANSTAD</t>
        </is>
      </c>
      <c r="I725" t="n">
        <v>5.3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1064-2025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45665</v>
      </c>
      <c r="E726" s="1" t="n">
        <v>46321</v>
      </c>
      <c r="F726" t="inlineStr">
        <is>
          <t>SKÅNE LÄN</t>
        </is>
      </c>
      <c r="G726" t="inlineStr">
        <is>
          <t>KRISTIANSTAD</t>
        </is>
      </c>
      <c r="I726" t="n">
        <v>4.8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19642-2022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44694</v>
      </c>
      <c r="E727" s="1" t="n">
        <v>46321</v>
      </c>
      <c r="F727" t="inlineStr">
        <is>
          <t>SKÅNE LÄN</t>
        </is>
      </c>
      <c r="G727" t="inlineStr">
        <is>
          <t>KRISTIANSTAD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48853-2023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45204</v>
      </c>
      <c r="E728" s="1" t="n">
        <v>46321</v>
      </c>
      <c r="F728" t="inlineStr">
        <is>
          <t>SKÅNE LÄN</t>
        </is>
      </c>
      <c r="G728" t="inlineStr">
        <is>
          <t>KRISTIANSTAD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33592-2023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45132</v>
      </c>
      <c r="E729" s="1" t="n">
        <v>46321</v>
      </c>
      <c r="F729" t="inlineStr">
        <is>
          <t>SKÅNE LÄN</t>
        </is>
      </c>
      <c r="G729" t="inlineStr">
        <is>
          <t>KRISTIANSTAD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17571-2024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45415</v>
      </c>
      <c r="E730" s="1" t="n">
        <v>46321</v>
      </c>
      <c r="F730" t="inlineStr">
        <is>
          <t>SKÅNE LÄN</t>
        </is>
      </c>
      <c r="G730" t="inlineStr">
        <is>
          <t>KRISTIANSTAD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6597-2025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45700</v>
      </c>
      <c r="E731" s="1" t="n">
        <v>46321</v>
      </c>
      <c r="F731" t="inlineStr">
        <is>
          <t>SKÅNE LÄN</t>
        </is>
      </c>
      <c r="G731" t="inlineStr">
        <is>
          <t>KRISTIANSTAD</t>
        </is>
      </c>
      <c r="I731" t="n">
        <v>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14524-2022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44655</v>
      </c>
      <c r="E732" s="1" t="n">
        <v>46321</v>
      </c>
      <c r="F732" t="inlineStr">
        <is>
          <t>SKÅNE LÄN</t>
        </is>
      </c>
      <c r="G732" t="inlineStr">
        <is>
          <t>KRISTIANSTAD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13523-2024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45387</v>
      </c>
      <c r="E733" s="1" t="n">
        <v>46321</v>
      </c>
      <c r="F733" t="inlineStr">
        <is>
          <t>SKÅNE LÄN</t>
        </is>
      </c>
      <c r="G733" t="inlineStr">
        <is>
          <t>KRISTIANSTAD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44339-2023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45188</v>
      </c>
      <c r="E734" s="1" t="n">
        <v>46321</v>
      </c>
      <c r="F734" t="inlineStr">
        <is>
          <t>SKÅNE LÄN</t>
        </is>
      </c>
      <c r="G734" t="inlineStr">
        <is>
          <t>KRISTIANSTAD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25249-2022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44729</v>
      </c>
      <c r="E735" s="1" t="n">
        <v>46321</v>
      </c>
      <c r="F735" t="inlineStr">
        <is>
          <t>SKÅNE LÄN</t>
        </is>
      </c>
      <c r="G735" t="inlineStr">
        <is>
          <t>KRISTIANSTAD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32106-2023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45119</v>
      </c>
      <c r="E736" s="1" t="n">
        <v>46321</v>
      </c>
      <c r="F736" t="inlineStr">
        <is>
          <t>SKÅNE LÄN</t>
        </is>
      </c>
      <c r="G736" t="inlineStr">
        <is>
          <t>KRISTIANSTAD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56972-2023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45244</v>
      </c>
      <c r="E737" s="1" t="n">
        <v>46321</v>
      </c>
      <c r="F737" t="inlineStr">
        <is>
          <t>SKÅNE LÄN</t>
        </is>
      </c>
      <c r="G737" t="inlineStr">
        <is>
          <t>KRISTIANSTAD</t>
        </is>
      </c>
      <c r="H737" t="inlineStr">
        <is>
          <t>Övriga Aktiebolag</t>
        </is>
      </c>
      <c r="I737" t="n">
        <v>8.9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63942-2023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46321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49233-2022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44858</v>
      </c>
      <c r="E739" s="1" t="n">
        <v>46321</v>
      </c>
      <c r="F739" t="inlineStr">
        <is>
          <t>SKÅNE LÄN</t>
        </is>
      </c>
      <c r="G739" t="inlineStr">
        <is>
          <t>KRISTIANSTAD</t>
        </is>
      </c>
      <c r="I739" t="n">
        <v>7.1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38778-2022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44816</v>
      </c>
      <c r="E740" s="1" t="n">
        <v>46321</v>
      </c>
      <c r="F740" t="inlineStr">
        <is>
          <t>SKÅNE LÄN</t>
        </is>
      </c>
      <c r="G740" t="inlineStr">
        <is>
          <t>KRISTIANSTAD</t>
        </is>
      </c>
      <c r="I740" t="n">
        <v>17.1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41069-2023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45173</v>
      </c>
      <c r="E741" s="1" t="n">
        <v>46321</v>
      </c>
      <c r="F741" t="inlineStr">
        <is>
          <t>SKÅNE LÄN</t>
        </is>
      </c>
      <c r="G741" t="inlineStr">
        <is>
          <t>KRISTIANSTAD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826-2024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45300</v>
      </c>
      <c r="E742" s="1" t="n">
        <v>46321</v>
      </c>
      <c r="F742" t="inlineStr">
        <is>
          <t>SKÅNE LÄN</t>
        </is>
      </c>
      <c r="G742" t="inlineStr">
        <is>
          <t>KRISTIANSTAD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2881-2024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45315</v>
      </c>
      <c r="E743" s="1" t="n">
        <v>46321</v>
      </c>
      <c r="F743" t="inlineStr">
        <is>
          <t>SKÅNE LÄN</t>
        </is>
      </c>
      <c r="G743" t="inlineStr">
        <is>
          <t>KRISTIANSTAD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2891-2024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45315</v>
      </c>
      <c r="E744" s="1" t="n">
        <v>46321</v>
      </c>
      <c r="F744" t="inlineStr">
        <is>
          <t>SKÅNE LÄN</t>
        </is>
      </c>
      <c r="G744" t="inlineStr">
        <is>
          <t>KRISTIANSTAD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4610-2024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45328</v>
      </c>
      <c r="E745" s="1" t="n">
        <v>46321</v>
      </c>
      <c r="F745" t="inlineStr">
        <is>
          <t>SKÅNE LÄN</t>
        </is>
      </c>
      <c r="G745" t="inlineStr">
        <is>
          <t>KRISTIANSTAD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39567-2022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44817</v>
      </c>
      <c r="E746" s="1" t="n">
        <v>46321</v>
      </c>
      <c r="F746" t="inlineStr">
        <is>
          <t>SKÅNE LÄN</t>
        </is>
      </c>
      <c r="G746" t="inlineStr">
        <is>
          <t>KRISTIANSTAD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6307-2024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45338</v>
      </c>
      <c r="E747" s="1" t="n">
        <v>46321</v>
      </c>
      <c r="F747" t="inlineStr">
        <is>
          <t>SKÅNE LÄN</t>
        </is>
      </c>
      <c r="G747" t="inlineStr">
        <is>
          <t>KRISTIANSTAD</t>
        </is>
      </c>
      <c r="H747" t="inlineStr">
        <is>
          <t>Övriga Aktiebolag</t>
        </is>
      </c>
      <c r="I747" t="n">
        <v>4.7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45343</v>
      </c>
      <c r="E748" s="1" t="n">
        <v>46321</v>
      </c>
      <c r="F748" t="inlineStr">
        <is>
          <t>SKÅNE LÄN</t>
        </is>
      </c>
      <c r="G748" t="inlineStr">
        <is>
          <t>KRISTIANSTAD</t>
        </is>
      </c>
      <c r="I748" t="n">
        <v>1.2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7016-2024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45343</v>
      </c>
      <c r="E749" s="1" t="n">
        <v>46321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48693-2022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44855</v>
      </c>
      <c r="E750" s="1" t="n">
        <v>46321</v>
      </c>
      <c r="F750" t="inlineStr">
        <is>
          <t>SKÅNE LÄN</t>
        </is>
      </c>
      <c r="G750" t="inlineStr">
        <is>
          <t>KRISTIANSTAD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27613-2024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45474</v>
      </c>
      <c r="E751" s="1" t="n">
        <v>46321</v>
      </c>
      <c r="F751" t="inlineStr">
        <is>
          <t>SKÅNE LÄN</t>
        </is>
      </c>
      <c r="G751" t="inlineStr">
        <is>
          <t>KRISTIANSTAD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8876-2024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45356</v>
      </c>
      <c r="E752" s="1" t="n">
        <v>46321</v>
      </c>
      <c r="F752" t="inlineStr">
        <is>
          <t>SKÅNE LÄN</t>
        </is>
      </c>
      <c r="G752" t="inlineStr">
        <is>
          <t>KRISTIANSTAD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44961</v>
      </c>
      <c r="E753" s="1" t="n">
        <v>46321</v>
      </c>
      <c r="F753" t="inlineStr">
        <is>
          <t>SKÅNE LÄN</t>
        </is>
      </c>
      <c r="G753" t="inlineStr">
        <is>
          <t>KRISTIANSTAD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59625-2022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44907</v>
      </c>
      <c r="E754" s="1" t="n">
        <v>46321</v>
      </c>
      <c r="F754" t="inlineStr">
        <is>
          <t>SKÅNE LÄN</t>
        </is>
      </c>
      <c r="G754" t="inlineStr">
        <is>
          <t>KRISTIANSTAD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5590-2022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44595</v>
      </c>
      <c r="E755" s="1" t="n">
        <v>46321</v>
      </c>
      <c r="F755" t="inlineStr">
        <is>
          <t>SKÅNE LÄN</t>
        </is>
      </c>
      <c r="G755" t="inlineStr">
        <is>
          <t>KRISTIANSTAD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61198-2021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44497</v>
      </c>
      <c r="E756" s="1" t="n">
        <v>46321</v>
      </c>
      <c r="F756" t="inlineStr">
        <is>
          <t>SKÅNE LÄN</t>
        </is>
      </c>
      <c r="G756" t="inlineStr">
        <is>
          <t>KRISTIANSTAD</t>
        </is>
      </c>
      <c r="I756" t="n">
        <v>13.8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62350-2023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45267</v>
      </c>
      <c r="E757" s="1" t="n">
        <v>46321</v>
      </c>
      <c r="F757" t="inlineStr">
        <is>
          <t>SKÅNE LÄN</t>
        </is>
      </c>
      <c r="G757" t="inlineStr">
        <is>
          <t>KRISTIANSTAD</t>
        </is>
      </c>
      <c r="H757" t="inlineStr">
        <is>
          <t>Sveaskog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64844-2023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45282</v>
      </c>
      <c r="E758" s="1" t="n">
        <v>46321</v>
      </c>
      <c r="F758" t="inlineStr">
        <is>
          <t>SKÅNE LÄN</t>
        </is>
      </c>
      <c r="G758" t="inlineStr">
        <is>
          <t>KRISTIANSTAD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885-2024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45301</v>
      </c>
      <c r="E759" s="1" t="n">
        <v>46321</v>
      </c>
      <c r="F759" t="inlineStr">
        <is>
          <t>SKÅNE LÄN</t>
        </is>
      </c>
      <c r="G759" t="inlineStr">
        <is>
          <t>KRISTIANSTAD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61550-2023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45265</v>
      </c>
      <c r="E760" s="1" t="n">
        <v>46321</v>
      </c>
      <c r="F760" t="inlineStr">
        <is>
          <t>SKÅNE LÄN</t>
        </is>
      </c>
      <c r="G760" t="inlineStr">
        <is>
          <t>KRISTIANSTAD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54458-2023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45226</v>
      </c>
      <c r="E761" s="1" t="n">
        <v>46321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15951-2024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45405</v>
      </c>
      <c r="E762" s="1" t="n">
        <v>46321</v>
      </c>
      <c r="F762" t="inlineStr">
        <is>
          <t>SKÅNE LÄN</t>
        </is>
      </c>
      <c r="G762" t="inlineStr">
        <is>
          <t>KRISTIANSTAD</t>
        </is>
      </c>
      <c r="I762" t="n">
        <v>12.2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46515-2022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44847</v>
      </c>
      <c r="E763" s="1" t="n">
        <v>46321</v>
      </c>
      <c r="F763" t="inlineStr">
        <is>
          <t>SKÅNE LÄN</t>
        </is>
      </c>
      <c r="G763" t="inlineStr">
        <is>
          <t>KRISTIANSTAD</t>
        </is>
      </c>
      <c r="I763" t="n">
        <v>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59597-2023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45254</v>
      </c>
      <c r="E764" s="1" t="n">
        <v>46321</v>
      </c>
      <c r="F764" t="inlineStr">
        <is>
          <t>SKÅNE LÄN</t>
        </is>
      </c>
      <c r="G764" t="inlineStr">
        <is>
          <t>KRISTIANSTAD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45348-2023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45191</v>
      </c>
      <c r="E765" s="1" t="n">
        <v>46321</v>
      </c>
      <c r="F765" t="inlineStr">
        <is>
          <t>SKÅNE LÄN</t>
        </is>
      </c>
      <c r="G765" t="inlineStr">
        <is>
          <t>KRISTIANSTAD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61878-2024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45652</v>
      </c>
      <c r="E766" s="1" t="n">
        <v>46321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65097-2021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44513</v>
      </c>
      <c r="E767" s="1" t="n">
        <v>46321</v>
      </c>
      <c r="F767" t="inlineStr">
        <is>
          <t>SKÅNE LÄN</t>
        </is>
      </c>
      <c r="G767" t="inlineStr">
        <is>
          <t>KRISTIANSTAD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63561-2023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45274</v>
      </c>
      <c r="E768" s="1" t="n">
        <v>46321</v>
      </c>
      <c r="F768" t="inlineStr">
        <is>
          <t>SKÅNE LÄN</t>
        </is>
      </c>
      <c r="G768" t="inlineStr">
        <is>
          <t>KRISTIANSTAD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42916-2024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46321</v>
      </c>
      <c r="F769" t="inlineStr">
        <is>
          <t>SKÅNE LÄN</t>
        </is>
      </c>
      <c r="G769" t="inlineStr">
        <is>
          <t>KRISTIANSTAD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7565-2023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44972</v>
      </c>
      <c r="E770" s="1" t="n">
        <v>46321</v>
      </c>
      <c r="F770" t="inlineStr">
        <is>
          <t>SKÅNE LÄN</t>
        </is>
      </c>
      <c r="G770" t="inlineStr">
        <is>
          <t>KRISTIANSTAD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3004-2022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44713</v>
      </c>
      <c r="E771" s="1" t="n">
        <v>46321</v>
      </c>
      <c r="F771" t="inlineStr">
        <is>
          <t>SKÅNE LÄN</t>
        </is>
      </c>
      <c r="G771" t="inlineStr">
        <is>
          <t>KRISTIANSTAD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2146-2022</t>
        </is>
      </c>
      <c r="B772" t="inlineStr">
        <is>
          <t>samrådsanmälan</t>
        </is>
      </c>
      <c r="C772" t="inlineStr">
        <is>
          <t>Skogsbilväg</t>
        </is>
      </c>
      <c r="D772" s="1" t="n">
        <v>44676</v>
      </c>
      <c r="E772" s="1" t="n">
        <v>46321</v>
      </c>
      <c r="F772" t="inlineStr">
        <is>
          <t>SKÅNE LÄN</t>
        </is>
      </c>
      <c r="G772" t="inlineStr">
        <is>
          <t>KRISTIANSTAD</t>
        </is>
      </c>
      <c r="I772" t="n">
        <v>0.2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8718-2021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44501</v>
      </c>
      <c r="E773" s="1" t="n">
        <v>46321</v>
      </c>
      <c r="F773" t="inlineStr">
        <is>
          <t>SKÅNE LÄN</t>
        </is>
      </c>
      <c r="G773" t="inlineStr">
        <is>
          <t>KRISTIANSTAD</t>
        </is>
      </c>
      <c r="I773" t="n">
        <v>20.4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45617</v>
      </c>
      <c r="E774" s="1" t="n">
        <v>46321</v>
      </c>
      <c r="F774" t="inlineStr">
        <is>
          <t>SKÅNE LÄN</t>
        </is>
      </c>
      <c r="G774" t="inlineStr">
        <is>
          <t>KRISTIANSTAD</t>
        </is>
      </c>
      <c r="I774" t="n">
        <v>15.6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558-2023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44970</v>
      </c>
      <c r="E775" s="1" t="n">
        <v>46321</v>
      </c>
      <c r="F775" t="inlineStr">
        <is>
          <t>SKÅNE LÄN</t>
        </is>
      </c>
      <c r="G775" t="inlineStr">
        <is>
          <t>KRISTIANSTAD</t>
        </is>
      </c>
      <c r="H775" t="inlineStr">
        <is>
          <t>Kyrkan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2174-2023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45089</v>
      </c>
      <c r="E776" s="1" t="n">
        <v>46321</v>
      </c>
      <c r="F776" t="inlineStr">
        <is>
          <t>SKÅNE LÄN</t>
        </is>
      </c>
      <c r="G776" t="inlineStr">
        <is>
          <t>KRISTIANSTAD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4910-2022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44809</v>
      </c>
      <c r="E777" s="1" t="n">
        <v>46321</v>
      </c>
      <c r="F777" t="inlineStr">
        <is>
          <t>SKÅNE LÄN</t>
        </is>
      </c>
      <c r="G777" t="inlineStr">
        <is>
          <t>KRISTIANSTAD</t>
        </is>
      </c>
      <c r="I777" t="n">
        <v>13.3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1865-2024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45440</v>
      </c>
      <c r="E778" s="1" t="n">
        <v>46321</v>
      </c>
      <c r="F778" t="inlineStr">
        <is>
          <t>SKÅNE LÄN</t>
        </is>
      </c>
      <c r="G778" t="inlineStr">
        <is>
          <t>KRISTIANSTAD</t>
        </is>
      </c>
      <c r="I778" t="n">
        <v>29.3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171-2025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46321</v>
      </c>
      <c r="F779" t="inlineStr">
        <is>
          <t>SKÅNE LÄN</t>
        </is>
      </c>
      <c r="G779" t="inlineStr">
        <is>
          <t>KRISTIANSTAD</t>
        </is>
      </c>
      <c r="I779" t="n">
        <v>4.3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45677</v>
      </c>
      <c r="E780" s="1" t="n">
        <v>46321</v>
      </c>
      <c r="F780" t="inlineStr">
        <is>
          <t>SKÅNE LÄN</t>
        </is>
      </c>
      <c r="G780" t="inlineStr">
        <is>
          <t>KRISTIANSTAD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2906-2024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45503</v>
      </c>
      <c r="E781" s="1" t="n">
        <v>46321</v>
      </c>
      <c r="F781" t="inlineStr">
        <is>
          <t>SKÅNE LÄN</t>
        </is>
      </c>
      <c r="G781" t="inlineStr">
        <is>
          <t>KRISTIANSTAD</t>
        </is>
      </c>
      <c r="I781" t="n">
        <v>16.5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29-2025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45659</v>
      </c>
      <c r="E782" s="1" t="n">
        <v>46321</v>
      </c>
      <c r="F782" t="inlineStr">
        <is>
          <t>SKÅNE LÄN</t>
        </is>
      </c>
      <c r="G782" t="inlineStr">
        <is>
          <t>KRISTIANSTAD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4403-2022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44784</v>
      </c>
      <c r="E783" s="1" t="n">
        <v>46321</v>
      </c>
      <c r="F783" t="inlineStr">
        <is>
          <t>SKÅNE LÄN</t>
        </is>
      </c>
      <c r="G783" t="inlineStr">
        <is>
          <t>KRISTIANSTAD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5665-2022</t>
        </is>
      </c>
      <c r="B784" t="inlineStr">
        <is>
          <t>samrådsanmälan</t>
        </is>
      </c>
      <c r="C784" t="inlineStr">
        <is>
          <t>Skogsbilväg</t>
        </is>
      </c>
      <c r="D784" s="1" t="n">
        <v>44841</v>
      </c>
      <c r="E784" s="1" t="n">
        <v>46321</v>
      </c>
      <c r="F784" t="inlineStr">
        <is>
          <t>SKÅNE LÄN</t>
        </is>
      </c>
      <c r="G784" t="inlineStr">
        <is>
          <t>KRISTIANSTAD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1076-2023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45012</v>
      </c>
      <c r="E785" s="1" t="n">
        <v>46321</v>
      </c>
      <c r="F785" t="inlineStr">
        <is>
          <t>SKÅNE LÄN</t>
        </is>
      </c>
      <c r="G785" t="inlineStr">
        <is>
          <t>KRISTIANSTAD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44956</v>
      </c>
      <c r="E786" s="1" t="n">
        <v>46321</v>
      </c>
      <c r="F786" t="inlineStr">
        <is>
          <t>SKÅNE LÄN</t>
        </is>
      </c>
      <c r="G786" t="inlineStr">
        <is>
          <t>KRISTIANSTAD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1731-2023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45069</v>
      </c>
      <c r="E787" s="1" t="n">
        <v>46321</v>
      </c>
      <c r="F787" t="inlineStr">
        <is>
          <t>SKÅNE LÄN</t>
        </is>
      </c>
      <c r="G787" t="inlineStr">
        <is>
          <t>KRISTIANSTAD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2492-2023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45120</v>
      </c>
      <c r="E788" s="1" t="n">
        <v>46321</v>
      </c>
      <c r="F788" t="inlineStr">
        <is>
          <t>SKÅNE LÄN</t>
        </is>
      </c>
      <c r="G788" t="inlineStr">
        <is>
          <t>KRISTIANSTAD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45728</v>
      </c>
      <c r="E789" s="1" t="n">
        <v>46321</v>
      </c>
      <c r="F789" t="inlineStr">
        <is>
          <t>SKÅNE LÄN</t>
        </is>
      </c>
      <c r="G789" t="inlineStr">
        <is>
          <t>KRISTIANSTAD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476-2025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46321</v>
      </c>
      <c r="F790" t="inlineStr">
        <is>
          <t>SKÅNE LÄN</t>
        </is>
      </c>
      <c r="G790" t="inlineStr">
        <is>
          <t>KRISTIANSTAD</t>
        </is>
      </c>
      <c r="I790" t="n">
        <v>58.6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46321</v>
      </c>
      <c r="F791" t="inlineStr">
        <is>
          <t>SKÅNE LÄN</t>
        </is>
      </c>
      <c r="G791" t="inlineStr">
        <is>
          <t>KRISTIANSTAD</t>
        </is>
      </c>
      <c r="I791" t="n">
        <v>67.7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45726</v>
      </c>
      <c r="E792" s="1" t="n">
        <v>46321</v>
      </c>
      <c r="F792" t="inlineStr">
        <is>
          <t>SKÅNE LÄN</t>
        </is>
      </c>
      <c r="G792" t="inlineStr">
        <is>
          <t>KRISTIANSTAD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871-2025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45734</v>
      </c>
      <c r="E793" s="1" t="n">
        <v>46321</v>
      </c>
      <c r="F793" t="inlineStr">
        <is>
          <t>SKÅNE LÄN</t>
        </is>
      </c>
      <c r="G793" t="inlineStr">
        <is>
          <t>KRISTIANSTAD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1747-2025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46321</v>
      </c>
      <c r="F794" t="inlineStr">
        <is>
          <t>SKÅNE LÄN</t>
        </is>
      </c>
      <c r="G794" t="inlineStr">
        <is>
          <t>KRISTIANSTAD</t>
        </is>
      </c>
      <c r="I794" t="n">
        <v>11.3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1749-2025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46321</v>
      </c>
      <c r="F795" t="inlineStr">
        <is>
          <t>SKÅNE LÄN</t>
        </is>
      </c>
      <c r="G795" t="inlineStr">
        <is>
          <t>KRISTIANSTAD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1750-2025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46321</v>
      </c>
      <c r="F796" t="inlineStr">
        <is>
          <t>SKÅNE LÄN</t>
        </is>
      </c>
      <c r="G796" t="inlineStr">
        <is>
          <t>KRISTIANSTAD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2468-2025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45901</v>
      </c>
      <c r="E797" s="1" t="n">
        <v>46321</v>
      </c>
      <c r="F797" t="inlineStr">
        <is>
          <t>SKÅNE LÄN</t>
        </is>
      </c>
      <c r="G797" t="inlineStr">
        <is>
          <t>KRISTIANSTAD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2875-2025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45945</v>
      </c>
      <c r="E798" s="1" t="n">
        <v>46321</v>
      </c>
      <c r="F798" t="inlineStr">
        <is>
          <t>SKÅNE LÄN</t>
        </is>
      </c>
      <c r="G798" t="inlineStr">
        <is>
          <t>KRISTIANSTAD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2889-2025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45946</v>
      </c>
      <c r="E799" s="1" t="n">
        <v>46321</v>
      </c>
      <c r="F799" t="inlineStr">
        <is>
          <t>SKÅNE LÄN</t>
        </is>
      </c>
      <c r="G799" t="inlineStr">
        <is>
          <t>KRISTIANSTAD</t>
        </is>
      </c>
      <c r="I799" t="n">
        <v>43.6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1064-2026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46127</v>
      </c>
      <c r="E800" s="1" t="n">
        <v>46321</v>
      </c>
      <c r="F800" t="inlineStr">
        <is>
          <t>SKÅNE LÄN</t>
        </is>
      </c>
      <c r="G800" t="inlineStr">
        <is>
          <t>KRISTIANSTAD</t>
        </is>
      </c>
      <c r="I800" t="n">
        <v>69.8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>
      <c r="A801" t="inlineStr">
        <is>
          <t>S 1210-2026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46141</v>
      </c>
      <c r="E801" s="1" t="n">
        <v>46321</v>
      </c>
      <c r="F801" t="inlineStr">
        <is>
          <t>SKÅNE LÄN</t>
        </is>
      </c>
      <c r="G801" t="inlineStr">
        <is>
          <t>KRISTIANSTAD</t>
        </is>
      </c>
      <c r="H801" t="inlineStr">
        <is>
          <t>Sveaskog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2026-10-26T03:07:51Z</dcterms:created>
  <dcterms:modified xmlns:dcterms="http://purl.org/dc/terms/" xmlns:xsi="http://www.w3.org/2001/XMLSchema-instance" xsi:type="dcterms:W3CDTF">2026-10-26T03:07:52Z</dcterms:modified>
</cp:coreProperties>
</file>