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46301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46301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46301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46301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46301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46301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46301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46301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46301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46301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46301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46301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46301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46301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46301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46301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46301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46301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46301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46301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46301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46301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46301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46301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46301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46301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46301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46301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46301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46301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46301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46301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46301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46301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46301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46301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46301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46301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46301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46301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46301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46301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46301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46301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46301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46301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46301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46301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30526-2024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45492</v>
      </c>
      <c r="E58" s="1" t="n">
        <v>46301</v>
      </c>
      <c r="F58" t="inlineStr">
        <is>
          <t>SKÅNE LÄN</t>
        </is>
      </c>
      <c r="G58" t="inlineStr">
        <is>
          <t>KRISTIANSTAD</t>
        </is>
      </c>
      <c r="I58" t="n">
        <v>2.3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Dvärgjohannesört
Stor häxört</t>
        </is>
      </c>
      <c r="W58">
        <f>HYPERLINK("https://klasma.github.io/Logging_1290/artfynd/A 30526-2024 artfynd.xlsx", "A 30526-2024")</f>
        <v/>
      </c>
      <c r="X58">
        <f>HYPERLINK("https://klasma.github.io/Logging_1290/kartor/A 30526-2024 karta.png", "A 30526-2024")</f>
        <v/>
      </c>
      <c r="Y58">
        <f>HYPERLINK("https://klasma.github.io/Logging_1290/kartor_geotiff/A 30526-2024 georefererad karta.tif", "A 30526-2024")</f>
        <v/>
      </c>
      <c r="AA58">
        <f>HYPERLINK("https://klasma.github.io/Logging_1290/klagomål/A 30526-2024 FSC-klagomål.docx", "A 30526-2024")</f>
        <v/>
      </c>
      <c r="AB58">
        <f>HYPERLINK("https://klasma.github.io/Logging_1290/klagomålsmail/A 30526-2024 FSC-klagomål mail.docx", "A 30526-2024")</f>
        <v/>
      </c>
      <c r="AC58">
        <f>HYPERLINK("https://klasma.github.io/Logging_1290/tillsyn/A 30526-2024 tillsynsbegäran.docx", "A 30526-2024")</f>
        <v/>
      </c>
      <c r="AD58">
        <f>HYPERLINK("https://klasma.github.io/Logging_1290/tillsynsmail/A 30526-2024 tillsynsbegäran mail.docx", "A 30526-2024")</f>
        <v/>
      </c>
    </row>
    <row r="59" ht="15" customHeight="1">
      <c r="A59" t="inlineStr">
        <is>
          <t>A 60333-2022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44910</v>
      </c>
      <c r="E59" s="1" t="n">
        <v>46301</v>
      </c>
      <c r="F59" t="inlineStr">
        <is>
          <t>SKÅNE LÄN</t>
        </is>
      </c>
      <c r="G59" t="inlineStr">
        <is>
          <t>KRISTIANSTAD</t>
        </is>
      </c>
      <c r="I59" t="n">
        <v>4.1</v>
      </c>
      <c r="J59" t="n">
        <v>1</v>
      </c>
      <c r="K59" t="n">
        <v>0</v>
      </c>
      <c r="L59" t="n">
        <v>0</v>
      </c>
      <c r="M59" t="n">
        <v>2</v>
      </c>
      <c r="N59" t="n">
        <v>0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1</v>
      </c>
      <c r="V59" s="2" t="inlineStr">
        <is>
          <t>Sandödla
Åkersyska</t>
        </is>
      </c>
      <c r="W59">
        <f>HYPERLINK("https://klasma.github.io/Logging_1290/artfynd/A 60333-2022 artfynd.xlsx", "A 60333-2022")</f>
        <v/>
      </c>
      <c r="X59">
        <f>HYPERLINK("https://klasma.github.io/Logging_1290/kartor/A 60333-2022 karta.png", "A 60333-2022")</f>
        <v/>
      </c>
      <c r="Y59">
        <f>HYPERLINK("https://klasma.github.io/Logging_1290/kartor_geotiff/A 60333-2022 georefererad karta.tif", "A 60333-2022")</f>
        <v/>
      </c>
      <c r="AA59">
        <f>HYPERLINK("https://klasma.github.io/Logging_1290/klagomål/A 60333-2022 FSC-klagomål.docx", "A 60333-2022")</f>
        <v/>
      </c>
      <c r="AB59">
        <f>HYPERLINK("https://klasma.github.io/Logging_1290/klagomålsmail/A 60333-2022 FSC-klagomål mail.docx", "A 60333-2022")</f>
        <v/>
      </c>
      <c r="AC59">
        <f>HYPERLINK("https://klasma.github.io/Logging_1290/tillsyn/A 60333-2022 tillsynsbegäran.docx", "A 60333-2022")</f>
        <v/>
      </c>
      <c r="AD59">
        <f>HYPERLINK("https://klasma.github.io/Logging_1290/tillsynsmail/A 60333-2022 tillsynsbegäran mail.docx", "A 60333-2022")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46301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55737-2021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44476</v>
      </c>
      <c r="E61" s="1" t="n">
        <v>46301</v>
      </c>
      <c r="F61" t="inlineStr">
        <is>
          <t>SKÅNE LÄN</t>
        </is>
      </c>
      <c r="G61" t="inlineStr">
        <is>
          <t>KRISTIANSTAD</t>
        </is>
      </c>
      <c r="H61" t="inlineStr">
        <is>
          <t>Sveaskog</t>
        </is>
      </c>
      <c r="I61" t="n">
        <v>7.4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Mindre tåtelsmygare
Kopparödla</t>
        </is>
      </c>
      <c r="W61">
        <f>HYPERLINK("https://klasma.github.io/Logging_1290/artfynd/A 55737-2021 artfynd.xlsx", "A 55737-2021")</f>
        <v/>
      </c>
      <c r="X61">
        <f>HYPERLINK("https://klasma.github.io/Logging_1290/kartor/A 55737-2021 karta.png", "A 55737-2021")</f>
        <v/>
      </c>
      <c r="Y61">
        <f>HYPERLINK("https://klasma.github.io/Logging_1290/kartor_geotiff/A 55737-2021 georefererad karta.tif", "A 55737-2021")</f>
        <v/>
      </c>
      <c r="AA61">
        <f>HYPERLINK("https://klasma.github.io/Logging_1290/klagomål/A 55737-2021 FSC-klagomål.docx", "A 55737-2021")</f>
        <v/>
      </c>
      <c r="AB61">
        <f>HYPERLINK("https://klasma.github.io/Logging_1290/klagomålsmail/A 55737-2021 FSC-klagomål mail.docx", "A 55737-2021")</f>
        <v/>
      </c>
      <c r="AC61">
        <f>HYPERLINK("https://klasma.github.io/Logging_1290/tillsyn/A 55737-2021 tillsynsbegäran.docx", "A 55737-2021")</f>
        <v/>
      </c>
      <c r="AD61">
        <f>HYPERLINK("https://klasma.github.io/Logging_1290/tillsynsmail/A 55737-2021 tillsynsbegäran mail.docx", "A 55737-2021")</f>
        <v/>
      </c>
    </row>
    <row r="62" ht="15" customHeight="1">
      <c r="A62" t="inlineStr">
        <is>
          <t>A 12744-2026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46091</v>
      </c>
      <c r="E62" s="1" t="n">
        <v>46301</v>
      </c>
      <c r="F62" t="inlineStr">
        <is>
          <t>SKÅNE LÄN</t>
        </is>
      </c>
      <c r="G62" t="inlineStr">
        <is>
          <t>KRISTIANSTAD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Glansfläck
Olivklotterlav</t>
        </is>
      </c>
      <c r="W62">
        <f>HYPERLINK("https://klasma.github.io/Logging_1290/artfynd/A 12744-2026 artfynd.xlsx", "A 12744-2026")</f>
        <v/>
      </c>
      <c r="X62">
        <f>HYPERLINK("https://klasma.github.io/Logging_1290/kartor/A 12744-2026 karta.png", "A 12744-2026")</f>
        <v/>
      </c>
      <c r="Y62">
        <f>HYPERLINK("https://klasma.github.io/Logging_1290/kartor_geotiff/A 12744-2026 georefererad karta.tif", "A 12744-2026")</f>
        <v/>
      </c>
      <c r="AA62">
        <f>HYPERLINK("https://klasma.github.io/Logging_1290/klagomål/A 12744-2026 FSC-klagomål.docx", "A 12744-2026")</f>
        <v/>
      </c>
      <c r="AB62">
        <f>HYPERLINK("https://klasma.github.io/Logging_1290/klagomålsmail/A 12744-2026 FSC-klagomål mail.docx", "A 12744-2026")</f>
        <v/>
      </c>
      <c r="AC62">
        <f>HYPERLINK("https://klasma.github.io/Logging_1290/tillsyn/A 12744-2026 tillsynsbegäran.docx", "A 12744-2026")</f>
        <v/>
      </c>
      <c r="AD62">
        <f>HYPERLINK("https://klasma.github.io/Logging_1290/tillsynsmail/A 12744-2026 tillsynsbegäran mail.docx", "A 12744-2026")</f>
        <v/>
      </c>
    </row>
    <row r="63" ht="15" customHeight="1">
      <c r="A63" t="inlineStr">
        <is>
          <t>A 15229-2023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46301</v>
      </c>
      <c r="F63" t="inlineStr">
        <is>
          <t>SKÅNE LÄN</t>
        </is>
      </c>
      <c r="G63" t="inlineStr">
        <is>
          <t>KRISTIANSTAD</t>
        </is>
      </c>
      <c r="I63" t="n">
        <v>1.2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Drillsnäppa
Buskskvätta</t>
        </is>
      </c>
      <c r="W63">
        <f>HYPERLINK("https://klasma.github.io/Logging_1290/artfynd/A 15229-2023 artfynd.xlsx", "A 15229-2023")</f>
        <v/>
      </c>
      <c r="X63">
        <f>HYPERLINK("https://klasma.github.io/Logging_1290/kartor/A 15229-2023 karta.png", "A 15229-2023")</f>
        <v/>
      </c>
      <c r="Y63">
        <f>HYPERLINK("https://klasma.github.io/Logging_1290/kartor_geotiff/A 15229-2023 georefererad karta.tif", "A 15229-2023")</f>
        <v/>
      </c>
      <c r="AA63">
        <f>HYPERLINK("https://klasma.github.io/Logging_1290/klagomål/A 15229-2023 FSC-klagomål.docx", "A 15229-2023")</f>
        <v/>
      </c>
      <c r="AB63">
        <f>HYPERLINK("https://klasma.github.io/Logging_1290/klagomålsmail/A 15229-2023 FSC-klagomål mail.docx", "A 15229-2023")</f>
        <v/>
      </c>
      <c r="AC63">
        <f>HYPERLINK("https://klasma.github.io/Logging_1290/tillsyn/A 15229-2023 tillsynsbegäran.docx", "A 15229-2023")</f>
        <v/>
      </c>
      <c r="AD63">
        <f>HYPERLINK("https://klasma.github.io/Logging_1290/tillsynsmail/A 15229-2023 tillsynsbegäran mail.docx", "A 15229-2023")</f>
        <v/>
      </c>
      <c r="AE63">
        <f>HYPERLINK("https://klasma.github.io/Logging_1290/fåglar/A 15229-2023 prioriterade fågelarter.docx", "A 15229-2023")</f>
        <v/>
      </c>
    </row>
    <row r="64" ht="15" customHeight="1">
      <c r="A64" t="inlineStr">
        <is>
          <t>A 11720-2025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46301</v>
      </c>
      <c r="F64" t="inlineStr">
        <is>
          <t>SKÅNE LÄN</t>
        </is>
      </c>
      <c r="G64" t="inlineStr">
        <is>
          <t>KRISTIANSTAD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Igelkottsröksvamp
Åkergroda</t>
        </is>
      </c>
      <c r="W64">
        <f>HYPERLINK("https://klasma.github.io/Logging_1290/artfynd/A 11720-2025 artfynd.xlsx", "A 11720-2025")</f>
        <v/>
      </c>
      <c r="X64">
        <f>HYPERLINK("https://klasma.github.io/Logging_1290/kartor/A 11720-2025 karta.png", "A 11720-2025")</f>
        <v/>
      </c>
      <c r="Y64">
        <f>HYPERLINK("https://klasma.github.io/Logging_1290/kartor_geotiff/A 11720-2025 georefererad karta.tif", "A 11720-2025")</f>
        <v/>
      </c>
      <c r="AA64">
        <f>HYPERLINK("https://klasma.github.io/Logging_1290/klagomål/A 11720-2025 FSC-klagomål.docx", "A 11720-2025")</f>
        <v/>
      </c>
      <c r="AB64">
        <f>HYPERLINK("https://klasma.github.io/Logging_1290/klagomålsmail/A 11720-2025 FSC-klagomål mail.docx", "A 11720-2025")</f>
        <v/>
      </c>
      <c r="AC64">
        <f>HYPERLINK("https://klasma.github.io/Logging_1290/tillsyn/A 11720-2025 tillsynsbegäran.docx", "A 11720-2025")</f>
        <v/>
      </c>
      <c r="AD64">
        <f>HYPERLINK("https://klasma.github.io/Logging_1290/tillsynsmail/A 11720-2025 tillsynsbegäran mail.docx", "A 11720-2025")</f>
        <v/>
      </c>
    </row>
    <row r="65" ht="15" customHeight="1">
      <c r="A65" t="inlineStr">
        <is>
          <t>A 50151-2025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46301</v>
      </c>
      <c r="F65" t="inlineStr">
        <is>
          <t>SKÅNE LÄN</t>
        </is>
      </c>
      <c r="G65" t="inlineStr">
        <is>
          <t>KRISTIANSTAD</t>
        </is>
      </c>
      <c r="I65" t="n">
        <v>2.5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Slåttergubbe
Grönvit nattviol</t>
        </is>
      </c>
      <c r="W65">
        <f>HYPERLINK("https://klasma.github.io/Logging_1290/artfynd/A 50151-2025 artfynd.xlsx", "A 50151-2025")</f>
        <v/>
      </c>
      <c r="X65">
        <f>HYPERLINK("https://klasma.github.io/Logging_1290/kartor/A 50151-2025 karta.png", "A 50151-2025")</f>
        <v/>
      </c>
      <c r="Y65">
        <f>HYPERLINK("https://klasma.github.io/Logging_1290/kartor_geotiff/A 50151-2025 georefererad karta.tif", "A 50151-2025")</f>
        <v/>
      </c>
      <c r="AA65">
        <f>HYPERLINK("https://klasma.github.io/Logging_1290/klagomål/A 50151-2025 FSC-klagomål.docx", "A 50151-2025")</f>
        <v/>
      </c>
      <c r="AB65">
        <f>HYPERLINK("https://klasma.github.io/Logging_1290/klagomålsmail/A 50151-2025 FSC-klagomål mail.docx", "A 50151-2025")</f>
        <v/>
      </c>
      <c r="AC65">
        <f>HYPERLINK("https://klasma.github.io/Logging_1290/tillsyn/A 50151-2025 tillsynsbegäran.docx", "A 50151-2025")</f>
        <v/>
      </c>
      <c r="AD65">
        <f>HYPERLINK("https://klasma.github.io/Logging_1290/tillsynsmail/A 50151-2025 tillsynsbegäran mail.docx", "A 50151-2025")</f>
        <v/>
      </c>
    </row>
    <row r="66" ht="15" customHeight="1">
      <c r="A66" t="inlineStr">
        <is>
          <t>A 9898-2025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46301</v>
      </c>
      <c r="F66" t="inlineStr">
        <is>
          <t>SKÅNE LÄN</t>
        </is>
      </c>
      <c r="G66" t="inlineStr">
        <is>
          <t>KRISTIANSTAD</t>
        </is>
      </c>
      <c r="I66" t="n">
        <v>1.5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Fransig jordstjärna
Kantjordstjärna</t>
        </is>
      </c>
      <c r="W66">
        <f>HYPERLINK("https://klasma.github.io/Logging_1290/artfynd/A 9898-2025 artfynd.xlsx", "A 9898-2025")</f>
        <v/>
      </c>
      <c r="X66">
        <f>HYPERLINK("https://klasma.github.io/Logging_1290/kartor/A 9898-2025 karta.png", "A 9898-2025")</f>
        <v/>
      </c>
      <c r="Y66">
        <f>HYPERLINK("https://klasma.github.io/Logging_1290/kartor_geotiff/A 9898-2025 georefererad karta.tif", "A 9898-2025")</f>
        <v/>
      </c>
      <c r="AA66">
        <f>HYPERLINK("https://klasma.github.io/Logging_1290/klagomål/A 9898-2025 FSC-klagomål.docx", "A 9898-2025")</f>
        <v/>
      </c>
      <c r="AB66">
        <f>HYPERLINK("https://klasma.github.io/Logging_1290/klagomålsmail/A 9898-2025 FSC-klagomål mail.docx", "A 9898-2025")</f>
        <v/>
      </c>
      <c r="AC66">
        <f>HYPERLINK("https://klasma.github.io/Logging_1290/tillsyn/A 9898-2025 tillsynsbegäran.docx", "A 9898-2025")</f>
        <v/>
      </c>
      <c r="AD66">
        <f>HYPERLINK("https://klasma.github.io/Logging_1290/tillsynsmail/A 9898-2025 tillsynsbegäran mail.docx", "A 9898-2025")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46301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55499-2024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46301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Hedpärlemorfjäril
Grönvit nattviol</t>
        </is>
      </c>
      <c r="W68">
        <f>HYPERLINK("https://klasma.github.io/Logging_1290/artfynd/A 55499-2024 artfynd.xlsx", "A 55499-2024")</f>
        <v/>
      </c>
      <c r="X68">
        <f>HYPERLINK("https://klasma.github.io/Logging_1290/kartor/A 55499-2024 karta.png", "A 55499-2024")</f>
        <v/>
      </c>
      <c r="Y68">
        <f>HYPERLINK("https://klasma.github.io/Logging_1290/kartor_geotiff/A 55499-2024 georefererad karta.tif", "A 55499-2024")</f>
        <v/>
      </c>
      <c r="AA68">
        <f>HYPERLINK("https://klasma.github.io/Logging_1290/klagomål/A 55499-2024 FSC-klagomål.docx", "A 55499-2024")</f>
        <v/>
      </c>
      <c r="AB68">
        <f>HYPERLINK("https://klasma.github.io/Logging_1290/klagomålsmail/A 55499-2024 FSC-klagomål mail.docx", "A 55499-2024")</f>
        <v/>
      </c>
      <c r="AC68">
        <f>HYPERLINK("https://klasma.github.io/Logging_1290/tillsyn/A 55499-2024 tillsynsbegäran.docx", "A 55499-2024")</f>
        <v/>
      </c>
      <c r="AD68">
        <f>HYPERLINK("https://klasma.github.io/Logging_1290/tillsynsmail/A 55499-2024 tillsynsbegäran mail.docx", "A 55499-2024")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46301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46301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56969-2023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46301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2.4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Lundbräsma
Myskmadra</t>
        </is>
      </c>
      <c r="W71">
        <f>HYPERLINK("https://klasma.github.io/Logging_1290/artfynd/A 56969-2023 artfynd.xlsx", "A 56969-2023")</f>
        <v/>
      </c>
      <c r="X71">
        <f>HYPERLINK("https://klasma.github.io/Logging_1290/kartor/A 56969-2023 karta.png", "A 56969-2023")</f>
        <v/>
      </c>
      <c r="Y71">
        <f>HYPERLINK("https://klasma.github.io/Logging_1290/kartor_geotiff/A 56969-2023 georefererad karta.tif", "A 56969-2023")</f>
        <v/>
      </c>
      <c r="AA71">
        <f>HYPERLINK("https://klasma.github.io/Logging_1290/klagomål/A 56969-2023 FSC-klagomål.docx", "A 56969-2023")</f>
        <v/>
      </c>
      <c r="AB71">
        <f>HYPERLINK("https://klasma.github.io/Logging_1290/klagomålsmail/A 56969-2023 FSC-klagomål mail.docx", "A 56969-2023")</f>
        <v/>
      </c>
      <c r="AC71">
        <f>HYPERLINK("https://klasma.github.io/Logging_1290/tillsyn/A 56969-2023 tillsynsbegäran.docx", "A 56969-2023")</f>
        <v/>
      </c>
      <c r="AD71">
        <f>HYPERLINK("https://klasma.github.io/Logging_1290/tillsynsmail/A 56969-2023 tillsynsbegäran mail.docx", "A 56969-2023")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46301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30842-2022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44767</v>
      </c>
      <c r="E73" s="1" t="n">
        <v>46301</v>
      </c>
      <c r="F73" t="inlineStr">
        <is>
          <t>SKÅNE LÄN</t>
        </is>
      </c>
      <c r="G73" t="inlineStr">
        <is>
          <t>KRISTIANSTAD</t>
        </is>
      </c>
      <c r="I73" t="n">
        <v>2.6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Småvänderot
Större vattensalamander</t>
        </is>
      </c>
      <c r="W73">
        <f>HYPERLINK("https://klasma.github.io/Logging_1290/artfynd/A 30842-2022 artfynd.xlsx", "A 30842-2022")</f>
        <v/>
      </c>
      <c r="X73">
        <f>HYPERLINK("https://klasma.github.io/Logging_1290/kartor/A 30842-2022 karta.png", "A 30842-2022")</f>
        <v/>
      </c>
      <c r="Y73">
        <f>HYPERLINK("https://klasma.github.io/Logging_1290/kartor_geotiff/A 30842-2022 georefererad karta.tif", "A 30842-2022")</f>
        <v/>
      </c>
      <c r="AA73">
        <f>HYPERLINK("https://klasma.github.io/Logging_1290/klagomål/A 30842-2022 FSC-klagomål.docx", "A 30842-2022")</f>
        <v/>
      </c>
      <c r="AB73">
        <f>HYPERLINK("https://klasma.github.io/Logging_1290/klagomålsmail/A 30842-2022 FSC-klagomål mail.docx", "A 30842-2022")</f>
        <v/>
      </c>
      <c r="AC73">
        <f>HYPERLINK("https://klasma.github.io/Logging_1290/tillsyn/A 30842-2022 tillsynsbegäran.docx", "A 30842-2022")</f>
        <v/>
      </c>
      <c r="AD73">
        <f>HYPERLINK("https://klasma.github.io/Logging_1290/tillsynsmail/A 30842-2022 tillsynsbegäran mail.docx", "A 30842-2022")</f>
        <v/>
      </c>
    </row>
    <row r="74" ht="15" customHeight="1">
      <c r="A74" t="inlineStr">
        <is>
          <t>A 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46301</v>
      </c>
      <c r="F74" t="inlineStr">
        <is>
          <t>SKÅNE LÄN</t>
        </is>
      </c>
      <c r="G74" t="inlineStr">
        <is>
          <t>KRISTIANSTAD</t>
        </is>
      </c>
      <c r="I74" t="n">
        <v>1.9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Rosa lundlav
Stiftklotterlav</t>
        </is>
      </c>
      <c r="W74">
        <f>HYPERLINK("https://klasma.github.io/Logging_1290/artfynd/A 755-2025 artfynd.xlsx", "A 755-2025")</f>
        <v/>
      </c>
      <c r="X74">
        <f>HYPERLINK("https://klasma.github.io/Logging_1290/kartor/A 755-2025 karta.png", "A 755-2025")</f>
        <v/>
      </c>
      <c r="Y74">
        <f>HYPERLINK("https://klasma.github.io/Logging_1290/kartor_geotiff/A 755-2025 georefererad karta.tif", "A 755-2025")</f>
        <v/>
      </c>
      <c r="AA74">
        <f>HYPERLINK("https://klasma.github.io/Logging_1290/klagomål/A 755-2025 FSC-klagomål.docx", "A 755-2025")</f>
        <v/>
      </c>
      <c r="AB74">
        <f>HYPERLINK("https://klasma.github.io/Logging_1290/klagomålsmail/A 755-2025 FSC-klagomål mail.docx", "A 755-2025")</f>
        <v/>
      </c>
      <c r="AC74">
        <f>HYPERLINK("https://klasma.github.io/Logging_1290/tillsyn/A 755-2025 tillsynsbegäran.docx", "A 755-2025")</f>
        <v/>
      </c>
      <c r="AD74">
        <f>HYPERLINK("https://klasma.github.io/Logging_1290/tillsynsmail/A 755-2025 tillsynsbegäran mail.docx", "A 755-2025")</f>
        <v/>
      </c>
    </row>
    <row r="75" ht="15" customHeight="1">
      <c r="A75" t="inlineStr">
        <is>
          <t>A 24803-2025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45799</v>
      </c>
      <c r="E75" s="1" t="n">
        <v>46301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9.699999999999999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Kungsfågel
Röd glada</t>
        </is>
      </c>
      <c r="W75">
        <f>HYPERLINK("https://klasma.github.io/Logging_1290/artfynd/A 24803-2025 artfynd.xlsx", "A 24803-2025")</f>
        <v/>
      </c>
      <c r="X75">
        <f>HYPERLINK("https://klasma.github.io/Logging_1290/kartor/A 24803-2025 karta.png", "A 24803-2025")</f>
        <v/>
      </c>
      <c r="Y75">
        <f>HYPERLINK("https://klasma.github.io/Logging_1290/kartor_geotiff/A 24803-2025 georefererad karta.tif", "A 24803-2025")</f>
        <v/>
      </c>
      <c r="AA75">
        <f>HYPERLINK("https://klasma.github.io/Logging_1290/klagomål/A 24803-2025 FSC-klagomål.docx", "A 24803-2025")</f>
        <v/>
      </c>
      <c r="AB75">
        <f>HYPERLINK("https://klasma.github.io/Logging_1290/klagomålsmail/A 24803-2025 FSC-klagomål mail.docx", "A 24803-2025")</f>
        <v/>
      </c>
      <c r="AC75">
        <f>HYPERLINK("https://klasma.github.io/Logging_1290/tillsyn/A 24803-2025 tillsynsbegäran.docx", "A 24803-2025")</f>
        <v/>
      </c>
      <c r="AD75">
        <f>HYPERLINK("https://klasma.github.io/Logging_1290/tillsynsmail/A 24803-2025 tillsynsbegäran mail.docx", "A 24803-2025")</f>
        <v/>
      </c>
      <c r="AE75">
        <f>HYPERLINK("https://klasma.github.io/Logging_1290/fåglar/A 24803-2025 prioriterade fågelarter.docx", "A 24803-2025")</f>
        <v/>
      </c>
    </row>
    <row r="76" ht="15" customHeight="1">
      <c r="A76" t="inlineStr">
        <is>
          <t>A 50779-2024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45602</v>
      </c>
      <c r="E76" s="1" t="n">
        <v>46301</v>
      </c>
      <c r="F76" t="inlineStr">
        <is>
          <t>SKÅNE LÄN</t>
        </is>
      </c>
      <c r="G76" t="inlineStr">
        <is>
          <t>KRISTIANSTAD</t>
        </is>
      </c>
      <c r="I76" t="n">
        <v>5.7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Bokoxe
Utter</t>
        </is>
      </c>
      <c r="W76">
        <f>HYPERLINK("https://klasma.github.io/Logging_1290/artfynd/A 50779-2024 artfynd.xlsx", "A 50779-2024")</f>
        <v/>
      </c>
      <c r="X76">
        <f>HYPERLINK("https://klasma.github.io/Logging_1290/kartor/A 50779-2024 karta.png", "A 50779-2024")</f>
        <v/>
      </c>
      <c r="Y76">
        <f>HYPERLINK("https://klasma.github.io/Logging_1290/kartor_geotiff/A 50779-2024 georefererad karta.tif", "A 50779-2024")</f>
        <v/>
      </c>
      <c r="AA76">
        <f>HYPERLINK("https://klasma.github.io/Logging_1290/klagomål/A 50779-2024 FSC-klagomål.docx", "A 50779-2024")</f>
        <v/>
      </c>
      <c r="AB76">
        <f>HYPERLINK("https://klasma.github.io/Logging_1290/klagomålsmail/A 50779-2024 FSC-klagomål mail.docx", "A 50779-2024")</f>
        <v/>
      </c>
      <c r="AC76">
        <f>HYPERLINK("https://klasma.github.io/Logging_1290/tillsyn/A 50779-2024 tillsynsbegäran.docx", "A 50779-2024")</f>
        <v/>
      </c>
      <c r="AD76">
        <f>HYPERLINK("https://klasma.github.io/Logging_1290/tillsynsmail/A 50779-2024 tillsynsbegäran mail.docx", "A 50779-2024")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46301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46301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46301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46301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46301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46301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46301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46301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46301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46301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46301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46301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46301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32219-2025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45835</v>
      </c>
      <c r="E90" s="1" t="n">
        <v>46301</v>
      </c>
      <c r="F90" t="inlineStr">
        <is>
          <t>SKÅNE LÄN</t>
        </is>
      </c>
      <c r="G90" t="inlineStr">
        <is>
          <t>KRISTIANSTAD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Ägretthäger</t>
        </is>
      </c>
      <c r="W90">
        <f>HYPERLINK("https://klasma.github.io/Logging_1290/artfynd/A 32219-2025 artfynd.xlsx", "A 32219-2025")</f>
        <v/>
      </c>
      <c r="X90">
        <f>HYPERLINK("https://klasma.github.io/Logging_1290/kartor/A 32219-2025 karta.png", "A 32219-2025")</f>
        <v/>
      </c>
      <c r="Y90">
        <f>HYPERLINK("https://klasma.github.io/Logging_1290/kartor_geotiff/A 32219-2025 georefererad karta.tif", "A 32219-2025")</f>
        <v/>
      </c>
      <c r="AA90">
        <f>HYPERLINK("https://klasma.github.io/Logging_1290/klagomål/A 32219-2025 FSC-klagomål.docx", "A 32219-2025")</f>
        <v/>
      </c>
      <c r="AB90">
        <f>HYPERLINK("https://klasma.github.io/Logging_1290/klagomålsmail/A 32219-2025 FSC-klagomål mail.docx", "A 32219-2025")</f>
        <v/>
      </c>
      <c r="AC90">
        <f>HYPERLINK("https://klasma.github.io/Logging_1290/tillsyn/A 32219-2025 tillsynsbegäran.docx", "A 32219-2025")</f>
        <v/>
      </c>
      <c r="AD90">
        <f>HYPERLINK("https://klasma.github.io/Logging_1290/tillsynsmail/A 32219-2025 tillsynsbegäran mail.docx", "A 32219-2025")</f>
        <v/>
      </c>
      <c r="AE90">
        <f>HYPERLINK("https://klasma.github.io/Logging_1290/fåglar/A 32219-2025 prioriterade fågelarter.docx", "A 32219-2025")</f>
        <v/>
      </c>
    </row>
    <row r="91" ht="15" customHeight="1">
      <c r="A91" t="inlineStr">
        <is>
          <t>A 45495-2024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45577</v>
      </c>
      <c r="E91" s="1" t="n">
        <v>46301</v>
      </c>
      <c r="F91" t="inlineStr">
        <is>
          <t>SKÅNE LÄN</t>
        </is>
      </c>
      <c r="G91" t="inlineStr">
        <is>
          <t>KRISTIANSTAD</t>
        </is>
      </c>
      <c r="I91" t="n">
        <v>9.1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Koralltaggsvamp</t>
        </is>
      </c>
      <c r="W91">
        <f>HYPERLINK("https://klasma.github.io/Logging_1290/artfynd/A 45495-2024 artfynd.xlsx", "A 45495-2024")</f>
        <v/>
      </c>
      <c r="X91">
        <f>HYPERLINK("https://klasma.github.io/Logging_1290/kartor/A 45495-2024 karta.png", "A 45495-2024")</f>
        <v/>
      </c>
      <c r="Y91">
        <f>HYPERLINK("https://klasma.github.io/Logging_1290/kartor_geotiff/A 45495-2024 georefererad karta.tif", "A 45495-2024")</f>
        <v/>
      </c>
      <c r="AA91">
        <f>HYPERLINK("https://klasma.github.io/Logging_1290/klagomål/A 45495-2024 FSC-klagomål.docx", "A 45495-2024")</f>
        <v/>
      </c>
      <c r="AB91">
        <f>HYPERLINK("https://klasma.github.io/Logging_1290/klagomålsmail/A 45495-2024 FSC-klagomål mail.docx", "A 45495-2024")</f>
        <v/>
      </c>
      <c r="AC91">
        <f>HYPERLINK("https://klasma.github.io/Logging_1290/tillsyn/A 45495-2024 tillsynsbegäran.docx", "A 45495-2024")</f>
        <v/>
      </c>
      <c r="AD91">
        <f>HYPERLINK("https://klasma.github.io/Logging_1290/tillsynsmail/A 45495-2024 tillsynsbegäran mail.docx", "A 45495-2024")</f>
        <v/>
      </c>
    </row>
    <row r="92" ht="15" customHeight="1">
      <c r="A92" t="inlineStr">
        <is>
          <t>A 50702-2025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46301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Guldlockmossa</t>
        </is>
      </c>
      <c r="W92">
        <f>HYPERLINK("https://klasma.github.io/Logging_1290/artfynd/A 50702-2025 artfynd.xlsx", "A 50702-2025")</f>
        <v/>
      </c>
      <c r="X92">
        <f>HYPERLINK("https://klasma.github.io/Logging_1290/kartor/A 50702-2025 karta.png", "A 50702-2025")</f>
        <v/>
      </c>
      <c r="Y92">
        <f>HYPERLINK("https://klasma.github.io/Logging_1290/kartor_geotiff/A 50702-2025 georefererad karta.tif", "A 50702-2025")</f>
        <v/>
      </c>
      <c r="AA92">
        <f>HYPERLINK("https://klasma.github.io/Logging_1290/klagomål/A 50702-2025 FSC-klagomål.docx", "A 50702-2025")</f>
        <v/>
      </c>
      <c r="AB92">
        <f>HYPERLINK("https://klasma.github.io/Logging_1290/klagomålsmail/A 50702-2025 FSC-klagomål mail.docx", "A 50702-2025")</f>
        <v/>
      </c>
      <c r="AC92">
        <f>HYPERLINK("https://klasma.github.io/Logging_1290/tillsyn/A 50702-2025 tillsynsbegäran.docx", "A 50702-2025")</f>
        <v/>
      </c>
      <c r="AD92">
        <f>HYPERLINK("https://klasma.github.io/Logging_1290/tillsynsmail/A 50702-2025 tillsynsbegäran mail.docx", "A 50702-2025")</f>
        <v/>
      </c>
    </row>
    <row r="93" ht="15" customHeight="1">
      <c r="A93" t="inlineStr">
        <is>
          <t>A 16783-2025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46301</v>
      </c>
      <c r="F93" t="inlineStr">
        <is>
          <t>SKÅNE LÄN</t>
        </is>
      </c>
      <c r="G93" t="inlineStr">
        <is>
          <t>KRISTIANSTAD</t>
        </is>
      </c>
      <c r="I93" t="n">
        <v>20.2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Öring</t>
        </is>
      </c>
      <c r="W93">
        <f>HYPERLINK("https://klasma.github.io/Logging_1290/artfynd/A 16783-2025 artfynd.xlsx", "A 16783-2025")</f>
        <v/>
      </c>
      <c r="X93">
        <f>HYPERLINK("https://klasma.github.io/Logging_1290/kartor/A 16783-2025 karta.png", "A 16783-2025")</f>
        <v/>
      </c>
      <c r="Y93">
        <f>HYPERLINK("https://klasma.github.io/Logging_1290/kartor_geotiff/A 16783-2025 georefererad karta.tif", "A 16783-2025")</f>
        <v/>
      </c>
      <c r="AA93">
        <f>HYPERLINK("https://klasma.github.io/Logging_1290/klagomål/A 16783-2025 FSC-klagomål.docx", "A 16783-2025")</f>
        <v/>
      </c>
      <c r="AB93">
        <f>HYPERLINK("https://klasma.github.io/Logging_1290/klagomålsmail/A 16783-2025 FSC-klagomål mail.docx", "A 16783-2025")</f>
        <v/>
      </c>
      <c r="AC93">
        <f>HYPERLINK("https://klasma.github.io/Logging_1290/tillsyn/A 16783-2025 tillsynsbegäran.docx", "A 16783-2025")</f>
        <v/>
      </c>
      <c r="AD93">
        <f>HYPERLINK("https://klasma.github.io/Logging_1290/tillsynsmail/A 16783-2025 tillsynsbegäran mail.docx", "A 16783-2025")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46301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27956-2022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46301</v>
      </c>
      <c r="F95" t="inlineStr">
        <is>
          <t>SKÅNE LÄN</t>
        </is>
      </c>
      <c r="G95" t="inlineStr">
        <is>
          <t>KRISTIANSTAD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Kärrviol</t>
        </is>
      </c>
      <c r="W95">
        <f>HYPERLINK("https://klasma.github.io/Logging_1290/artfynd/A 27956-2022 artfynd.xlsx", "A 27956-2022")</f>
        <v/>
      </c>
      <c r="X95">
        <f>HYPERLINK("https://klasma.github.io/Logging_1290/kartor/A 27956-2022 karta.png", "A 27956-2022")</f>
        <v/>
      </c>
      <c r="Y95">
        <f>HYPERLINK("https://klasma.github.io/Logging_1290/kartor_geotiff/A 27956-2022 georefererad karta.tif", "A 27956-2022")</f>
        <v/>
      </c>
      <c r="AA95">
        <f>HYPERLINK("https://klasma.github.io/Logging_1290/klagomål/A 27956-2022 FSC-klagomål.docx", "A 27956-2022")</f>
        <v/>
      </c>
      <c r="AB95">
        <f>HYPERLINK("https://klasma.github.io/Logging_1290/klagomålsmail/A 27956-2022 FSC-klagomål mail.docx", "A 27956-2022")</f>
        <v/>
      </c>
      <c r="AC95">
        <f>HYPERLINK("https://klasma.github.io/Logging_1290/tillsyn/A 27956-2022 tillsynsbegäran.docx", "A 27956-2022")</f>
        <v/>
      </c>
      <c r="AD95">
        <f>HYPERLINK("https://klasma.github.io/Logging_1290/tillsynsmail/A 27956-2022 tillsynsbegäran mail.docx", "A 27956-2022")</f>
        <v/>
      </c>
    </row>
    <row r="96" ht="15" customHeight="1">
      <c r="A96" t="inlineStr">
        <is>
          <t>A 13977-2025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45738</v>
      </c>
      <c r="E96" s="1" t="n">
        <v>46301</v>
      </c>
      <c r="F96" t="inlineStr">
        <is>
          <t>SKÅNE LÄN</t>
        </is>
      </c>
      <c r="G96" t="inlineStr">
        <is>
          <t>KRISTIANSTAD</t>
        </is>
      </c>
      <c r="I96" t="n">
        <v>8.9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Rostfläck</t>
        </is>
      </c>
      <c r="W96">
        <f>HYPERLINK("https://klasma.github.io/Logging_1290/artfynd/A 13977-2025 artfynd.xlsx", "A 13977-2025")</f>
        <v/>
      </c>
      <c r="X96">
        <f>HYPERLINK("https://klasma.github.io/Logging_1290/kartor/A 13977-2025 karta.png", "A 13977-2025")</f>
        <v/>
      </c>
      <c r="Y96">
        <f>HYPERLINK("https://klasma.github.io/Logging_1290/kartor_geotiff/A 13977-2025 georefererad karta.tif", "A 13977-2025")</f>
        <v/>
      </c>
      <c r="AA96">
        <f>HYPERLINK("https://klasma.github.io/Logging_1290/klagomål/A 13977-2025 FSC-klagomål.docx", "A 13977-2025")</f>
        <v/>
      </c>
      <c r="AB96">
        <f>HYPERLINK("https://klasma.github.io/Logging_1290/klagomålsmail/A 13977-2025 FSC-klagomål mail.docx", "A 13977-2025")</f>
        <v/>
      </c>
      <c r="AC96">
        <f>HYPERLINK("https://klasma.github.io/Logging_1290/tillsyn/A 13977-2025 tillsynsbegäran.docx", "A 13977-2025")</f>
        <v/>
      </c>
      <c r="AD96">
        <f>HYPERLINK("https://klasma.github.io/Logging_1290/tillsynsmail/A 13977-2025 tillsynsbegäran mail.docx", "A 13977-2025")</f>
        <v/>
      </c>
    </row>
    <row r="97" ht="15" customHeight="1">
      <c r="A97" t="inlineStr">
        <is>
          <t>A 34096-2025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46301</v>
      </c>
      <c r="F97" t="inlineStr">
        <is>
          <t>SKÅNE LÄN</t>
        </is>
      </c>
      <c r="G97" t="inlineStr">
        <is>
          <t>KRISTIANSTAD</t>
        </is>
      </c>
      <c r="I97" t="n">
        <v>6.5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Dunmossa</t>
        </is>
      </c>
      <c r="W97">
        <f>HYPERLINK("https://klasma.github.io/Logging_1290/artfynd/A 34096-2025 artfynd.xlsx", "A 34096-2025")</f>
        <v/>
      </c>
      <c r="X97">
        <f>HYPERLINK("https://klasma.github.io/Logging_1290/kartor/A 34096-2025 karta.png", "A 34096-2025")</f>
        <v/>
      </c>
      <c r="Y97">
        <f>HYPERLINK("https://klasma.github.io/Logging_1290/kartor_geotiff/A 34096-2025 georefererad karta.tif", "A 34096-2025")</f>
        <v/>
      </c>
      <c r="AA97">
        <f>HYPERLINK("https://klasma.github.io/Logging_1290/klagomål/A 34096-2025 FSC-klagomål.docx", "A 34096-2025")</f>
        <v/>
      </c>
      <c r="AB97">
        <f>HYPERLINK("https://klasma.github.io/Logging_1290/klagomålsmail/A 34096-2025 FSC-klagomål mail.docx", "A 34096-2025")</f>
        <v/>
      </c>
      <c r="AC97">
        <f>HYPERLINK("https://klasma.github.io/Logging_1290/tillsyn/A 34096-2025 tillsynsbegäran.docx", "A 34096-2025")</f>
        <v/>
      </c>
      <c r="AD97">
        <f>HYPERLINK("https://klasma.github.io/Logging_1290/tillsynsmail/A 34096-2025 tillsynsbegäran mail.docx", "A 34096-2025")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46301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46301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46931-2025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46301</v>
      </c>
      <c r="F100" t="inlineStr">
        <is>
          <t>SKÅNE LÄN</t>
        </is>
      </c>
      <c r="G100" t="inlineStr">
        <is>
          <t>KRISTIANSTAD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Blåmossa</t>
        </is>
      </c>
      <c r="W100">
        <f>HYPERLINK("https://klasma.github.io/Logging_1290/artfynd/A 46931-2025 artfynd.xlsx", "A 46931-2025")</f>
        <v/>
      </c>
      <c r="X100">
        <f>HYPERLINK("https://klasma.github.io/Logging_1290/kartor/A 46931-2025 karta.png", "A 46931-2025")</f>
        <v/>
      </c>
      <c r="Y100">
        <f>HYPERLINK("https://klasma.github.io/Logging_1290/kartor_geotiff/A 46931-2025 georefererad karta.tif", "A 46931-2025")</f>
        <v/>
      </c>
      <c r="AA100">
        <f>HYPERLINK("https://klasma.github.io/Logging_1290/klagomål/A 46931-2025 FSC-klagomål.docx", "A 46931-2025")</f>
        <v/>
      </c>
      <c r="AB100">
        <f>HYPERLINK("https://klasma.github.io/Logging_1290/klagomålsmail/A 46931-2025 FSC-klagomål mail.docx", "A 46931-2025")</f>
        <v/>
      </c>
      <c r="AC100">
        <f>HYPERLINK("https://klasma.github.io/Logging_1290/tillsyn/A 46931-2025 tillsynsbegäran.docx", "A 46931-2025")</f>
        <v/>
      </c>
      <c r="AD100">
        <f>HYPERLINK("https://klasma.github.io/Logging_1290/tillsynsmail/A 46931-2025 tillsynsbegäran mail.docx", "A 46931-2025")</f>
        <v/>
      </c>
    </row>
    <row r="101" ht="15" customHeight="1">
      <c r="A101" t="inlineStr">
        <is>
          <t>A 41004-2022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46301</v>
      </c>
      <c r="F101" t="inlineStr">
        <is>
          <t>SKÅNE LÄN</t>
        </is>
      </c>
      <c r="G101" t="inlineStr">
        <is>
          <t>KRISTIANSTAD</t>
        </is>
      </c>
      <c r="I101" t="n">
        <v>2.4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Skogsbräsma</t>
        </is>
      </c>
      <c r="W101">
        <f>HYPERLINK("https://klasma.github.io/Logging_1290/artfynd/A 41004-2022 artfynd.xlsx", "A 41004-2022")</f>
        <v/>
      </c>
      <c r="X101">
        <f>HYPERLINK("https://klasma.github.io/Logging_1290/kartor/A 41004-2022 karta.png", "A 41004-2022")</f>
        <v/>
      </c>
      <c r="Y101">
        <f>HYPERLINK("https://klasma.github.io/Logging_1290/kartor_geotiff/A 41004-2022 georefererad karta.tif", "A 41004-2022")</f>
        <v/>
      </c>
      <c r="AA101">
        <f>HYPERLINK("https://klasma.github.io/Logging_1290/klagomål/A 41004-2022 FSC-klagomål.docx", "A 41004-2022")</f>
        <v/>
      </c>
      <c r="AB101">
        <f>HYPERLINK("https://klasma.github.io/Logging_1290/klagomålsmail/A 41004-2022 FSC-klagomål mail.docx", "A 41004-2022")</f>
        <v/>
      </c>
      <c r="AC101">
        <f>HYPERLINK("https://klasma.github.io/Logging_1290/tillsyn/A 41004-2022 tillsynsbegäran.docx", "A 41004-2022")</f>
        <v/>
      </c>
      <c r="AD101">
        <f>HYPERLINK("https://klasma.github.io/Logging_1290/tillsynsmail/A 41004-2022 tillsynsbegäran mail.docx", "A 41004-2022")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46301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53189-2025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46301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HYPERLINK("https://klasma.github.io/Logging_1290/artfynd/A 53189-2025 artfynd.xlsx", "A 53189-2025")</f>
        <v/>
      </c>
      <c r="X103">
        <f>HYPERLINK("https://klasma.github.io/Logging_1290/kartor/A 53189-2025 karta.png", "A 53189-2025")</f>
        <v/>
      </c>
      <c r="Y103">
        <f>HYPERLINK("https://klasma.github.io/Logging_1290/kartor_geotiff/A 53189-2025 georefererad karta.tif", "A 53189-2025")</f>
        <v/>
      </c>
      <c r="AA103">
        <f>HYPERLINK("https://klasma.github.io/Logging_1290/klagomål/A 53189-2025 FSC-klagomål.docx", "A 53189-2025")</f>
        <v/>
      </c>
      <c r="AB103">
        <f>HYPERLINK("https://klasma.github.io/Logging_1290/klagomålsmail/A 53189-2025 FSC-klagomål mail.docx", "A 53189-2025")</f>
        <v/>
      </c>
      <c r="AC103">
        <f>HYPERLINK("https://klasma.github.io/Logging_1290/tillsyn/A 53189-2025 tillsynsbegäran.docx", "A 53189-2025")</f>
        <v/>
      </c>
      <c r="AD103">
        <f>HYPERLINK("https://klasma.github.io/Logging_1290/tillsynsmail/A 53189-2025 tillsynsbegäran mail.docx", "A 53189-2025")</f>
        <v/>
      </c>
    </row>
    <row r="104" ht="15" customHeight="1">
      <c r="A104" t="inlineStr">
        <is>
          <t>A 53182-2025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46301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Entita</t>
        </is>
      </c>
      <c r="W104">
        <f>HYPERLINK("https://klasma.github.io/Logging_1290/artfynd/A 53182-2025 artfynd.xlsx", "A 53182-2025")</f>
        <v/>
      </c>
      <c r="X104">
        <f>HYPERLINK("https://klasma.github.io/Logging_1290/kartor/A 53182-2025 karta.png", "A 53182-2025")</f>
        <v/>
      </c>
      <c r="Y104">
        <f>HYPERLINK("https://klasma.github.io/Logging_1290/kartor_geotiff/A 53182-2025 georefererad karta.tif", "A 53182-2025")</f>
        <v/>
      </c>
      <c r="AA104">
        <f>HYPERLINK("https://klasma.github.io/Logging_1290/klagomål/A 53182-2025 FSC-klagomål.docx", "A 53182-2025")</f>
        <v/>
      </c>
      <c r="AB104">
        <f>HYPERLINK("https://klasma.github.io/Logging_1290/klagomålsmail/A 53182-2025 FSC-klagomål mail.docx", "A 53182-2025")</f>
        <v/>
      </c>
      <c r="AC104">
        <f>HYPERLINK("https://klasma.github.io/Logging_1290/tillsyn/A 53182-2025 tillsynsbegäran.docx", "A 53182-2025")</f>
        <v/>
      </c>
      <c r="AD104">
        <f>HYPERLINK("https://klasma.github.io/Logging_1290/tillsynsmail/A 53182-2025 tillsynsbegäran mail.docx", "A 53182-2025")</f>
        <v/>
      </c>
      <c r="AE104">
        <f>HYPERLINK("https://klasma.github.io/Logging_1290/fåglar/A 53182-2025 prioriterade fågelarter.docx", "A 53182-2025")</f>
        <v/>
      </c>
    </row>
    <row r="105" ht="15" customHeight="1">
      <c r="A105" t="inlineStr">
        <is>
          <t>A 28429-2024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45477</v>
      </c>
      <c r="E105" s="1" t="n">
        <v>46301</v>
      </c>
      <c r="F105" t="inlineStr">
        <is>
          <t>SKÅNE LÄN</t>
        </is>
      </c>
      <c r="G105" t="inlineStr">
        <is>
          <t>KRISTIANSTAD</t>
        </is>
      </c>
      <c r="I105" t="n">
        <v>0.4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Knölspindel</t>
        </is>
      </c>
      <c r="W105">
        <f>HYPERLINK("https://klasma.github.io/Logging_1290/artfynd/A 28429-2024 artfynd.xlsx", "A 28429-2024")</f>
        <v/>
      </c>
      <c r="X105">
        <f>HYPERLINK("https://klasma.github.io/Logging_1290/kartor/A 28429-2024 karta.png", "A 28429-2024")</f>
        <v/>
      </c>
      <c r="Y105">
        <f>HYPERLINK("https://klasma.github.io/Logging_1290/kartor_geotiff/A 28429-2024 georefererad karta.tif", "A 28429-2024")</f>
        <v/>
      </c>
      <c r="AA105">
        <f>HYPERLINK("https://klasma.github.io/Logging_1290/klagomål/A 28429-2024 FSC-klagomål.docx", "A 28429-2024")</f>
        <v/>
      </c>
      <c r="AB105">
        <f>HYPERLINK("https://klasma.github.io/Logging_1290/klagomålsmail/A 28429-2024 FSC-klagomål mail.docx", "A 28429-2024")</f>
        <v/>
      </c>
      <c r="AC105">
        <f>HYPERLINK("https://klasma.github.io/Logging_1290/tillsyn/A 28429-2024 tillsynsbegäran.docx", "A 28429-2024")</f>
        <v/>
      </c>
      <c r="AD105">
        <f>HYPERLINK("https://klasma.github.io/Logging_1290/tillsynsmail/A 28429-2024 tillsynsbegäran mail.docx", "A 28429-2024")</f>
        <v/>
      </c>
    </row>
    <row r="106" ht="15" customHeight="1">
      <c r="A106" t="inlineStr">
        <is>
          <t>A 16079-2026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46301</v>
      </c>
      <c r="F106" t="inlineStr">
        <is>
          <t>SKÅNE LÄN</t>
        </is>
      </c>
      <c r="G106" t="inlineStr">
        <is>
          <t>KRISTIANSTAD</t>
        </is>
      </c>
      <c r="I106" t="n">
        <v>13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2</v>
      </c>
      <c r="V106" s="2" t="inlineStr">
        <is>
          <t>Småvänderot</t>
        </is>
      </c>
      <c r="W106">
        <f>HYPERLINK("https://klasma.github.io/Logging_1290/artfynd/A 16079-2026 artfynd.xlsx", "A 16079-2026")</f>
        <v/>
      </c>
      <c r="X106">
        <f>HYPERLINK("https://klasma.github.io/Logging_1290/kartor/A 16079-2026 karta.png", "A 16079-2026")</f>
        <v/>
      </c>
      <c r="Y106">
        <f>HYPERLINK("https://klasma.github.io/Logging_1290/kartor_geotiff/A 16079-2026 georefererad karta.tif", "A 16079-2026")</f>
        <v/>
      </c>
      <c r="AA106">
        <f>HYPERLINK("https://klasma.github.io/Logging_1290/klagomål/A 16079-2026 FSC-klagomål.docx", "A 16079-2026")</f>
        <v/>
      </c>
      <c r="AB106">
        <f>HYPERLINK("https://klasma.github.io/Logging_1290/klagomålsmail/A 16079-2026 FSC-klagomål mail.docx", "A 16079-2026")</f>
        <v/>
      </c>
      <c r="AC106">
        <f>HYPERLINK("https://klasma.github.io/Logging_1290/tillsyn/A 16079-2026 tillsynsbegäran.docx", "A 16079-2026")</f>
        <v/>
      </c>
      <c r="AD106">
        <f>HYPERLINK("https://klasma.github.io/Logging_1290/tillsynsmail/A 16079-2026 tillsynsbegäran mail.docx", "A 16079-2026")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46301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15105-2023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46301</v>
      </c>
      <c r="F108" t="inlineStr">
        <is>
          <t>SKÅNE LÄN</t>
        </is>
      </c>
      <c r="G108" t="inlineStr">
        <is>
          <t>KRISTIANSTAD</t>
        </is>
      </c>
      <c r="H108" t="inlineStr">
        <is>
          <t>Kyrkan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Liten baronmossa</t>
        </is>
      </c>
      <c r="W108">
        <f>HYPERLINK("https://klasma.github.io/Logging_1290/artfynd/A 15105-2023 artfynd.xlsx", "A 15105-2023")</f>
        <v/>
      </c>
      <c r="X108">
        <f>HYPERLINK("https://klasma.github.io/Logging_1290/kartor/A 15105-2023 karta.png", "A 15105-2023")</f>
        <v/>
      </c>
      <c r="Y108">
        <f>HYPERLINK("https://klasma.github.io/Logging_1290/kartor_geotiff/A 15105-2023 georefererad karta.tif", "A 15105-2023")</f>
        <v/>
      </c>
      <c r="AA108">
        <f>HYPERLINK("https://klasma.github.io/Logging_1290/klagomål/A 15105-2023 FSC-klagomål.docx", "A 15105-2023")</f>
        <v/>
      </c>
      <c r="AB108">
        <f>HYPERLINK("https://klasma.github.io/Logging_1290/klagomålsmail/A 15105-2023 FSC-klagomål mail.docx", "A 15105-2023")</f>
        <v/>
      </c>
      <c r="AC108">
        <f>HYPERLINK("https://klasma.github.io/Logging_1290/tillsyn/A 15105-2023 tillsynsbegäran.docx", "A 15105-2023")</f>
        <v/>
      </c>
      <c r="AD108">
        <f>HYPERLINK("https://klasma.github.io/Logging_1290/tillsynsmail/A 15105-2023 tillsynsbegäran mail.docx", "A 15105-2023")</f>
        <v/>
      </c>
    </row>
    <row r="109" ht="15" customHeight="1">
      <c r="A109" t="inlineStr">
        <is>
          <t>A 60006-2025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46301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4.8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Ekoxe</t>
        </is>
      </c>
      <c r="W109">
        <f>HYPERLINK("https://klasma.github.io/Logging_1290/artfynd/A 60006-2025 artfynd.xlsx", "A 60006-2025")</f>
        <v/>
      </c>
      <c r="X109">
        <f>HYPERLINK("https://klasma.github.io/Logging_1290/kartor/A 60006-2025 karta.png", "A 60006-2025")</f>
        <v/>
      </c>
      <c r="Y109">
        <f>HYPERLINK("https://klasma.github.io/Logging_1290/kartor_geotiff/A 60006-2025 georefererad karta.tif", "A 60006-2025")</f>
        <v/>
      </c>
      <c r="AA109">
        <f>HYPERLINK("https://klasma.github.io/Logging_1290/klagomål/A 60006-2025 FSC-klagomål.docx", "A 60006-2025")</f>
        <v/>
      </c>
      <c r="AB109">
        <f>HYPERLINK("https://klasma.github.io/Logging_1290/klagomålsmail/A 60006-2025 FSC-klagomål mail.docx", "A 60006-2025")</f>
        <v/>
      </c>
      <c r="AC109">
        <f>HYPERLINK("https://klasma.github.io/Logging_1290/tillsyn/A 60006-2025 tillsynsbegäran.docx", "A 60006-2025")</f>
        <v/>
      </c>
      <c r="AD109">
        <f>HYPERLINK("https://klasma.github.io/Logging_1290/tillsynsmail/A 60006-2025 tillsynsbegäran mail.docx", "A 60006-2025")</f>
        <v/>
      </c>
    </row>
    <row r="110" ht="15" customHeight="1">
      <c r="A110" t="inlineStr">
        <is>
          <t>A 19704-2026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46301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Desmeknopp</t>
        </is>
      </c>
      <c r="W110">
        <f>HYPERLINK("https://klasma.github.io/Logging_1290/artfynd/A 19704-2026 artfynd.xlsx", "A 19704-2026")</f>
        <v/>
      </c>
      <c r="X110">
        <f>HYPERLINK("https://klasma.github.io/Logging_1290/kartor/A 19704-2026 karta.png", "A 19704-2026")</f>
        <v/>
      </c>
      <c r="Y110">
        <f>HYPERLINK("https://klasma.github.io/Logging_1290/kartor_geotiff/A 19704-2026 georefererad karta.tif", "A 19704-2026")</f>
        <v/>
      </c>
      <c r="AA110">
        <f>HYPERLINK("https://klasma.github.io/Logging_1290/klagomål/A 19704-2026 FSC-klagomål.docx", "A 19704-2026")</f>
        <v/>
      </c>
      <c r="AB110">
        <f>HYPERLINK("https://klasma.github.io/Logging_1290/klagomålsmail/A 19704-2026 FSC-klagomål mail.docx", "A 19704-2026")</f>
        <v/>
      </c>
      <c r="AC110">
        <f>HYPERLINK("https://klasma.github.io/Logging_1290/tillsyn/A 19704-2026 tillsynsbegäran.docx", "A 19704-2026")</f>
        <v/>
      </c>
      <c r="AD110">
        <f>HYPERLINK("https://klasma.github.io/Logging_1290/tillsynsmail/A 19704-2026 tillsynsbegäran mail.docx", "A 19704-2026")</f>
        <v/>
      </c>
    </row>
    <row r="111" ht="15" customHeight="1">
      <c r="A111" t="inlineStr">
        <is>
          <t>A 7054-2024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46301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Törnskata</t>
        </is>
      </c>
      <c r="W111">
        <f>HYPERLINK("https://klasma.github.io/Logging_1290/artfynd/A 7054-2024 artfynd.xlsx", "A 7054-2024")</f>
        <v/>
      </c>
      <c r="X111">
        <f>HYPERLINK("https://klasma.github.io/Logging_1290/kartor/A 7054-2024 karta.png", "A 7054-2024")</f>
        <v/>
      </c>
      <c r="Y111">
        <f>HYPERLINK("https://klasma.github.io/Logging_1290/kartor_geotiff/A 7054-2024 georefererad karta.tif", "A 7054-2024")</f>
        <v/>
      </c>
      <c r="AA111">
        <f>HYPERLINK("https://klasma.github.io/Logging_1290/klagomål/A 7054-2024 FSC-klagomål.docx", "A 7054-2024")</f>
        <v/>
      </c>
      <c r="AB111">
        <f>HYPERLINK("https://klasma.github.io/Logging_1290/klagomålsmail/A 7054-2024 FSC-klagomål mail.docx", "A 7054-2024")</f>
        <v/>
      </c>
      <c r="AC111">
        <f>HYPERLINK("https://klasma.github.io/Logging_1290/tillsyn/A 7054-2024 tillsynsbegäran.docx", "A 7054-2024")</f>
        <v/>
      </c>
      <c r="AD111">
        <f>HYPERLINK("https://klasma.github.io/Logging_1290/tillsynsmail/A 7054-2024 tillsynsbegäran mail.docx", "A 7054-2024")</f>
        <v/>
      </c>
      <c r="AE111">
        <f>HYPERLINK("https://klasma.github.io/Logging_1290/fåglar/A 7054-2024 prioriterade fågelarter.docx", "A 7054-2024")</f>
        <v/>
      </c>
    </row>
    <row r="112" ht="15" customHeight="1">
      <c r="A112" t="inlineStr">
        <is>
          <t>A 52012-2024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46301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2.6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Luddfingerört</t>
        </is>
      </c>
      <c r="W112">
        <f>HYPERLINK("https://klasma.github.io/Logging_1290/artfynd/A 52012-2024 artfynd.xlsx", "A 52012-2024")</f>
        <v/>
      </c>
      <c r="X112">
        <f>HYPERLINK("https://klasma.github.io/Logging_1290/kartor/A 52012-2024 karta.png", "A 52012-2024")</f>
        <v/>
      </c>
      <c r="Y112">
        <f>HYPERLINK("https://klasma.github.io/Logging_1290/kartor_geotiff/A 52012-2024 georefererad karta.tif", "A 52012-2024")</f>
        <v/>
      </c>
      <c r="AA112">
        <f>HYPERLINK("https://klasma.github.io/Logging_1290/klagomål/A 52012-2024 FSC-klagomål.docx", "A 52012-2024")</f>
        <v/>
      </c>
      <c r="AB112">
        <f>HYPERLINK("https://klasma.github.io/Logging_1290/klagomålsmail/A 52012-2024 FSC-klagomål mail.docx", "A 52012-2024")</f>
        <v/>
      </c>
      <c r="AC112">
        <f>HYPERLINK("https://klasma.github.io/Logging_1290/tillsyn/A 52012-2024 tillsynsbegäran.docx", "A 52012-2024")</f>
        <v/>
      </c>
      <c r="AD112">
        <f>HYPERLINK("https://klasma.github.io/Logging_1290/tillsynsmail/A 52012-2024 tillsynsbegäran mail.docx", "A 52012-2024")</f>
        <v/>
      </c>
    </row>
    <row r="113" ht="15" customHeight="1">
      <c r="A113" t="inlineStr">
        <is>
          <t>A 14232-2023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46301</v>
      </c>
      <c r="F113" t="inlineStr">
        <is>
          <t>SKÅNE LÄN</t>
        </is>
      </c>
      <c r="G113" t="inlineStr">
        <is>
          <t>KRISTIANSTAD</t>
        </is>
      </c>
      <c r="I113" t="n">
        <v>7.1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Gullviva</t>
        </is>
      </c>
      <c r="W113">
        <f>HYPERLINK("https://klasma.github.io/Logging_1290/artfynd/A 14232-2023 artfynd.xlsx", "A 14232-2023")</f>
        <v/>
      </c>
      <c r="X113">
        <f>HYPERLINK("https://klasma.github.io/Logging_1290/kartor/A 14232-2023 karta.png", "A 14232-2023")</f>
        <v/>
      </c>
      <c r="Y113">
        <f>HYPERLINK("https://klasma.github.io/Logging_1290/kartor_geotiff/A 14232-2023 georefererad karta.tif", "A 14232-2023")</f>
        <v/>
      </c>
      <c r="AA113">
        <f>HYPERLINK("https://klasma.github.io/Logging_1290/klagomål/A 14232-2023 FSC-klagomål.docx", "A 14232-2023")</f>
        <v/>
      </c>
      <c r="AB113">
        <f>HYPERLINK("https://klasma.github.io/Logging_1290/klagomålsmail/A 14232-2023 FSC-klagomål mail.docx", "A 14232-2023")</f>
        <v/>
      </c>
      <c r="AC113">
        <f>HYPERLINK("https://klasma.github.io/Logging_1290/tillsyn/A 14232-2023 tillsynsbegäran.docx", "A 14232-2023")</f>
        <v/>
      </c>
      <c r="AD113">
        <f>HYPERLINK("https://klasma.github.io/Logging_1290/tillsynsmail/A 14232-2023 tillsynsbegäran mail.docx", "A 14232-2023")</f>
        <v/>
      </c>
    </row>
    <row r="114" ht="15" customHeight="1">
      <c r="A114" t="inlineStr">
        <is>
          <t>A 40668-2024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46301</v>
      </c>
      <c r="F114" t="inlineStr">
        <is>
          <t>SKÅNE LÄN</t>
        </is>
      </c>
      <c r="G114" t="inlineStr">
        <is>
          <t>KRISTIANSTAD</t>
        </is>
      </c>
      <c r="I114" t="n">
        <v>1.3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HYPERLINK("https://klasma.github.io/Logging_1290/artfynd/A 40668-2024 artfynd.xlsx", "A 40668-2024")</f>
        <v/>
      </c>
      <c r="X114">
        <f>HYPERLINK("https://klasma.github.io/Logging_1290/kartor/A 40668-2024 karta.png", "A 40668-2024")</f>
        <v/>
      </c>
      <c r="Y114">
        <f>HYPERLINK("https://klasma.github.io/Logging_1290/kartor_geotiff/A 40668-2024 georefererad karta.tif", "A 40668-2024")</f>
        <v/>
      </c>
      <c r="AA114">
        <f>HYPERLINK("https://klasma.github.io/Logging_1290/klagomål/A 40668-2024 FSC-klagomål.docx", "A 40668-2024")</f>
        <v/>
      </c>
      <c r="AB114">
        <f>HYPERLINK("https://klasma.github.io/Logging_1290/klagomålsmail/A 40668-2024 FSC-klagomål mail.docx", "A 40668-2024")</f>
        <v/>
      </c>
      <c r="AC114">
        <f>HYPERLINK("https://klasma.github.io/Logging_1290/tillsyn/A 40668-2024 tillsynsbegäran.docx", "A 40668-2024")</f>
        <v/>
      </c>
      <c r="AD114">
        <f>HYPERLINK("https://klasma.github.io/Logging_1290/tillsynsmail/A 40668-2024 tillsynsbegäran mail.docx", "A 40668-2024")</f>
        <v/>
      </c>
      <c r="AE114">
        <f>HYPERLINK("https://klasma.github.io/Logging_1290/fåglar/A 40668-2024 prioriterade fågelarter.docx", "A 40668-2024")</f>
        <v/>
      </c>
    </row>
    <row r="115" ht="15" customHeight="1">
      <c r="A115" t="inlineStr">
        <is>
          <t>A 38440-2024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46301</v>
      </c>
      <c r="F115" t="inlineStr">
        <is>
          <t>SKÅNE LÄN</t>
        </is>
      </c>
      <c r="G115" t="inlineStr">
        <is>
          <t>KRISTIANSTAD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38440-2024 artfynd.xlsx", "A 38440-2024")</f>
        <v/>
      </c>
      <c r="X115">
        <f>HYPERLINK("https://klasma.github.io/Logging_1290/kartor/A 38440-2024 karta.png", "A 38440-2024")</f>
        <v/>
      </c>
      <c r="Y115">
        <f>HYPERLINK("https://klasma.github.io/Logging_1290/kartor_geotiff/A 38440-2024 georefererad karta.tif", "A 38440-2024")</f>
        <v/>
      </c>
      <c r="AA115">
        <f>HYPERLINK("https://klasma.github.io/Logging_1290/klagomål/A 38440-2024 FSC-klagomål.docx", "A 38440-2024")</f>
        <v/>
      </c>
      <c r="AB115">
        <f>HYPERLINK("https://klasma.github.io/Logging_1290/klagomålsmail/A 38440-2024 FSC-klagomål mail.docx", "A 38440-2024")</f>
        <v/>
      </c>
      <c r="AC115">
        <f>HYPERLINK("https://klasma.github.io/Logging_1290/tillsyn/A 38440-2024 tillsynsbegäran.docx", "A 38440-2024")</f>
        <v/>
      </c>
      <c r="AD115">
        <f>HYPERLINK("https://klasma.github.io/Logging_1290/tillsynsmail/A 38440-2024 tillsynsbegäran mail.docx", "A 38440-2024")</f>
        <v/>
      </c>
    </row>
    <row r="116" ht="15" customHeight="1">
      <c r="A116" t="inlineStr">
        <is>
          <t>A 50699-2025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45945</v>
      </c>
      <c r="E116" s="1" t="n">
        <v>46301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Guldlockmossa</t>
        </is>
      </c>
      <c r="W116">
        <f>HYPERLINK("https://klasma.github.io/Logging_1290/artfynd/A 50699-2025 artfynd.xlsx", "A 50699-2025")</f>
        <v/>
      </c>
      <c r="X116">
        <f>HYPERLINK("https://klasma.github.io/Logging_1290/kartor/A 50699-2025 karta.png", "A 50699-2025")</f>
        <v/>
      </c>
      <c r="Y116">
        <f>HYPERLINK("https://klasma.github.io/Logging_1290/kartor_geotiff/A 50699-2025 georefererad karta.tif", "A 50699-2025")</f>
        <v/>
      </c>
      <c r="AA116">
        <f>HYPERLINK("https://klasma.github.io/Logging_1290/klagomål/A 50699-2025 FSC-klagomål.docx", "A 50699-2025")</f>
        <v/>
      </c>
      <c r="AB116">
        <f>HYPERLINK("https://klasma.github.io/Logging_1290/klagomålsmail/A 50699-2025 FSC-klagomål mail.docx", "A 50699-2025")</f>
        <v/>
      </c>
      <c r="AC116">
        <f>HYPERLINK("https://klasma.github.io/Logging_1290/tillsyn/A 50699-2025 tillsynsbegäran.docx", "A 50699-2025")</f>
        <v/>
      </c>
      <c r="AD116">
        <f>HYPERLINK("https://klasma.github.io/Logging_1290/tillsynsmail/A 50699-2025 tillsynsbegäran mail.docx", "A 50699-2025")</f>
        <v/>
      </c>
    </row>
    <row r="117" ht="15" customHeight="1">
      <c r="A117" t="inlineStr">
        <is>
          <t>A 21835-2026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46301</v>
      </c>
      <c r="F117" t="inlineStr">
        <is>
          <t>SKÅNE LÄN</t>
        </is>
      </c>
      <c r="G117" t="inlineStr">
        <is>
          <t>KRISTIANSTAD</t>
        </is>
      </c>
      <c r="I117" t="n">
        <v>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Skogsbräsma</t>
        </is>
      </c>
      <c r="W117">
        <f>HYPERLINK("https://klasma.github.io/Logging_1290/artfynd/A 21835-2026 artfynd.xlsx", "A 21835-2026")</f>
        <v/>
      </c>
      <c r="X117">
        <f>HYPERLINK("https://klasma.github.io/Logging_1290/kartor/A 21835-2026 karta.png", "A 21835-2026")</f>
        <v/>
      </c>
      <c r="Y117">
        <f>HYPERLINK("https://klasma.github.io/Logging_1290/kartor_geotiff/A 21835-2026 georefererad karta.tif", "A 21835-2026")</f>
        <v/>
      </c>
      <c r="AA117">
        <f>HYPERLINK("https://klasma.github.io/Logging_1290/klagomål/A 21835-2026 FSC-klagomål.docx", "A 21835-2026")</f>
        <v/>
      </c>
      <c r="AB117">
        <f>HYPERLINK("https://klasma.github.io/Logging_1290/klagomålsmail/A 21835-2026 FSC-klagomål mail.docx", "A 21835-2026")</f>
        <v/>
      </c>
      <c r="AC117">
        <f>HYPERLINK("https://klasma.github.io/Logging_1290/tillsyn/A 21835-2026 tillsynsbegäran.docx", "A 21835-2026")</f>
        <v/>
      </c>
      <c r="AD117">
        <f>HYPERLINK("https://klasma.github.io/Logging_1290/tillsynsmail/A 21835-2026 tillsynsbegäran mail.docx", "A 21835-2026")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46301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18539-2022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46301</v>
      </c>
      <c r="F119" t="inlineStr">
        <is>
          <t>SKÅNE LÄN</t>
        </is>
      </c>
      <c r="G119" t="inlineStr">
        <is>
          <t>KRISTIANSTAD</t>
        </is>
      </c>
      <c r="I119" t="n">
        <v>4.3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Skogslysing</t>
        </is>
      </c>
      <c r="W119">
        <f>HYPERLINK("https://klasma.github.io/Logging_1290/artfynd/A 18539-2022 artfynd.xlsx", "A 18539-2022")</f>
        <v/>
      </c>
      <c r="X119">
        <f>HYPERLINK("https://klasma.github.io/Logging_1290/kartor/A 18539-2022 karta.png", "A 18539-2022")</f>
        <v/>
      </c>
      <c r="Y119">
        <f>HYPERLINK("https://klasma.github.io/Logging_1290/kartor_geotiff/A 18539-2022 georefererad karta.tif", "A 18539-2022")</f>
        <v/>
      </c>
      <c r="AA119">
        <f>HYPERLINK("https://klasma.github.io/Logging_1290/klagomål/A 18539-2022 FSC-klagomål.docx", "A 18539-2022")</f>
        <v/>
      </c>
      <c r="AB119">
        <f>HYPERLINK("https://klasma.github.io/Logging_1290/klagomålsmail/A 18539-2022 FSC-klagomål mail.docx", "A 18539-2022")</f>
        <v/>
      </c>
      <c r="AC119">
        <f>HYPERLINK("https://klasma.github.io/Logging_1290/tillsyn/A 18539-2022 tillsynsbegäran.docx", "A 18539-2022")</f>
        <v/>
      </c>
      <c r="AD119">
        <f>HYPERLINK("https://klasma.github.io/Logging_1290/tillsynsmail/A 18539-2022 tillsynsbegäran mail.docx", "A 18539-2022")</f>
        <v/>
      </c>
    </row>
    <row r="120" ht="15" customHeight="1">
      <c r="A120" t="inlineStr">
        <is>
          <t>A 27606-2026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46188</v>
      </c>
      <c r="E120" s="1" t="n">
        <v>46301</v>
      </c>
      <c r="F120" t="inlineStr">
        <is>
          <t>SKÅNE LÄN</t>
        </is>
      </c>
      <c r="G120" t="inlineStr">
        <is>
          <t>KRISTIANSTAD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Flodpärlmussla</t>
        </is>
      </c>
      <c r="W120">
        <f>HYPERLINK("https://klasma.github.io/Logging_1290/artfynd/A 27606-2026 artfynd.xlsx", "A 27606-2026")</f>
        <v/>
      </c>
      <c r="X120">
        <f>HYPERLINK("https://klasma.github.io/Logging_1290/kartor/A 27606-2026 karta.png", "A 27606-2026")</f>
        <v/>
      </c>
      <c r="Y120">
        <f>HYPERLINK("https://klasma.github.io/Logging_1290/kartor_geotiff/A 27606-2026 georefererad karta.tif", "A 27606-2026")</f>
        <v/>
      </c>
      <c r="AA120">
        <f>HYPERLINK("https://klasma.github.io/Logging_1290/klagomål/A 27606-2026 FSC-klagomål.docx", "A 27606-2026")</f>
        <v/>
      </c>
      <c r="AB120">
        <f>HYPERLINK("https://klasma.github.io/Logging_1290/klagomålsmail/A 27606-2026 FSC-klagomål mail.docx", "A 27606-2026")</f>
        <v/>
      </c>
      <c r="AC120">
        <f>HYPERLINK("https://klasma.github.io/Logging_1290/tillsyn/A 27606-2026 tillsynsbegäran.docx", "A 27606-2026")</f>
        <v/>
      </c>
      <c r="AD120">
        <f>HYPERLINK("https://klasma.github.io/Logging_1290/tillsynsmail/A 27606-2026 tillsynsbegäran mail.docx", "A 27606-2026")</f>
        <v/>
      </c>
    </row>
    <row r="121" ht="15" customHeight="1">
      <c r="A121" t="inlineStr">
        <is>
          <t>A 33883-2025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45842</v>
      </c>
      <c r="E121" s="1" t="n">
        <v>46301</v>
      </c>
      <c r="F121" t="inlineStr">
        <is>
          <t>SKÅNE LÄN</t>
        </is>
      </c>
      <c r="G121" t="inlineStr">
        <is>
          <t>KRISTIANSTAD</t>
        </is>
      </c>
      <c r="I121" t="n">
        <v>2.3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Stor häxört</t>
        </is>
      </c>
      <c r="W121">
        <f>HYPERLINK("https://klasma.github.io/Logging_1290/artfynd/A 33883-2025 artfynd.xlsx", "A 33883-2025")</f>
        <v/>
      </c>
      <c r="X121">
        <f>HYPERLINK("https://klasma.github.io/Logging_1290/kartor/A 33883-2025 karta.png", "A 33883-2025")</f>
        <v/>
      </c>
      <c r="Y121">
        <f>HYPERLINK("https://klasma.github.io/Logging_1290/kartor_geotiff/A 33883-2025 georefererad karta.tif", "A 33883-2025")</f>
        <v/>
      </c>
      <c r="AA121">
        <f>HYPERLINK("https://klasma.github.io/Logging_1290/klagomål/A 33883-2025 FSC-klagomål.docx", "A 33883-2025")</f>
        <v/>
      </c>
      <c r="AB121">
        <f>HYPERLINK("https://klasma.github.io/Logging_1290/klagomålsmail/A 33883-2025 FSC-klagomål mail.docx", "A 33883-2025")</f>
        <v/>
      </c>
      <c r="AC121">
        <f>HYPERLINK("https://klasma.github.io/Logging_1290/tillsyn/A 33883-2025 tillsynsbegäran.docx", "A 33883-2025")</f>
        <v/>
      </c>
      <c r="AD121">
        <f>HYPERLINK("https://klasma.github.io/Logging_1290/tillsynsmail/A 33883-2025 tillsynsbegäran mail.docx", "A 33883-2025")</f>
        <v/>
      </c>
    </row>
    <row r="122" ht="15" customHeight="1">
      <c r="A122" t="inlineStr">
        <is>
          <t>A 27462-2026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46189</v>
      </c>
      <c r="E122" s="1" t="n">
        <v>46301</v>
      </c>
      <c r="F122" t="inlineStr">
        <is>
          <t>SKÅNE LÄN</t>
        </is>
      </c>
      <c r="G122" t="inlineStr">
        <is>
          <t>KRISTIANSTAD</t>
        </is>
      </c>
      <c r="I122" t="n">
        <v>9.1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Skuggsprötmossa</t>
        </is>
      </c>
      <c r="W122">
        <f>HYPERLINK("https://klasma.github.io/Logging_1290/artfynd/A 27462-2026 artfynd.xlsx", "A 27462-2026")</f>
        <v/>
      </c>
      <c r="X122">
        <f>HYPERLINK("https://klasma.github.io/Logging_1290/kartor/A 27462-2026 karta.png", "A 27462-2026")</f>
        <v/>
      </c>
      <c r="Y122">
        <f>HYPERLINK("https://klasma.github.io/Logging_1290/kartor_geotiff/A 27462-2026 georefererad karta.tif", "A 27462-2026")</f>
        <v/>
      </c>
      <c r="AA122">
        <f>HYPERLINK("https://klasma.github.io/Logging_1290/klagomål/A 27462-2026 FSC-klagomål.docx", "A 27462-2026")</f>
        <v/>
      </c>
      <c r="AB122">
        <f>HYPERLINK("https://klasma.github.io/Logging_1290/klagomålsmail/A 27462-2026 FSC-klagomål mail.docx", "A 27462-2026")</f>
        <v/>
      </c>
      <c r="AC122">
        <f>HYPERLINK("https://klasma.github.io/Logging_1290/tillsyn/A 27462-2026 tillsynsbegäran.docx", "A 27462-2026")</f>
        <v/>
      </c>
      <c r="AD122">
        <f>HYPERLINK("https://klasma.github.io/Logging_1290/tillsynsmail/A 27462-2026 tillsynsbegäran mail.docx", "A 27462-2026")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46301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46301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46301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46301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30925-2022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46301</v>
      </c>
      <c r="F127" t="inlineStr">
        <is>
          <t>SKÅNE LÄN</t>
        </is>
      </c>
      <c r="G127" t="inlineStr">
        <is>
          <t>KRISTIANSTAD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30925-2022 artfynd.xlsx", "A 30925-2022")</f>
        <v/>
      </c>
      <c r="X127">
        <f>HYPERLINK("https://klasma.github.io/Logging_1290/kartor/A 30925-2022 karta.png", "A 30925-2022")</f>
        <v/>
      </c>
      <c r="Y127">
        <f>HYPERLINK("https://klasma.github.io/Logging_1290/kartor_geotiff/A 30925-2022 georefererad karta.tif", "A 30925-2022")</f>
        <v/>
      </c>
      <c r="AA127">
        <f>HYPERLINK("https://klasma.github.io/Logging_1290/klagomål/A 30925-2022 FSC-klagomål.docx", "A 30925-2022")</f>
        <v/>
      </c>
      <c r="AB127">
        <f>HYPERLINK("https://klasma.github.io/Logging_1290/klagomålsmail/A 30925-2022 FSC-klagomål mail.docx", "A 30925-2022")</f>
        <v/>
      </c>
      <c r="AC127">
        <f>HYPERLINK("https://klasma.github.io/Logging_1290/tillsyn/A 30925-2022 tillsynsbegäran.docx", "A 30925-2022")</f>
        <v/>
      </c>
      <c r="AD127">
        <f>HYPERLINK("https://klasma.github.io/Logging_1290/tillsynsmail/A 30925-2022 tillsynsbegäran mail.docx", "A 30925-2022")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46301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46301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33362-2023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45128</v>
      </c>
      <c r="E130" s="1" t="n">
        <v>46301</v>
      </c>
      <c r="F130" t="inlineStr">
        <is>
          <t>SKÅNE LÄN</t>
        </is>
      </c>
      <c r="G130" t="inlineStr">
        <is>
          <t>KRISTIANSTAD</t>
        </is>
      </c>
      <c r="I130" t="n">
        <v>4.9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Rostfläck</t>
        </is>
      </c>
      <c r="W130">
        <f>HYPERLINK("https://klasma.github.io/Logging_1290/artfynd/A 33362-2023 artfynd.xlsx", "A 33362-2023")</f>
        <v/>
      </c>
      <c r="X130">
        <f>HYPERLINK("https://klasma.github.io/Logging_1290/kartor/A 33362-2023 karta.png", "A 33362-2023")</f>
        <v/>
      </c>
      <c r="Y130">
        <f>HYPERLINK("https://klasma.github.io/Logging_1290/kartor_geotiff/A 33362-2023 georefererad karta.tif", "A 33362-2023")</f>
        <v/>
      </c>
      <c r="AA130">
        <f>HYPERLINK("https://klasma.github.io/Logging_1290/klagomål/A 33362-2023 FSC-klagomål.docx", "A 33362-2023")</f>
        <v/>
      </c>
      <c r="AB130">
        <f>HYPERLINK("https://klasma.github.io/Logging_1290/klagomålsmail/A 33362-2023 FSC-klagomål mail.docx", "A 33362-2023")</f>
        <v/>
      </c>
      <c r="AC130">
        <f>HYPERLINK("https://klasma.github.io/Logging_1290/tillsyn/A 33362-2023 tillsynsbegäran.docx", "A 33362-2023")</f>
        <v/>
      </c>
      <c r="AD130">
        <f>HYPERLINK("https://klasma.github.io/Logging_1290/tillsynsmail/A 33362-2023 tillsynsbegäran mail.docx", "A 33362-2023")</f>
        <v/>
      </c>
    </row>
    <row r="131" ht="15" customHeight="1">
      <c r="A131" t="inlineStr">
        <is>
          <t>A 58003-2023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46301</v>
      </c>
      <c r="F131" t="inlineStr">
        <is>
          <t>SKÅNE LÄN</t>
        </is>
      </c>
      <c r="G131" t="inlineStr">
        <is>
          <t>KRISTIANSTAD</t>
        </is>
      </c>
      <c r="I131" t="n">
        <v>2.6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Ekskinn</t>
        </is>
      </c>
      <c r="W131">
        <f>HYPERLINK("https://klasma.github.io/Logging_1290/artfynd/A 58003-2023 artfynd.xlsx", "A 58003-2023")</f>
        <v/>
      </c>
      <c r="X131">
        <f>HYPERLINK("https://klasma.github.io/Logging_1290/kartor/A 58003-2023 karta.png", "A 58003-2023")</f>
        <v/>
      </c>
      <c r="Y131">
        <f>HYPERLINK("https://klasma.github.io/Logging_1290/kartor_geotiff/A 58003-2023 georefererad karta.tif", "A 58003-2023")</f>
        <v/>
      </c>
      <c r="AA131">
        <f>HYPERLINK("https://klasma.github.io/Logging_1290/klagomål/A 58003-2023 FSC-klagomål.docx", "A 58003-2023")</f>
        <v/>
      </c>
      <c r="AB131">
        <f>HYPERLINK("https://klasma.github.io/Logging_1290/klagomålsmail/A 58003-2023 FSC-klagomål mail.docx", "A 58003-2023")</f>
        <v/>
      </c>
      <c r="AC131">
        <f>HYPERLINK("https://klasma.github.io/Logging_1290/tillsyn/A 58003-2023 tillsynsbegäran.docx", "A 58003-2023")</f>
        <v/>
      </c>
      <c r="AD131">
        <f>HYPERLINK("https://klasma.github.io/Logging_1290/tillsynsmail/A 58003-2023 tillsynsbegäran mail.docx", "A 58003-2023")</f>
        <v/>
      </c>
    </row>
    <row r="132" ht="15" customHeight="1">
      <c r="A132" t="inlineStr">
        <is>
          <t>A 39238-2026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46287</v>
      </c>
      <c r="E132" s="1" t="n">
        <v>46301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4.5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Grönvit nattviol</t>
        </is>
      </c>
      <c r="W132">
        <f>HYPERLINK("https://klasma.github.io/Logging_1290/artfynd/A 39238-2026 artfynd.xlsx", "A 39238-2026")</f>
        <v/>
      </c>
      <c r="X132">
        <f>HYPERLINK("https://klasma.github.io/Logging_1290/kartor/A 39238-2026 karta.png", "A 39238-2026")</f>
        <v/>
      </c>
      <c r="Y132">
        <f>HYPERLINK("https://klasma.github.io/Logging_1290/kartor_geotiff/A 39238-2026 georefererad karta.tif", "A 39238-2026")</f>
        <v/>
      </c>
      <c r="AA132">
        <f>HYPERLINK("https://klasma.github.io/Logging_1290/klagomål/A 39238-2026 FSC-klagomål.docx", "A 39238-2026")</f>
        <v/>
      </c>
      <c r="AB132">
        <f>HYPERLINK("https://klasma.github.io/Logging_1290/klagomålsmail/A 39238-2026 FSC-klagomål mail.docx", "A 39238-2026")</f>
        <v/>
      </c>
      <c r="AC132">
        <f>HYPERLINK("https://klasma.github.io/Logging_1290/tillsyn/A 39238-2026 tillsynsbegäran.docx", "A 39238-2026")</f>
        <v/>
      </c>
      <c r="AD132">
        <f>HYPERLINK("https://klasma.github.io/Logging_1290/tillsynsmail/A 39238-2026 tillsynsbegäran mail.docx", "A 39238-2026")</f>
        <v/>
      </c>
    </row>
    <row r="133" ht="15" customHeight="1">
      <c r="A133" t="inlineStr">
        <is>
          <t>A 37725-2026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46279</v>
      </c>
      <c r="E133" s="1" t="n">
        <v>46301</v>
      </c>
      <c r="F133" t="inlineStr">
        <is>
          <t>SKÅNE LÄN</t>
        </is>
      </c>
      <c r="G133" t="inlineStr">
        <is>
          <t>KRISTIANSTAD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flugsnappare</t>
        </is>
      </c>
      <c r="W133">
        <f>HYPERLINK("https://klasma.github.io/Logging_1290/artfynd/A 37725-2026 artfynd.xlsx", "A 37725-2026")</f>
        <v/>
      </c>
      <c r="X133">
        <f>HYPERLINK("https://klasma.github.io/Logging_1290/kartor/A 37725-2026 karta.png", "A 37725-2026")</f>
        <v/>
      </c>
      <c r="Y133">
        <f>HYPERLINK("https://klasma.github.io/Logging_1290/kartor_geotiff/A 37725-2026 georefererad karta.tif", "A 37725-2026")</f>
        <v/>
      </c>
      <c r="AA133">
        <f>HYPERLINK("https://klasma.github.io/Logging_1290/klagomål/A 37725-2026 FSC-klagomål.docx", "A 37725-2026")</f>
        <v/>
      </c>
      <c r="AB133">
        <f>HYPERLINK("https://klasma.github.io/Logging_1290/klagomålsmail/A 37725-2026 FSC-klagomål mail.docx", "A 37725-2026")</f>
        <v/>
      </c>
      <c r="AC133">
        <f>HYPERLINK("https://klasma.github.io/Logging_1290/tillsyn/A 37725-2026 tillsynsbegäran.docx", "A 37725-2026")</f>
        <v/>
      </c>
      <c r="AD133">
        <f>HYPERLINK("https://klasma.github.io/Logging_1290/tillsynsmail/A 37725-2026 tillsynsbegäran mail.docx", "A 37725-2026")</f>
        <v/>
      </c>
      <c r="AE133">
        <f>HYPERLINK("https://klasma.github.io/Logging_1290/fåglar/A 37725-2026 prioriterade fågelarter.docx", "A 37725-2026")</f>
        <v/>
      </c>
    </row>
    <row r="134" ht="15" customHeight="1">
      <c r="A134" t="inlineStr">
        <is>
          <t>A 52014-2024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46301</v>
      </c>
      <c r="F134" t="inlineStr">
        <is>
          <t>SKÅNE LÄN</t>
        </is>
      </c>
      <c r="G134" t="inlineStr">
        <is>
          <t>KRISTIANSTAD</t>
        </is>
      </c>
      <c r="H134" t="inlineStr">
        <is>
          <t>Övriga Aktiebolag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Luddfingerört</t>
        </is>
      </c>
      <c r="W134">
        <f>HYPERLINK("https://klasma.github.io/Logging_1290/artfynd/A 52014-2024 artfynd.xlsx", "A 52014-2024")</f>
        <v/>
      </c>
      <c r="X134">
        <f>HYPERLINK("https://klasma.github.io/Logging_1290/kartor/A 52014-2024 karta.png", "A 52014-2024")</f>
        <v/>
      </c>
      <c r="Y134">
        <f>HYPERLINK("https://klasma.github.io/Logging_1290/kartor_geotiff/A 52014-2024 georefererad karta.tif", "A 52014-2024")</f>
        <v/>
      </c>
      <c r="AA134">
        <f>HYPERLINK("https://klasma.github.io/Logging_1290/klagomål/A 52014-2024 FSC-klagomål.docx", "A 52014-2024")</f>
        <v/>
      </c>
      <c r="AB134">
        <f>HYPERLINK("https://klasma.github.io/Logging_1290/klagomålsmail/A 52014-2024 FSC-klagomål mail.docx", "A 52014-2024")</f>
        <v/>
      </c>
      <c r="AC134">
        <f>HYPERLINK("https://klasma.github.io/Logging_1290/tillsyn/A 52014-2024 tillsynsbegäran.docx", "A 52014-2024")</f>
        <v/>
      </c>
      <c r="AD134">
        <f>HYPERLINK("https://klasma.github.io/Logging_1290/tillsynsmail/A 52014-2024 tillsynsbegäran mail.docx", "A 52014-2024")</f>
        <v/>
      </c>
    </row>
    <row r="135" ht="15" customHeight="1">
      <c r="A135" t="inlineStr">
        <is>
          <t>A 15706-2025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46301</v>
      </c>
      <c r="F135" t="inlineStr">
        <is>
          <t>SKÅNE LÄN</t>
        </is>
      </c>
      <c r="G135" t="inlineStr">
        <is>
          <t>KRISTIANSTAD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HYPERLINK("https://klasma.github.io/Logging_1290/artfynd/A 15706-2025 artfynd.xlsx", "A 15706-2025")</f>
        <v/>
      </c>
      <c r="X135">
        <f>HYPERLINK("https://klasma.github.io/Logging_1290/kartor/A 15706-2025 karta.png", "A 15706-2025")</f>
        <v/>
      </c>
      <c r="Y135">
        <f>HYPERLINK("https://klasma.github.io/Logging_1290/kartor_geotiff/A 15706-2025 georefererad karta.tif", "A 15706-2025")</f>
        <v/>
      </c>
      <c r="AA135">
        <f>HYPERLINK("https://klasma.github.io/Logging_1290/klagomål/A 15706-2025 FSC-klagomål.docx", "A 15706-2025")</f>
        <v/>
      </c>
      <c r="AB135">
        <f>HYPERLINK("https://klasma.github.io/Logging_1290/klagomålsmail/A 15706-2025 FSC-klagomål mail.docx", "A 15706-2025")</f>
        <v/>
      </c>
      <c r="AC135">
        <f>HYPERLINK("https://klasma.github.io/Logging_1290/tillsyn/A 15706-2025 tillsynsbegäran.docx", "A 15706-2025")</f>
        <v/>
      </c>
      <c r="AD135">
        <f>HYPERLINK("https://klasma.github.io/Logging_1290/tillsynsmail/A 15706-2025 tillsynsbegäran mail.docx", "A 15706-2025")</f>
        <v/>
      </c>
    </row>
    <row r="136" ht="15" customHeight="1">
      <c r="A136" t="inlineStr">
        <is>
          <t>A 28425-2024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46301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Missne</t>
        </is>
      </c>
      <c r="W136">
        <f>HYPERLINK("https://klasma.github.io/Logging_1290/artfynd/A 28425-2024 artfynd.xlsx", "A 28425-2024")</f>
        <v/>
      </c>
      <c r="X136">
        <f>HYPERLINK("https://klasma.github.io/Logging_1290/kartor/A 28425-2024 karta.png", "A 28425-2024")</f>
        <v/>
      </c>
      <c r="Y136">
        <f>HYPERLINK("https://klasma.github.io/Logging_1290/kartor_geotiff/A 28425-2024 georefererad karta.tif", "A 28425-2024")</f>
        <v/>
      </c>
      <c r="AA136">
        <f>HYPERLINK("https://klasma.github.io/Logging_1290/klagomål/A 28425-2024 FSC-klagomål.docx", "A 28425-2024")</f>
        <v/>
      </c>
      <c r="AB136">
        <f>HYPERLINK("https://klasma.github.io/Logging_1290/klagomålsmail/A 28425-2024 FSC-klagomål mail.docx", "A 28425-2024")</f>
        <v/>
      </c>
      <c r="AC136">
        <f>HYPERLINK("https://klasma.github.io/Logging_1290/tillsyn/A 28425-2024 tillsynsbegäran.docx", "A 28425-2024")</f>
        <v/>
      </c>
      <c r="AD136">
        <f>HYPERLINK("https://klasma.github.io/Logging_1290/tillsynsmail/A 28425-2024 tillsynsbegäran mail.docx", "A 28425-2024")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46301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22272-2024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45446</v>
      </c>
      <c r="E138" s="1" t="n">
        <v>46301</v>
      </c>
      <c r="F138" t="inlineStr">
        <is>
          <t>SKÅNE LÄN</t>
        </is>
      </c>
      <c r="G138" t="inlineStr">
        <is>
          <t>KRISTIANSTAD</t>
        </is>
      </c>
      <c r="I138" t="n">
        <v>5.7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Dubbelnycklar</t>
        </is>
      </c>
      <c r="W138">
        <f>HYPERLINK("https://klasma.github.io/Logging_1290/artfynd/A 22272-2024 artfynd.xlsx", "A 22272-2024")</f>
        <v/>
      </c>
      <c r="X138">
        <f>HYPERLINK("https://klasma.github.io/Logging_1290/kartor/A 22272-2024 karta.png", "A 22272-2024")</f>
        <v/>
      </c>
      <c r="Y138">
        <f>HYPERLINK("https://klasma.github.io/Logging_1290/kartor_geotiff/A 22272-2024 georefererad karta.tif", "A 22272-2024")</f>
        <v/>
      </c>
      <c r="AA138">
        <f>HYPERLINK("https://klasma.github.io/Logging_1290/klagomål/A 22272-2024 FSC-klagomål.docx", "A 22272-2024")</f>
        <v/>
      </c>
      <c r="AB138">
        <f>HYPERLINK("https://klasma.github.io/Logging_1290/klagomålsmail/A 22272-2024 FSC-klagomål mail.docx", "A 22272-2024")</f>
        <v/>
      </c>
      <c r="AC138">
        <f>HYPERLINK("https://klasma.github.io/Logging_1290/tillsyn/A 22272-2024 tillsynsbegäran.docx", "A 22272-2024")</f>
        <v/>
      </c>
      <c r="AD138">
        <f>HYPERLINK("https://klasma.github.io/Logging_1290/tillsynsmail/A 22272-2024 tillsynsbegäran mail.docx", "A 22272-2024")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46301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46301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46301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46301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46301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46301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46301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46301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46301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46301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46301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46301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46301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46301</v>
      </c>
      <c r="F152" t="inlineStr">
        <is>
          <t>SKÅNE LÄN</t>
        </is>
      </c>
      <c r="G152" t="inlineStr">
        <is>
          <t>KRISTIANSTAD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46301</v>
      </c>
      <c r="F153" t="inlineStr">
        <is>
          <t>SKÅNE LÄN</t>
        </is>
      </c>
      <c r="G153" t="inlineStr">
        <is>
          <t>KRISTIANSTAD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74289-2021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44558</v>
      </c>
      <c r="E154" s="1" t="n">
        <v>46301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27960-2022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44744</v>
      </c>
      <c r="E155" s="1" t="n">
        <v>46301</v>
      </c>
      <c r="F155" t="inlineStr">
        <is>
          <t>SKÅNE LÄN</t>
        </is>
      </c>
      <c r="G155" t="inlineStr">
        <is>
          <t>KRISTIANSTAD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46301</v>
      </c>
      <c r="F156" t="inlineStr">
        <is>
          <t>SKÅNE LÄN</t>
        </is>
      </c>
      <c r="G156" t="inlineStr">
        <is>
          <t>KRISTIANSTAD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46301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46301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46301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46301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46301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46301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46301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46301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46301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46301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46301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46301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46301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46301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46301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46301</v>
      </c>
      <c r="F172" t="inlineStr">
        <is>
          <t>SKÅNE LÄN</t>
        </is>
      </c>
      <c r="G172" t="inlineStr">
        <is>
          <t>KRISTIANSTAD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46301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46301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46301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46301</v>
      </c>
      <c r="F176" t="inlineStr">
        <is>
          <t>SKÅNE LÄN</t>
        </is>
      </c>
      <c r="G176" t="inlineStr">
        <is>
          <t>KRISTIANSTAD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46301</v>
      </c>
      <c r="F177" t="inlineStr">
        <is>
          <t>SKÅNE LÄN</t>
        </is>
      </c>
      <c r="G177" t="inlineStr">
        <is>
          <t>KRISTIANSTAD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46301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46301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46301</v>
      </c>
      <c r="F180" t="inlineStr">
        <is>
          <t>SKÅNE LÄN</t>
        </is>
      </c>
      <c r="G180" t="inlineStr">
        <is>
          <t>KRISTIANSTAD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44518</v>
      </c>
      <c r="E181" s="1" t="n">
        <v>46301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46301</v>
      </c>
      <c r="F182" t="inlineStr">
        <is>
          <t>SKÅNE LÄN</t>
        </is>
      </c>
      <c r="G182" t="inlineStr">
        <is>
          <t>KRISTIANSTAD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44685</v>
      </c>
      <c r="E183" s="1" t="n">
        <v>46301</v>
      </c>
      <c r="F183" t="inlineStr">
        <is>
          <t>SKÅNE LÄN</t>
        </is>
      </c>
      <c r="G183" t="inlineStr">
        <is>
          <t>KRISTIANSTAD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46301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46301</v>
      </c>
      <c r="F185" t="inlineStr">
        <is>
          <t>SKÅNE LÄN</t>
        </is>
      </c>
      <c r="G185" t="inlineStr">
        <is>
          <t>KRISTIANSTAD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46301</v>
      </c>
      <c r="F186" t="inlineStr">
        <is>
          <t>SKÅNE LÄN</t>
        </is>
      </c>
      <c r="G186" t="inlineStr">
        <is>
          <t>KRISTIANSTAD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44628</v>
      </c>
      <c r="E187" s="1" t="n">
        <v>46301</v>
      </c>
      <c r="F187" t="inlineStr">
        <is>
          <t>SKÅNE LÄN</t>
        </is>
      </c>
      <c r="G187" t="inlineStr">
        <is>
          <t>KRISTIANSTAD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44672</v>
      </c>
      <c r="E188" s="1" t="n">
        <v>46301</v>
      </c>
      <c r="F188" t="inlineStr">
        <is>
          <t>SKÅNE LÄN</t>
        </is>
      </c>
      <c r="G188" t="inlineStr">
        <is>
          <t>KRISTIANSTAD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45035</v>
      </c>
      <c r="E189" s="1" t="n">
        <v>46301</v>
      </c>
      <c r="F189" t="inlineStr">
        <is>
          <t>SKÅNE LÄN</t>
        </is>
      </c>
      <c r="G189" t="inlineStr">
        <is>
          <t>KRISTIANSTAD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46301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46301</v>
      </c>
      <c r="F191" t="inlineStr">
        <is>
          <t>SKÅNE LÄN</t>
        </is>
      </c>
      <c r="G191" t="inlineStr">
        <is>
          <t>KRISTIANSTAD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45197</v>
      </c>
      <c r="E192" s="1" t="n">
        <v>46301</v>
      </c>
      <c r="F192" t="inlineStr">
        <is>
          <t>SKÅNE LÄN</t>
        </is>
      </c>
      <c r="G192" t="inlineStr">
        <is>
          <t>KRISTIANSTAD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46301</v>
      </c>
      <c r="F193" t="inlineStr">
        <is>
          <t>SKÅNE LÄN</t>
        </is>
      </c>
      <c r="G193" t="inlineStr">
        <is>
          <t>KRISTIANSTAD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46301</v>
      </c>
      <c r="F194" t="inlineStr">
        <is>
          <t>SKÅNE LÄN</t>
        </is>
      </c>
      <c r="G194" t="inlineStr">
        <is>
          <t>KRISTIANSTAD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46301</v>
      </c>
      <c r="F195" t="inlineStr">
        <is>
          <t>SKÅNE LÄN</t>
        </is>
      </c>
      <c r="G195" t="inlineStr">
        <is>
          <t>KRISTIANSTAD</t>
        </is>
      </c>
      <c r="H195" t="inlineStr">
        <is>
          <t>Övriga Aktiebolag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46301</v>
      </c>
      <c r="F196" t="inlineStr">
        <is>
          <t>SKÅNE LÄN</t>
        </is>
      </c>
      <c r="G196" t="inlineStr">
        <is>
          <t>KRISTIANSTAD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46301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46301</v>
      </c>
      <c r="F198" t="inlineStr">
        <is>
          <t>SKÅNE LÄN</t>
        </is>
      </c>
      <c r="G198" t="inlineStr">
        <is>
          <t>KRISTIANSTAD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46301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46301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46301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46301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46301</v>
      </c>
      <c r="F203" t="inlineStr">
        <is>
          <t>SKÅNE LÄN</t>
        </is>
      </c>
      <c r="G203" t="inlineStr">
        <is>
          <t>KRISTIANSTAD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44847</v>
      </c>
      <c r="E204" s="1" t="n">
        <v>46301</v>
      </c>
      <c r="F204" t="inlineStr">
        <is>
          <t>SKÅNE LÄN</t>
        </is>
      </c>
      <c r="G204" t="inlineStr">
        <is>
          <t>KRISTIANSTAD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45416</v>
      </c>
      <c r="E205" s="1" t="n">
        <v>46301</v>
      </c>
      <c r="F205" t="inlineStr">
        <is>
          <t>SKÅNE LÄN</t>
        </is>
      </c>
      <c r="G205" t="inlineStr">
        <is>
          <t>KRISTIANSTAD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46301</v>
      </c>
      <c r="F206" t="inlineStr">
        <is>
          <t>SKÅNE LÄN</t>
        </is>
      </c>
      <c r="G206" t="inlineStr">
        <is>
          <t>KRISTIANSTAD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45533</v>
      </c>
      <c r="E207" s="1" t="n">
        <v>46301</v>
      </c>
      <c r="F207" t="inlineStr">
        <is>
          <t>SKÅNE LÄN</t>
        </is>
      </c>
      <c r="G207" t="inlineStr">
        <is>
          <t>KRISTIANSTAD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58175-2021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44487</v>
      </c>
      <c r="E208" s="1" t="n">
        <v>46301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45121</v>
      </c>
      <c r="E209" s="1" t="n">
        <v>46301</v>
      </c>
      <c r="F209" t="inlineStr">
        <is>
          <t>SKÅNE LÄN</t>
        </is>
      </c>
      <c r="G209" t="inlineStr">
        <is>
          <t>KRISTIANSTAD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45144</v>
      </c>
      <c r="E210" s="1" t="n">
        <v>46301</v>
      </c>
      <c r="F210" t="inlineStr">
        <is>
          <t>SKÅNE LÄN</t>
        </is>
      </c>
      <c r="G210" t="inlineStr">
        <is>
          <t>KRISTIANSTAD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45144</v>
      </c>
      <c r="E211" s="1" t="n">
        <v>46301</v>
      </c>
      <c r="F211" t="inlineStr">
        <is>
          <t>SKÅNE LÄN</t>
        </is>
      </c>
      <c r="G211" t="inlineStr">
        <is>
          <t>KRISTIANSTAD</t>
        </is>
      </c>
      <c r="H211" t="inlineStr">
        <is>
          <t>Övriga Aktiebolag</t>
        </is>
      </c>
      <c r="I211" t="n">
        <v>15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45323</v>
      </c>
      <c r="E212" s="1" t="n">
        <v>46301</v>
      </c>
      <c r="F212" t="inlineStr">
        <is>
          <t>SKÅNE LÄN</t>
        </is>
      </c>
      <c r="G212" t="inlineStr">
        <is>
          <t>KRISTIANSTAD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46301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45465</v>
      </c>
      <c r="E214" s="1" t="n">
        <v>46301</v>
      </c>
      <c r="F214" t="inlineStr">
        <is>
          <t>SKÅNE LÄN</t>
        </is>
      </c>
      <c r="G214" t="inlineStr">
        <is>
          <t>KRISTIANSTAD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46301</v>
      </c>
      <c r="F215" t="inlineStr">
        <is>
          <t>SKÅNE LÄN</t>
        </is>
      </c>
      <c r="G215" t="inlineStr">
        <is>
          <t>KRISTIANSTAD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45470</v>
      </c>
      <c r="E216" s="1" t="n">
        <v>46301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46301</v>
      </c>
      <c r="F217" t="inlineStr">
        <is>
          <t>SKÅNE LÄN</t>
        </is>
      </c>
      <c r="G217" t="inlineStr">
        <is>
          <t>KRISTIANSTAD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64835-2023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45282</v>
      </c>
      <c r="E218" s="1" t="n">
        <v>46301</v>
      </c>
      <c r="F218" t="inlineStr">
        <is>
          <t>SKÅNE LÄN</t>
        </is>
      </c>
      <c r="G218" t="inlineStr">
        <is>
          <t>KRISTIANSTAD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45485</v>
      </c>
      <c r="E219" s="1" t="n">
        <v>46301</v>
      </c>
      <c r="F219" t="inlineStr">
        <is>
          <t>SKÅNE LÄN</t>
        </is>
      </c>
      <c r="G219" t="inlineStr">
        <is>
          <t>KRISTIANSTAD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45511</v>
      </c>
      <c r="E220" s="1" t="n">
        <v>46301</v>
      </c>
      <c r="F220" t="inlineStr">
        <is>
          <t>SKÅNE LÄN</t>
        </is>
      </c>
      <c r="G220" t="inlineStr">
        <is>
          <t>KRISTIANSTAD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45337</v>
      </c>
      <c r="E221" s="1" t="n">
        <v>46301</v>
      </c>
      <c r="F221" t="inlineStr">
        <is>
          <t>SKÅNE LÄN</t>
        </is>
      </c>
      <c r="G221" t="inlineStr">
        <is>
          <t>KRISTIANSTAD</t>
        </is>
      </c>
      <c r="H221" t="inlineStr">
        <is>
          <t>Övriga Aktiebolag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45303</v>
      </c>
      <c r="E222" s="1" t="n">
        <v>46301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19.7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13953-2025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45737</v>
      </c>
      <c r="E223" s="1" t="n">
        <v>46301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46301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61147-2021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44497</v>
      </c>
      <c r="E225" s="1" t="n">
        <v>46301</v>
      </c>
      <c r="F225" t="inlineStr">
        <is>
          <t>SKÅNE LÄN</t>
        </is>
      </c>
      <c r="G225" t="inlineStr">
        <is>
          <t>KRISTIANSTAD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46301</v>
      </c>
      <c r="F226" t="inlineStr">
        <is>
          <t>SKÅNE LÄN</t>
        </is>
      </c>
      <c r="G226" t="inlineStr">
        <is>
          <t>KRISTIANSTAD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45396</v>
      </c>
      <c r="E227" s="1" t="n">
        <v>46301</v>
      </c>
      <c r="F227" t="inlineStr">
        <is>
          <t>SKÅNE LÄN</t>
        </is>
      </c>
      <c r="G227" t="inlineStr">
        <is>
          <t>KRISTIANSTAD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46301</v>
      </c>
      <c r="F228" t="inlineStr">
        <is>
          <t>SKÅNE LÄN</t>
        </is>
      </c>
      <c r="G228" t="inlineStr">
        <is>
          <t>KRISTIANSTAD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46301</v>
      </c>
      <c r="F229" t="inlineStr">
        <is>
          <t>SKÅNE LÄN</t>
        </is>
      </c>
      <c r="G229" t="inlineStr">
        <is>
          <t>KRISTIANSTAD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46301</v>
      </c>
      <c r="F230" t="inlineStr">
        <is>
          <t>SKÅNE LÄN</t>
        </is>
      </c>
      <c r="G230" t="inlineStr">
        <is>
          <t>KRISTIANSTAD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46301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46301</v>
      </c>
      <c r="F232" t="inlineStr">
        <is>
          <t>SKÅNE LÄN</t>
        </is>
      </c>
      <c r="G232" t="inlineStr">
        <is>
          <t>KRISTIANSTAD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46301</v>
      </c>
      <c r="F233" t="inlineStr">
        <is>
          <t>SKÅNE LÄN</t>
        </is>
      </c>
      <c r="G233" t="inlineStr">
        <is>
          <t>KRISTIANSTAD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46041</v>
      </c>
      <c r="E234" s="1" t="n">
        <v>46301</v>
      </c>
      <c r="F234" t="inlineStr">
        <is>
          <t>SKÅNE LÄN</t>
        </is>
      </c>
      <c r="G234" t="inlineStr">
        <is>
          <t>KRISTIANSTAD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44995</v>
      </c>
      <c r="E235" s="1" t="n">
        <v>46301</v>
      </c>
      <c r="F235" t="inlineStr">
        <is>
          <t>SKÅNE LÄN</t>
        </is>
      </c>
      <c r="G235" t="inlineStr">
        <is>
          <t>KRISTIANSTAD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46041</v>
      </c>
      <c r="E236" s="1" t="n">
        <v>46301</v>
      </c>
      <c r="F236" t="inlineStr">
        <is>
          <t>SKÅNE LÄN</t>
        </is>
      </c>
      <c r="G236" t="inlineStr">
        <is>
          <t>KRISTIANSTAD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44938</v>
      </c>
      <c r="E237" s="1" t="n">
        <v>46301</v>
      </c>
      <c r="F237" t="inlineStr">
        <is>
          <t>SKÅNE LÄN</t>
        </is>
      </c>
      <c r="G237" t="inlineStr">
        <is>
          <t>KRISTIANSTAD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46301</v>
      </c>
      <c r="F238" t="inlineStr">
        <is>
          <t>SKÅNE LÄN</t>
        </is>
      </c>
      <c r="G238" t="inlineStr">
        <is>
          <t>KRISTIANSTAD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46301</v>
      </c>
      <c r="F239" t="inlineStr">
        <is>
          <t>SKÅNE LÄN</t>
        </is>
      </c>
      <c r="G239" t="inlineStr">
        <is>
          <t>KRISTIANSTAD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46301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70705-2021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44537</v>
      </c>
      <c r="E241" s="1" t="n">
        <v>46301</v>
      </c>
      <c r="F241" t="inlineStr">
        <is>
          <t>SKÅNE LÄN</t>
        </is>
      </c>
      <c r="G241" t="inlineStr">
        <is>
          <t>KRISTIANSTAD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46301</v>
      </c>
      <c r="F242" t="inlineStr">
        <is>
          <t>SKÅNE LÄN</t>
        </is>
      </c>
      <c r="G242" t="inlineStr">
        <is>
          <t>KRISTIANSTAD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46301</v>
      </c>
      <c r="F243" t="inlineStr">
        <is>
          <t>SKÅNE LÄN</t>
        </is>
      </c>
      <c r="G243" t="inlineStr">
        <is>
          <t>KRISTIANSTAD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46301</v>
      </c>
      <c r="F244" t="inlineStr">
        <is>
          <t>SKÅNE LÄN</t>
        </is>
      </c>
      <c r="G244" t="inlineStr">
        <is>
          <t>KRISTIANSTAD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46301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46301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46301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46301</v>
      </c>
      <c r="F248" t="inlineStr">
        <is>
          <t>SKÅNE LÄN</t>
        </is>
      </c>
      <c r="G248" t="inlineStr">
        <is>
          <t>KRISTIANSTAD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46301</v>
      </c>
      <c r="F249" t="inlineStr">
        <is>
          <t>SKÅNE LÄN</t>
        </is>
      </c>
      <c r="G249" t="inlineStr">
        <is>
          <t>KRISTIANSTAD</t>
        </is>
      </c>
      <c r="H249" t="inlineStr">
        <is>
          <t>Övriga Aktiebolag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33984-2025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45843</v>
      </c>
      <c r="E250" s="1" t="n">
        <v>46301</v>
      </c>
      <c r="F250" t="inlineStr">
        <is>
          <t>SKÅNE LÄN</t>
        </is>
      </c>
      <c r="G250" t="inlineStr">
        <is>
          <t>KRISTIANSTAD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46301</v>
      </c>
      <c r="F251" t="inlineStr">
        <is>
          <t>SKÅNE LÄN</t>
        </is>
      </c>
      <c r="G251" t="inlineStr">
        <is>
          <t>KRISTIANSTAD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45408</v>
      </c>
      <c r="E252" s="1" t="n">
        <v>46301</v>
      </c>
      <c r="F252" t="inlineStr">
        <is>
          <t>SKÅNE LÄN</t>
        </is>
      </c>
      <c r="G252" t="inlineStr">
        <is>
          <t>KRISTIANSTAD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44599</v>
      </c>
      <c r="E253" s="1" t="n">
        <v>46301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46301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46301</v>
      </c>
      <c r="F255" t="inlineStr">
        <is>
          <t>SKÅNE LÄN</t>
        </is>
      </c>
      <c r="G255" t="inlineStr">
        <is>
          <t>KRISTIANSTAD</t>
        </is>
      </c>
      <c r="I255" t="n">
        <v>11.8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46301</v>
      </c>
      <c r="F256" t="inlineStr">
        <is>
          <t>SKÅNE LÄN</t>
        </is>
      </c>
      <c r="G256" t="inlineStr">
        <is>
          <t>KRISTIANSTAD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31105-2025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45832</v>
      </c>
      <c r="E257" s="1" t="n">
        <v>46301</v>
      </c>
      <c r="F257" t="inlineStr">
        <is>
          <t>SKÅNE LÄN</t>
        </is>
      </c>
      <c r="G257" t="inlineStr">
        <is>
          <t>KRISTIANSTAD</t>
        </is>
      </c>
      <c r="H257" t="inlineStr">
        <is>
          <t>Övriga Aktiebolag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46301</v>
      </c>
      <c r="F258" t="inlineStr">
        <is>
          <t>SKÅNE LÄN</t>
        </is>
      </c>
      <c r="G258" t="inlineStr">
        <is>
          <t>KRISTIANSTAD</t>
        </is>
      </c>
      <c r="I258" t="n">
        <v>12.8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46301</v>
      </c>
      <c r="F259" t="inlineStr">
        <is>
          <t>SKÅNE LÄN</t>
        </is>
      </c>
      <c r="G259" t="inlineStr">
        <is>
          <t>KRISTIANSTAD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45737</v>
      </c>
      <c r="E260" s="1" t="n">
        <v>46301</v>
      </c>
      <c r="F260" t="inlineStr">
        <is>
          <t>SKÅNE LÄN</t>
        </is>
      </c>
      <c r="G260" t="inlineStr">
        <is>
          <t>KRISTIANSTAD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46301</v>
      </c>
      <c r="F261" t="inlineStr">
        <is>
          <t>SKÅNE LÄN</t>
        </is>
      </c>
      <c r="G261" t="inlineStr">
        <is>
          <t>KRISTIANSTAD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46301</v>
      </c>
      <c r="F262" t="inlineStr">
        <is>
          <t>SKÅNE LÄN</t>
        </is>
      </c>
      <c r="G262" t="inlineStr">
        <is>
          <t>KRISTIANSTAD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40500-2025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45896</v>
      </c>
      <c r="E263" s="1" t="n">
        <v>46301</v>
      </c>
      <c r="F263" t="inlineStr">
        <is>
          <t>SKÅNE LÄN</t>
        </is>
      </c>
      <c r="G263" t="inlineStr">
        <is>
          <t>KRISTIANSTAD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46301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28607-2023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46301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46301</v>
      </c>
      <c r="F266" t="inlineStr">
        <is>
          <t>SKÅNE LÄN</t>
        </is>
      </c>
      <c r="G266" t="inlineStr">
        <is>
          <t>KRISTIANSTAD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31575-2025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45833</v>
      </c>
      <c r="E267" s="1" t="n">
        <v>46301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44923</v>
      </c>
      <c r="E268" s="1" t="n">
        <v>46301</v>
      </c>
      <c r="F268" t="inlineStr">
        <is>
          <t>SKÅNE LÄN</t>
        </is>
      </c>
      <c r="G268" t="inlineStr">
        <is>
          <t>KRISTIANSTAD</t>
        </is>
      </c>
      <c r="I268" t="n">
        <v>12.6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21238-2024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46301</v>
      </c>
      <c r="F269" t="inlineStr">
        <is>
          <t>SKÅNE LÄN</t>
        </is>
      </c>
      <c r="G269" t="inlineStr">
        <is>
          <t>KRISTIANSTAD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46301</v>
      </c>
      <c r="F270" t="inlineStr">
        <is>
          <t>SKÅNE LÄN</t>
        </is>
      </c>
      <c r="G270" t="inlineStr">
        <is>
          <t>KRISTIANSTAD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45577</v>
      </c>
      <c r="E271" s="1" t="n">
        <v>46301</v>
      </c>
      <c r="F271" t="inlineStr">
        <is>
          <t>SKÅNE LÄN</t>
        </is>
      </c>
      <c r="G271" t="inlineStr">
        <is>
          <t>KRISTIANSTAD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46301</v>
      </c>
      <c r="F272" t="inlineStr">
        <is>
          <t>SKÅNE LÄN</t>
        </is>
      </c>
      <c r="G272" t="inlineStr">
        <is>
          <t>KRISTIANSTAD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41245-2025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46301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44894</v>
      </c>
      <c r="E274" s="1" t="n">
        <v>46301</v>
      </c>
      <c r="F274" t="inlineStr">
        <is>
          <t>SKÅNE LÄN</t>
        </is>
      </c>
      <c r="G274" t="inlineStr">
        <is>
          <t>KRISTIANSTAD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45900</v>
      </c>
      <c r="E275" s="1" t="n">
        <v>46301</v>
      </c>
      <c r="F275" t="inlineStr">
        <is>
          <t>SKÅNE LÄN</t>
        </is>
      </c>
      <c r="G275" t="inlineStr">
        <is>
          <t>KRISTIANSTAD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46301</v>
      </c>
      <c r="F276" t="inlineStr">
        <is>
          <t>SKÅNE LÄN</t>
        </is>
      </c>
      <c r="G276" t="inlineStr">
        <is>
          <t>KRISTIANSTAD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45042</v>
      </c>
      <c r="E277" s="1" t="n">
        <v>46301</v>
      </c>
      <c r="F277" t="inlineStr">
        <is>
          <t>SKÅNE LÄN</t>
        </is>
      </c>
      <c r="G277" t="inlineStr">
        <is>
          <t>KRISTIANSTAD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45900</v>
      </c>
      <c r="E278" s="1" t="n">
        <v>46301</v>
      </c>
      <c r="F278" t="inlineStr">
        <is>
          <t>SKÅNE LÄN</t>
        </is>
      </c>
      <c r="G278" t="inlineStr">
        <is>
          <t>KRISTIANSTAD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45900</v>
      </c>
      <c r="E279" s="1" t="n">
        <v>46301</v>
      </c>
      <c r="F279" t="inlineStr">
        <is>
          <t>SKÅNE LÄN</t>
        </is>
      </c>
      <c r="G279" t="inlineStr">
        <is>
          <t>KRISTIANSTAD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45900</v>
      </c>
      <c r="E280" s="1" t="n">
        <v>46301</v>
      </c>
      <c r="F280" t="inlineStr">
        <is>
          <t>SKÅNE LÄN</t>
        </is>
      </c>
      <c r="G280" t="inlineStr">
        <is>
          <t>KRISTIANSTAD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45338</v>
      </c>
      <c r="E281" s="1" t="n">
        <v>46301</v>
      </c>
      <c r="F281" t="inlineStr">
        <is>
          <t>SKÅNE LÄN</t>
        </is>
      </c>
      <c r="G281" t="inlineStr">
        <is>
          <t>KRISTIANSTAD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3769-2024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45321</v>
      </c>
      <c r="E282" s="1" t="n">
        <v>46301</v>
      </c>
      <c r="F282" t="inlineStr">
        <is>
          <t>SKÅNE LÄN</t>
        </is>
      </c>
      <c r="G282" t="inlineStr">
        <is>
          <t>KRISTIANSTAD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45408</v>
      </c>
      <c r="E283" s="1" t="n">
        <v>46301</v>
      </c>
      <c r="F283" t="inlineStr">
        <is>
          <t>SKÅNE LÄN</t>
        </is>
      </c>
      <c r="G283" t="inlineStr">
        <is>
          <t>KRISTIANSTAD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46301</v>
      </c>
      <c r="F284" t="inlineStr">
        <is>
          <t>SKÅNE LÄN</t>
        </is>
      </c>
      <c r="G284" t="inlineStr">
        <is>
          <t>KRISTIANSTAD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45900</v>
      </c>
      <c r="E285" s="1" t="n">
        <v>46301</v>
      </c>
      <c r="F285" t="inlineStr">
        <is>
          <t>SKÅNE LÄN</t>
        </is>
      </c>
      <c r="G285" t="inlineStr">
        <is>
          <t>KRISTIANSTAD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46301</v>
      </c>
      <c r="F286" t="inlineStr">
        <is>
          <t>SKÅNE LÄN</t>
        </is>
      </c>
      <c r="G286" t="inlineStr">
        <is>
          <t>KRISTIANSTAD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45014</v>
      </c>
      <c r="E287" s="1" t="n">
        <v>46301</v>
      </c>
      <c r="F287" t="inlineStr">
        <is>
          <t>SKÅNE LÄN</t>
        </is>
      </c>
      <c r="G287" t="inlineStr">
        <is>
          <t>KRISTIANSTAD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46301</v>
      </c>
      <c r="F288" t="inlineStr">
        <is>
          <t>SKÅNE LÄN</t>
        </is>
      </c>
      <c r="G288" t="inlineStr">
        <is>
          <t>KRISTIANSTAD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46301</v>
      </c>
      <c r="F289" t="inlineStr">
        <is>
          <t>SKÅNE LÄN</t>
        </is>
      </c>
      <c r="G289" t="inlineStr">
        <is>
          <t>KRISTIANSTAD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46301</v>
      </c>
      <c r="F290" t="inlineStr">
        <is>
          <t>SKÅNE LÄN</t>
        </is>
      </c>
      <c r="G290" t="inlineStr">
        <is>
          <t>KRISTIANSTAD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46301</v>
      </c>
      <c r="F291" t="inlineStr">
        <is>
          <t>SKÅNE LÄN</t>
        </is>
      </c>
      <c r="G291" t="inlineStr">
        <is>
          <t>KRISTIANSTAD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45609</v>
      </c>
      <c r="E292" s="1" t="n">
        <v>46301</v>
      </c>
      <c r="F292" t="inlineStr">
        <is>
          <t>SKÅNE LÄN</t>
        </is>
      </c>
      <c r="G292" t="inlineStr">
        <is>
          <t>KRISTIANSTAD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46301</v>
      </c>
      <c r="F293" t="inlineStr">
        <is>
          <t>SKÅNE LÄN</t>
        </is>
      </c>
      <c r="G293" t="inlineStr">
        <is>
          <t>KRISTIANSTAD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46301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46301</v>
      </c>
      <c r="F295" t="inlineStr">
        <is>
          <t>SKÅNE LÄN</t>
        </is>
      </c>
      <c r="G295" t="inlineStr">
        <is>
          <t>KRISTIANSTAD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45544</v>
      </c>
      <c r="E296" s="1" t="n">
        <v>46301</v>
      </c>
      <c r="F296" t="inlineStr">
        <is>
          <t>SKÅNE LÄN</t>
        </is>
      </c>
      <c r="G296" t="inlineStr">
        <is>
          <t>KRISTIANSTAD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46301</v>
      </c>
      <c r="F297" t="inlineStr">
        <is>
          <t>SKÅNE LÄN</t>
        </is>
      </c>
      <c r="G297" t="inlineStr">
        <is>
          <t>KRISTIANSTAD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46301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45792</v>
      </c>
      <c r="E299" s="1" t="n">
        <v>46301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44744</v>
      </c>
      <c r="E300" s="1" t="n">
        <v>46301</v>
      </c>
      <c r="F300" t="inlineStr">
        <is>
          <t>SKÅNE LÄN</t>
        </is>
      </c>
      <c r="G300" t="inlineStr">
        <is>
          <t>KRISTIANSTAD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44260-2025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46301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45228</v>
      </c>
      <c r="E302" s="1" t="n">
        <v>46301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46301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46301</v>
      </c>
      <c r="F304" t="inlineStr">
        <is>
          <t>SKÅNE LÄN</t>
        </is>
      </c>
      <c r="G304" t="inlineStr">
        <is>
          <t>KRISTIANSTAD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46057</v>
      </c>
      <c r="E305" s="1" t="n">
        <v>46301</v>
      </c>
      <c r="F305" t="inlineStr">
        <is>
          <t>SKÅNE LÄN</t>
        </is>
      </c>
      <c r="G305" t="inlineStr">
        <is>
          <t>KRISTIANSTAD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46301</v>
      </c>
      <c r="F306" t="inlineStr">
        <is>
          <t>SKÅNE LÄN</t>
        </is>
      </c>
      <c r="G306" t="inlineStr">
        <is>
          <t>KRISTIANSTAD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46301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46301</v>
      </c>
      <c r="F308" t="inlineStr">
        <is>
          <t>SKÅNE LÄN</t>
        </is>
      </c>
      <c r="G308" t="inlineStr">
        <is>
          <t>KRISTIANSTAD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44712</v>
      </c>
      <c r="E309" s="1" t="n">
        <v>46301</v>
      </c>
      <c r="F309" t="inlineStr">
        <is>
          <t>SKÅNE LÄN</t>
        </is>
      </c>
      <c r="G309" t="inlineStr">
        <is>
          <t>KRISTIANSTAD</t>
        </is>
      </c>
      <c r="H309" t="inlineStr">
        <is>
          <t>Övriga Aktiebolag</t>
        </is>
      </c>
      <c r="I309" t="n">
        <v>19.5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46301</v>
      </c>
      <c r="F310" t="inlineStr">
        <is>
          <t>SKÅNE LÄN</t>
        </is>
      </c>
      <c r="G310" t="inlineStr">
        <is>
          <t>KRISTIANSTAD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46301</v>
      </c>
      <c r="F311" t="inlineStr">
        <is>
          <t>SKÅNE LÄN</t>
        </is>
      </c>
      <c r="G311" t="inlineStr">
        <is>
          <t>KRISTIANSTAD</t>
        </is>
      </c>
      <c r="I311" t="n">
        <v>13.5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46301</v>
      </c>
      <c r="F312" t="inlineStr">
        <is>
          <t>SKÅNE LÄN</t>
        </is>
      </c>
      <c r="G312" t="inlineStr">
        <is>
          <t>KRISTIANSTAD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46301</v>
      </c>
      <c r="F313" t="inlineStr">
        <is>
          <t>SKÅNE LÄN</t>
        </is>
      </c>
      <c r="G313" t="inlineStr">
        <is>
          <t>KRISTIANSTAD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46301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46301</v>
      </c>
      <c r="F315" t="inlineStr">
        <is>
          <t>SKÅNE LÄN</t>
        </is>
      </c>
      <c r="G315" t="inlineStr">
        <is>
          <t>KRISTIANSTAD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46301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46301</v>
      </c>
      <c r="F317" t="inlineStr">
        <is>
          <t>SKÅNE LÄN</t>
        </is>
      </c>
      <c r="G317" t="inlineStr">
        <is>
          <t>KRISTIANSTAD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45712</v>
      </c>
      <c r="E318" s="1" t="n">
        <v>46301</v>
      </c>
      <c r="F318" t="inlineStr">
        <is>
          <t>SKÅNE LÄN</t>
        </is>
      </c>
      <c r="G318" t="inlineStr">
        <is>
          <t>KRISTIANSTAD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46301</v>
      </c>
      <c r="F319" t="inlineStr">
        <is>
          <t>SKÅNE LÄN</t>
        </is>
      </c>
      <c r="G319" t="inlineStr">
        <is>
          <t>KRISTIANSTAD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7056-2024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46301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44634</v>
      </c>
      <c r="E321" s="1" t="n">
        <v>46301</v>
      </c>
      <c r="F321" t="inlineStr">
        <is>
          <t>SKÅNE LÄN</t>
        </is>
      </c>
      <c r="G321" t="inlineStr">
        <is>
          <t>KRISTIANSTAD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45355</v>
      </c>
      <c r="E322" s="1" t="n">
        <v>46301</v>
      </c>
      <c r="F322" t="inlineStr">
        <is>
          <t>SKÅNE LÄN</t>
        </is>
      </c>
      <c r="G322" t="inlineStr">
        <is>
          <t>KRISTIANSTAD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46301</v>
      </c>
      <c r="F323" t="inlineStr">
        <is>
          <t>SKÅNE LÄN</t>
        </is>
      </c>
      <c r="G323" t="inlineStr">
        <is>
          <t>KRISTIANSTAD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45925</v>
      </c>
      <c r="E324" s="1" t="n">
        <v>46301</v>
      </c>
      <c r="F324" t="inlineStr">
        <is>
          <t>SKÅNE LÄN</t>
        </is>
      </c>
      <c r="G324" t="inlineStr">
        <is>
          <t>KRISTIANSTAD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46301</v>
      </c>
      <c r="F325" t="inlineStr">
        <is>
          <t>SKÅNE LÄN</t>
        </is>
      </c>
      <c r="G325" t="inlineStr">
        <is>
          <t>KRISTIANSTAD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44713</v>
      </c>
      <c r="E326" s="1" t="n">
        <v>46301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17693-2024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45418</v>
      </c>
      <c r="E327" s="1" t="n">
        <v>46301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46301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46301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46301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19.8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45581</v>
      </c>
      <c r="E331" s="1" t="n">
        <v>46301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51898-2024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46301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46301</v>
      </c>
      <c r="F333" t="inlineStr">
        <is>
          <t>SKÅNE LÄN</t>
        </is>
      </c>
      <c r="G333" t="inlineStr">
        <is>
          <t>KRISTIANSTAD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45558</v>
      </c>
      <c r="E334" s="1" t="n">
        <v>46301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45558</v>
      </c>
      <c r="E335" s="1" t="n">
        <v>46301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44607</v>
      </c>
      <c r="E336" s="1" t="n">
        <v>46301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51903-2024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46301</v>
      </c>
      <c r="F337" t="inlineStr">
        <is>
          <t>SKÅNE LÄN</t>
        </is>
      </c>
      <c r="G337" t="inlineStr">
        <is>
          <t>KRISTIANSTAD</t>
        </is>
      </c>
      <c r="H337" t="inlineStr">
        <is>
          <t>Övriga Aktiebolag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46301</v>
      </c>
      <c r="F338" t="inlineStr">
        <is>
          <t>SKÅNE LÄN</t>
        </is>
      </c>
      <c r="G338" t="inlineStr">
        <is>
          <t>KRISTIANSTAD</t>
        </is>
      </c>
      <c r="H338" t="inlineStr">
        <is>
          <t>Sveaskog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45496-2024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45577</v>
      </c>
      <c r="E339" s="1" t="n">
        <v>46301</v>
      </c>
      <c r="F339" t="inlineStr">
        <is>
          <t>SKÅNE LÄN</t>
        </is>
      </c>
      <c r="G339" t="inlineStr">
        <is>
          <t>KRISTIANSTAD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46301</v>
      </c>
      <c r="F340" t="inlineStr">
        <is>
          <t>SKÅNE LÄN</t>
        </is>
      </c>
      <c r="G340" t="inlineStr">
        <is>
          <t>KRISTIANSTAD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50543-2024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46301</v>
      </c>
      <c r="F341" t="inlineStr">
        <is>
          <t>SKÅNE LÄN</t>
        </is>
      </c>
      <c r="G341" t="inlineStr">
        <is>
          <t>KRISTIANSTAD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47665-2025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46301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48378-2025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46301</v>
      </c>
      <c r="F343" t="inlineStr">
        <is>
          <t>SKÅNE LÄN</t>
        </is>
      </c>
      <c r="G343" t="inlineStr">
        <is>
          <t>KRISTIANSTAD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11970-2023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44995</v>
      </c>
      <c r="E344" s="1" t="n">
        <v>46301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43966-2025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45915</v>
      </c>
      <c r="E345" s="1" t="n">
        <v>46301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45079</v>
      </c>
      <c r="E346" s="1" t="n">
        <v>46301</v>
      </c>
      <c r="F346" t="inlineStr">
        <is>
          <t>SKÅNE LÄN</t>
        </is>
      </c>
      <c r="G346" t="inlineStr">
        <is>
          <t>KRISTIANSTAD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46301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46301</v>
      </c>
      <c r="F348" t="inlineStr">
        <is>
          <t>SKÅNE LÄN</t>
        </is>
      </c>
      <c r="G348" t="inlineStr">
        <is>
          <t>KRISTIANSTAD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46301</v>
      </c>
      <c r="F349" t="inlineStr">
        <is>
          <t>SKÅNE LÄN</t>
        </is>
      </c>
      <c r="G349" t="inlineStr">
        <is>
          <t>KRISTIANSTAD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46301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46301</v>
      </c>
      <c r="F351" t="inlineStr">
        <is>
          <t>SKÅNE LÄN</t>
        </is>
      </c>
      <c r="G351" t="inlineStr">
        <is>
          <t>KRISTIANSTAD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46301</v>
      </c>
      <c r="F352" t="inlineStr">
        <is>
          <t>SKÅNE LÄN</t>
        </is>
      </c>
      <c r="G352" t="inlineStr">
        <is>
          <t>KRISTIANSTAD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46301</v>
      </c>
      <c r="F353" t="inlineStr">
        <is>
          <t>SKÅNE LÄN</t>
        </is>
      </c>
      <c r="G353" t="inlineStr">
        <is>
          <t>KRISTIANSTAD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46301</v>
      </c>
      <c r="F354" t="inlineStr">
        <is>
          <t>SKÅNE LÄN</t>
        </is>
      </c>
      <c r="G354" t="inlineStr">
        <is>
          <t>KRISTIANSTAD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49552-2025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46301</v>
      </c>
      <c r="F355" t="inlineStr">
        <is>
          <t>SKÅNE LÄN</t>
        </is>
      </c>
      <c r="G355" t="inlineStr">
        <is>
          <t>KRISTIANSTAD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45012</v>
      </c>
      <c r="E356" s="1" t="n">
        <v>46301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45077</v>
      </c>
      <c r="E357" s="1" t="n">
        <v>46301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45077</v>
      </c>
      <c r="E358" s="1" t="n">
        <v>46301</v>
      </c>
      <c r="F358" t="inlineStr">
        <is>
          <t>SKÅNE LÄN</t>
        </is>
      </c>
      <c r="G358" t="inlineStr">
        <is>
          <t>KRISTIANSTAD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45144</v>
      </c>
      <c r="E359" s="1" t="n">
        <v>46301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46301</v>
      </c>
      <c r="F360" t="inlineStr">
        <is>
          <t>SKÅNE LÄN</t>
        </is>
      </c>
      <c r="G360" t="inlineStr">
        <is>
          <t>KRISTIANSTAD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46301</v>
      </c>
      <c r="F361" t="inlineStr">
        <is>
          <t>SKÅNE LÄN</t>
        </is>
      </c>
      <c r="G361" t="inlineStr">
        <is>
          <t>KRISTIANSTAD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44992</v>
      </c>
      <c r="E362" s="1" t="n">
        <v>46301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45275</v>
      </c>
      <c r="E363" s="1" t="n">
        <v>46301</v>
      </c>
      <c r="F363" t="inlineStr">
        <is>
          <t>SKÅNE LÄN</t>
        </is>
      </c>
      <c r="G363" t="inlineStr">
        <is>
          <t>KRISTIANSTAD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46301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46301</v>
      </c>
      <c r="F365" t="inlineStr">
        <is>
          <t>SKÅNE LÄN</t>
        </is>
      </c>
      <c r="G365" t="inlineStr">
        <is>
          <t>KRISTIANSTAD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46301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46301</v>
      </c>
      <c r="F367" t="inlineStr">
        <is>
          <t>SKÅNE LÄN</t>
        </is>
      </c>
      <c r="G367" t="inlineStr">
        <is>
          <t>KRISTIANSTAD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46301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45465</v>
      </c>
      <c r="E369" s="1" t="n">
        <v>46301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14837-2023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45014</v>
      </c>
      <c r="E370" s="1" t="n">
        <v>46301</v>
      </c>
      <c r="F370" t="inlineStr">
        <is>
          <t>SKÅNE LÄN</t>
        </is>
      </c>
      <c r="G370" t="inlineStr">
        <is>
          <t>KRISTIANSTAD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46301</v>
      </c>
      <c r="F371" t="inlineStr">
        <is>
          <t>SKÅNE LÄN</t>
        </is>
      </c>
      <c r="G371" t="inlineStr">
        <is>
          <t>KRISTIANSTAD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45668</v>
      </c>
      <c r="E372" s="1" t="n">
        <v>46301</v>
      </c>
      <c r="F372" t="inlineStr">
        <is>
          <t>SKÅNE LÄN</t>
        </is>
      </c>
      <c r="G372" t="inlineStr">
        <is>
          <t>KRISTIANSTAD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46301</v>
      </c>
      <c r="F373" t="inlineStr">
        <is>
          <t>SKÅNE LÄN</t>
        </is>
      </c>
      <c r="G373" t="inlineStr">
        <is>
          <t>KRISTIANSTAD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52406-2025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45954</v>
      </c>
      <c r="E374" s="1" t="n">
        <v>46301</v>
      </c>
      <c r="F374" t="inlineStr">
        <is>
          <t>SKÅNE LÄN</t>
        </is>
      </c>
      <c r="G374" t="inlineStr">
        <is>
          <t>KRISTIANSTAD</t>
        </is>
      </c>
      <c r="H374" t="inlineStr">
        <is>
          <t>Övriga Aktiebolag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46301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44795</v>
      </c>
      <c r="E376" s="1" t="n">
        <v>46301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46301</v>
      </c>
      <c r="F377" t="inlineStr">
        <is>
          <t>SKÅNE LÄN</t>
        </is>
      </c>
      <c r="G377" t="inlineStr">
        <is>
          <t>KRISTIANSTAD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53179-2025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46301</v>
      </c>
      <c r="F378" t="inlineStr">
        <is>
          <t>SKÅNE LÄN</t>
        </is>
      </c>
      <c r="G378" t="inlineStr">
        <is>
          <t>KRISTIANSTAD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45187</v>
      </c>
      <c r="E379" s="1" t="n">
        <v>46301</v>
      </c>
      <c r="F379" t="inlineStr">
        <is>
          <t>SKÅNE LÄN</t>
        </is>
      </c>
      <c r="G379" t="inlineStr">
        <is>
          <t>KRISTIANSTAD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45693</v>
      </c>
      <c r="E380" s="1" t="n">
        <v>46301</v>
      </c>
      <c r="F380" t="inlineStr">
        <is>
          <t>SKÅNE LÄN</t>
        </is>
      </c>
      <c r="G380" t="inlineStr">
        <is>
          <t>KRISTIANSTAD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39997-2025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45894</v>
      </c>
      <c r="E381" s="1" t="n">
        <v>46301</v>
      </c>
      <c r="F381" t="inlineStr">
        <is>
          <t>SKÅNE LÄN</t>
        </is>
      </c>
      <c r="G381" t="inlineStr">
        <is>
          <t>KRISTIANSTAD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45894</v>
      </c>
      <c r="E382" s="1" t="n">
        <v>46301</v>
      </c>
      <c r="F382" t="inlineStr">
        <is>
          <t>SKÅNE LÄN</t>
        </is>
      </c>
      <c r="G382" t="inlineStr">
        <is>
          <t>KRISTIANSTAD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45882</v>
      </c>
      <c r="E383" s="1" t="n">
        <v>46301</v>
      </c>
      <c r="F383" t="inlineStr">
        <is>
          <t>SKÅNE LÄN</t>
        </is>
      </c>
      <c r="G383" t="inlineStr">
        <is>
          <t>KRISTIANSTAD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46301</v>
      </c>
      <c r="F384" t="inlineStr">
        <is>
          <t>SKÅNE LÄN</t>
        </is>
      </c>
      <c r="G384" t="inlineStr">
        <is>
          <t>KRISTIANSTAD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46301</v>
      </c>
      <c r="F385" t="inlineStr">
        <is>
          <t>SKÅNE LÄN</t>
        </is>
      </c>
      <c r="G385" t="inlineStr">
        <is>
          <t>KRISTIANSTAD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46301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45455</v>
      </c>
      <c r="E387" s="1" t="n">
        <v>46301</v>
      </c>
      <c r="F387" t="inlineStr">
        <is>
          <t>SKÅNE LÄN</t>
        </is>
      </c>
      <c r="G387" t="inlineStr">
        <is>
          <t>KRISTIANSTAD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46092</v>
      </c>
      <c r="E388" s="1" t="n">
        <v>46301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46301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46301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45707</v>
      </c>
      <c r="E391" s="1" t="n">
        <v>46301</v>
      </c>
      <c r="F391" t="inlineStr">
        <is>
          <t>SKÅNE LÄN</t>
        </is>
      </c>
      <c r="G391" t="inlineStr">
        <is>
          <t>KRISTIANSTAD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46301</v>
      </c>
      <c r="F392" t="inlineStr">
        <is>
          <t>SKÅNE LÄN</t>
        </is>
      </c>
      <c r="G392" t="inlineStr">
        <is>
          <t>KRISTIANSTAD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46095</v>
      </c>
      <c r="E393" s="1" t="n">
        <v>46301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46301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8455-2025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45709</v>
      </c>
      <c r="E395" s="1" t="n">
        <v>46301</v>
      </c>
      <c r="F395" t="inlineStr">
        <is>
          <t>SKÅNE LÄN</t>
        </is>
      </c>
      <c r="G395" t="inlineStr">
        <is>
          <t>KRISTIANSTAD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46301</v>
      </c>
      <c r="F396" t="inlineStr">
        <is>
          <t>SKÅNE LÄN</t>
        </is>
      </c>
      <c r="G396" t="inlineStr">
        <is>
          <t>KRISTIANSTAD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46301</v>
      </c>
      <c r="F397" t="inlineStr">
        <is>
          <t>SKÅNE LÄN</t>
        </is>
      </c>
      <c r="G397" t="inlineStr">
        <is>
          <t>KRISTIANSTAD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56011-2025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45973</v>
      </c>
      <c r="E398" s="1" t="n">
        <v>46301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8.6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46301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25671-2023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45089</v>
      </c>
      <c r="E400" s="1" t="n">
        <v>46301</v>
      </c>
      <c r="F400" t="inlineStr">
        <is>
          <t>SKÅNE LÄN</t>
        </is>
      </c>
      <c r="G400" t="inlineStr">
        <is>
          <t>KRISTIANSTAD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46301</v>
      </c>
      <c r="F401" t="inlineStr">
        <is>
          <t>SKÅNE LÄN</t>
        </is>
      </c>
      <c r="G401" t="inlineStr">
        <is>
          <t>KRISTIANSTAD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46301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46301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46301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46301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46301</v>
      </c>
      <c r="F406" t="inlineStr">
        <is>
          <t>SKÅNE LÄN</t>
        </is>
      </c>
      <c r="G406" t="inlineStr">
        <is>
          <t>KRISTIANSTAD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46301</v>
      </c>
      <c r="F407" t="inlineStr">
        <is>
          <t>SKÅNE LÄN</t>
        </is>
      </c>
      <c r="G407" t="inlineStr">
        <is>
          <t>KRISTIANSTAD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46301</v>
      </c>
      <c r="F408" t="inlineStr">
        <is>
          <t>SKÅNE LÄN</t>
        </is>
      </c>
      <c r="G408" t="inlineStr">
        <is>
          <t>KRISTIANSTAD</t>
        </is>
      </c>
      <c r="H408" t="inlineStr">
        <is>
          <t>Sveaskog</t>
        </is>
      </c>
      <c r="I408" t="n">
        <v>9.199999999999999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45247</v>
      </c>
      <c r="E409" s="1" t="n">
        <v>46301</v>
      </c>
      <c r="F409" t="inlineStr">
        <is>
          <t>SKÅNE LÄN</t>
        </is>
      </c>
      <c r="G409" t="inlineStr">
        <is>
          <t>KRISTIANSTAD</t>
        </is>
      </c>
      <c r="I409" t="n">
        <v>11.9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40149-2024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46301</v>
      </c>
      <c r="F410" t="inlineStr">
        <is>
          <t>SKÅNE LÄN</t>
        </is>
      </c>
      <c r="G410" t="inlineStr">
        <is>
          <t>KRISTIANSTAD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46301</v>
      </c>
      <c r="F411" t="inlineStr">
        <is>
          <t>SKÅNE LÄN</t>
        </is>
      </c>
      <c r="G411" t="inlineStr">
        <is>
          <t>KRISTIANSTAD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45027</v>
      </c>
      <c r="E412" s="1" t="n">
        <v>46301</v>
      </c>
      <c r="F412" t="inlineStr">
        <is>
          <t>SKÅNE LÄN</t>
        </is>
      </c>
      <c r="G412" t="inlineStr">
        <is>
          <t>KRISTIANSTAD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45334</v>
      </c>
      <c r="E413" s="1" t="n">
        <v>46301</v>
      </c>
      <c r="F413" t="inlineStr">
        <is>
          <t>SKÅNE LÄN</t>
        </is>
      </c>
      <c r="G413" t="inlineStr">
        <is>
          <t>KRISTIANSTAD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46301</v>
      </c>
      <c r="F414" t="inlineStr">
        <is>
          <t>SKÅNE LÄN</t>
        </is>
      </c>
      <c r="G414" t="inlineStr">
        <is>
          <t>KRISTIANSTAD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45738</v>
      </c>
      <c r="E415" s="1" t="n">
        <v>46301</v>
      </c>
      <c r="F415" t="inlineStr">
        <is>
          <t>SKÅNE LÄN</t>
        </is>
      </c>
      <c r="G415" t="inlineStr">
        <is>
          <t>KRISTIANSTAD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45197</v>
      </c>
      <c r="E416" s="1" t="n">
        <v>46301</v>
      </c>
      <c r="F416" t="inlineStr">
        <is>
          <t>SKÅNE LÄN</t>
        </is>
      </c>
      <c r="G416" t="inlineStr">
        <is>
          <t>KRISTIANSTAD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46301</v>
      </c>
      <c r="F417" t="inlineStr">
        <is>
          <t>SKÅNE LÄN</t>
        </is>
      </c>
      <c r="G417" t="inlineStr">
        <is>
          <t>KRISTIANSTAD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45083</v>
      </c>
      <c r="E418" s="1" t="n">
        <v>46301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45987</v>
      </c>
      <c r="E419" s="1" t="n">
        <v>46301</v>
      </c>
      <c r="F419" t="inlineStr">
        <is>
          <t>SKÅNE LÄN</t>
        </is>
      </c>
      <c r="G419" t="inlineStr">
        <is>
          <t>KRISTIANSTAD</t>
        </is>
      </c>
      <c r="H419" t="inlineStr">
        <is>
          <t>Sveaskog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27590-2024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45474</v>
      </c>
      <c r="E420" s="1" t="n">
        <v>46301</v>
      </c>
      <c r="F420" t="inlineStr">
        <is>
          <t>SKÅNE LÄN</t>
        </is>
      </c>
      <c r="G420" t="inlineStr">
        <is>
          <t>KRISTIANSTAD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62066-2022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44918</v>
      </c>
      <c r="E421" s="1" t="n">
        <v>46301</v>
      </c>
      <c r="F421" t="inlineStr">
        <is>
          <t>SKÅNE LÄN</t>
        </is>
      </c>
      <c r="G421" t="inlineStr">
        <is>
          <t>KRISTIANSTAD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46301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45012</v>
      </c>
      <c r="E423" s="1" t="n">
        <v>46301</v>
      </c>
      <c r="F423" t="inlineStr">
        <is>
          <t>SKÅNE LÄN</t>
        </is>
      </c>
      <c r="G423" t="inlineStr">
        <is>
          <t>KRISTIANSTAD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46301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45054</v>
      </c>
      <c r="E425" s="1" t="n">
        <v>46301</v>
      </c>
      <c r="F425" t="inlineStr">
        <is>
          <t>SKÅNE LÄN</t>
        </is>
      </c>
      <c r="G425" t="inlineStr">
        <is>
          <t>KRISTIANSTAD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46301</v>
      </c>
      <c r="F426" t="inlineStr">
        <is>
          <t>SKÅNE LÄN</t>
        </is>
      </c>
      <c r="G426" t="inlineStr">
        <is>
          <t>KRISTIANSTAD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46301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46301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46301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45465</v>
      </c>
      <c r="E430" s="1" t="n">
        <v>46301</v>
      </c>
      <c r="F430" t="inlineStr">
        <is>
          <t>SKÅNE LÄN</t>
        </is>
      </c>
      <c r="G430" t="inlineStr">
        <is>
          <t>KRISTIANSTAD</t>
        </is>
      </c>
      <c r="I430" t="n">
        <v>16.6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46301</v>
      </c>
      <c r="F431" t="inlineStr">
        <is>
          <t>SKÅNE LÄN</t>
        </is>
      </c>
      <c r="G431" t="inlineStr">
        <is>
          <t>KRISTIANSTAD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45069</v>
      </c>
      <c r="E432" s="1" t="n">
        <v>46301</v>
      </c>
      <c r="F432" t="inlineStr">
        <is>
          <t>SKÅNE LÄN</t>
        </is>
      </c>
      <c r="G432" t="inlineStr">
        <is>
          <t>KRISTIANSTAD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45226</v>
      </c>
      <c r="E433" s="1" t="n">
        <v>46301</v>
      </c>
      <c r="F433" t="inlineStr">
        <is>
          <t>SKÅNE LÄN</t>
        </is>
      </c>
      <c r="G433" t="inlineStr">
        <is>
          <t>KRISTIANSTAD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46301</v>
      </c>
      <c r="F434" t="inlineStr">
        <is>
          <t>SKÅNE LÄN</t>
        </is>
      </c>
      <c r="G434" t="inlineStr">
        <is>
          <t>KRISTIANSTAD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46301</v>
      </c>
      <c r="F435" t="inlineStr">
        <is>
          <t>SKÅNE LÄN</t>
        </is>
      </c>
      <c r="G435" t="inlineStr">
        <is>
          <t>KRISTIANSTAD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46001</v>
      </c>
      <c r="E436" s="1" t="n">
        <v>46301</v>
      </c>
      <c r="F436" t="inlineStr">
        <is>
          <t>SKÅNE LÄN</t>
        </is>
      </c>
      <c r="G436" t="inlineStr">
        <is>
          <t>KRISTIANSTAD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44846</v>
      </c>
      <c r="E437" s="1" t="n">
        <v>46301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45098</v>
      </c>
      <c r="E438" s="1" t="n">
        <v>46301</v>
      </c>
      <c r="F438" t="inlineStr">
        <is>
          <t>SKÅNE LÄN</t>
        </is>
      </c>
      <c r="G438" t="inlineStr">
        <is>
          <t>KRISTIANSTAD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45482</v>
      </c>
      <c r="E439" s="1" t="n">
        <v>46301</v>
      </c>
      <c r="F439" t="inlineStr">
        <is>
          <t>SKÅNE LÄN</t>
        </is>
      </c>
      <c r="G439" t="inlineStr">
        <is>
          <t>KRISTIANSTAD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45119</v>
      </c>
      <c r="E440" s="1" t="n">
        <v>46301</v>
      </c>
      <c r="F440" t="inlineStr">
        <is>
          <t>SKÅNE LÄN</t>
        </is>
      </c>
      <c r="G440" t="inlineStr">
        <is>
          <t>KRISTIANSTAD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45260</v>
      </c>
      <c r="E441" s="1" t="n">
        <v>46301</v>
      </c>
      <c r="F441" t="inlineStr">
        <is>
          <t>SKÅNE LÄN</t>
        </is>
      </c>
      <c r="G441" t="inlineStr">
        <is>
          <t>KRISTIANSTAD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40423-2024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46301</v>
      </c>
      <c r="F442" t="inlineStr">
        <is>
          <t>SKÅNE LÄN</t>
        </is>
      </c>
      <c r="G442" t="inlineStr">
        <is>
          <t>KRISTIANSTAD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46008</v>
      </c>
      <c r="E443" s="1" t="n">
        <v>46301</v>
      </c>
      <c r="F443" t="inlineStr">
        <is>
          <t>SKÅNE LÄN</t>
        </is>
      </c>
      <c r="G443" t="inlineStr">
        <is>
          <t>KRISTIANSTAD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62539-2025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46301</v>
      </c>
      <c r="F444" t="inlineStr">
        <is>
          <t>SKÅNE LÄN</t>
        </is>
      </c>
      <c r="G444" t="inlineStr">
        <is>
          <t>KRISTIANSTAD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30601-2024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45493</v>
      </c>
      <c r="E445" s="1" t="n">
        <v>46301</v>
      </c>
      <c r="F445" t="inlineStr">
        <is>
          <t>SKÅNE LÄN</t>
        </is>
      </c>
      <c r="G445" t="inlineStr">
        <is>
          <t>KRISTIANSTAD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45749</v>
      </c>
      <c r="E446" s="1" t="n">
        <v>46301</v>
      </c>
      <c r="F446" t="inlineStr">
        <is>
          <t>SKÅNE LÄN</t>
        </is>
      </c>
      <c r="G446" t="inlineStr">
        <is>
          <t>KRISTIANSTAD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45342</v>
      </c>
      <c r="E447" s="1" t="n">
        <v>46301</v>
      </c>
      <c r="F447" t="inlineStr">
        <is>
          <t>SKÅNE LÄN</t>
        </is>
      </c>
      <c r="G447" t="inlineStr">
        <is>
          <t>KRISTIANSTAD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45738</v>
      </c>
      <c r="E448" s="1" t="n">
        <v>46301</v>
      </c>
      <c r="F448" t="inlineStr">
        <is>
          <t>SKÅNE LÄN</t>
        </is>
      </c>
      <c r="G448" t="inlineStr">
        <is>
          <t>KRISTIANSTAD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45738</v>
      </c>
      <c r="E449" s="1" t="n">
        <v>46301</v>
      </c>
      <c r="F449" t="inlineStr">
        <is>
          <t>SKÅNE LÄN</t>
        </is>
      </c>
      <c r="G449" t="inlineStr">
        <is>
          <t>KRISTIANSTAD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45311</v>
      </c>
      <c r="E450" s="1" t="n">
        <v>46301</v>
      </c>
      <c r="F450" t="inlineStr">
        <is>
          <t>SKÅNE LÄN</t>
        </is>
      </c>
      <c r="G450" t="inlineStr">
        <is>
          <t>KRISTIANSTAD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1871-2024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45307</v>
      </c>
      <c r="E451" s="1" t="n">
        <v>46301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45761</v>
      </c>
      <c r="E452" s="1" t="n">
        <v>46301</v>
      </c>
      <c r="F452" t="inlineStr">
        <is>
          <t>SKÅNE LÄN</t>
        </is>
      </c>
      <c r="G452" t="inlineStr">
        <is>
          <t>KRISTIANSTAD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46469-2024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45582</v>
      </c>
      <c r="E453" s="1" t="n">
        <v>46301</v>
      </c>
      <c r="F453" t="inlineStr">
        <is>
          <t>SKÅNE LÄN</t>
        </is>
      </c>
      <c r="G453" t="inlineStr">
        <is>
          <t>KRISTIANSTAD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45366</v>
      </c>
      <c r="E454" s="1" t="n">
        <v>46301</v>
      </c>
      <c r="F454" t="inlineStr">
        <is>
          <t>SKÅNE LÄN</t>
        </is>
      </c>
      <c r="G454" t="inlineStr">
        <is>
          <t>KRISTIANSTAD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45446</v>
      </c>
      <c r="E455" s="1" t="n">
        <v>46301</v>
      </c>
      <c r="F455" t="inlineStr">
        <is>
          <t>SKÅNE LÄN</t>
        </is>
      </c>
      <c r="G455" t="inlineStr">
        <is>
          <t>KRISTIANSTAD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45803</v>
      </c>
      <c r="E456" s="1" t="n">
        <v>46301</v>
      </c>
      <c r="F456" t="inlineStr">
        <is>
          <t>SKÅNE LÄN</t>
        </is>
      </c>
      <c r="G456" t="inlineStr">
        <is>
          <t>KRISTIANSTAD</t>
        </is>
      </c>
      <c r="I456" t="n">
        <v>18.8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9899-2025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45716</v>
      </c>
      <c r="E457" s="1" t="n">
        <v>46301</v>
      </c>
      <c r="F457" t="inlineStr">
        <is>
          <t>SKÅNE LÄN</t>
        </is>
      </c>
      <c r="G457" t="inlineStr">
        <is>
          <t>KRISTIANSTAD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42919-2024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46301</v>
      </c>
      <c r="F458" t="inlineStr">
        <is>
          <t>SKÅNE LÄN</t>
        </is>
      </c>
      <c r="G458" t="inlineStr">
        <is>
          <t>KRISTIANSTAD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46301</v>
      </c>
      <c r="F459" t="inlineStr">
        <is>
          <t>SKÅNE LÄN</t>
        </is>
      </c>
      <c r="G459" t="inlineStr">
        <is>
          <t>KRISTIANSTAD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48217-2022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44853</v>
      </c>
      <c r="E460" s="1" t="n">
        <v>46301</v>
      </c>
      <c r="F460" t="inlineStr">
        <is>
          <t>SKÅNE LÄN</t>
        </is>
      </c>
      <c r="G460" t="inlineStr">
        <is>
          <t>KRISTIANSTAD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46301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20302-2026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46136</v>
      </c>
      <c r="E462" s="1" t="n">
        <v>46301</v>
      </c>
      <c r="F462" t="inlineStr">
        <is>
          <t>SKÅNE LÄN</t>
        </is>
      </c>
      <c r="G462" t="inlineStr">
        <is>
          <t>KRISTIANSTAD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46031</v>
      </c>
      <c r="E463" s="1" t="n">
        <v>46301</v>
      </c>
      <c r="F463" t="inlineStr">
        <is>
          <t>SKÅNE LÄN</t>
        </is>
      </c>
      <c r="G463" t="inlineStr">
        <is>
          <t>KRISTIANSTAD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46301</v>
      </c>
      <c r="F464" t="inlineStr">
        <is>
          <t>SKÅNE LÄN</t>
        </is>
      </c>
      <c r="G464" t="inlineStr">
        <is>
          <t>KRISTIANSTAD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46301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46035</v>
      </c>
      <c r="E466" s="1" t="n">
        <v>46301</v>
      </c>
      <c r="F466" t="inlineStr">
        <is>
          <t>SKÅNE LÄN</t>
        </is>
      </c>
      <c r="G466" t="inlineStr">
        <is>
          <t>KRISTIANSTAD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57976-2023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45247</v>
      </c>
      <c r="E467" s="1" t="n">
        <v>46301</v>
      </c>
      <c r="F467" t="inlineStr">
        <is>
          <t>SKÅNE LÄN</t>
        </is>
      </c>
      <c r="G467" t="inlineStr">
        <is>
          <t>KRISTIANSTAD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46301</v>
      </c>
      <c r="F468" t="inlineStr">
        <is>
          <t>SKÅNE LÄN</t>
        </is>
      </c>
      <c r="G468" t="inlineStr">
        <is>
          <t>KRISTIANSTAD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45461</v>
      </c>
      <c r="E469" s="1" t="n">
        <v>46301</v>
      </c>
      <c r="F469" t="inlineStr">
        <is>
          <t>SKÅNE LÄN</t>
        </is>
      </c>
      <c r="G469" t="inlineStr">
        <is>
          <t>KRISTIANSTAD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46031</v>
      </c>
      <c r="E470" s="1" t="n">
        <v>46301</v>
      </c>
      <c r="F470" t="inlineStr">
        <is>
          <t>SKÅNE LÄN</t>
        </is>
      </c>
      <c r="G470" t="inlineStr">
        <is>
          <t>KRISTIANSTAD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45119</v>
      </c>
      <c r="E471" s="1" t="n">
        <v>46301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17043-2024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45412</v>
      </c>
      <c r="E472" s="1" t="n">
        <v>46301</v>
      </c>
      <c r="F472" t="inlineStr">
        <is>
          <t>SKÅNE LÄN</t>
        </is>
      </c>
      <c r="G472" t="inlineStr">
        <is>
          <t>KRISTIANSTAD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46301</v>
      </c>
      <c r="F473" t="inlineStr">
        <is>
          <t>SKÅNE LÄN</t>
        </is>
      </c>
      <c r="G473" t="inlineStr">
        <is>
          <t>KRISTIANSTAD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28654-2024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45478</v>
      </c>
      <c r="E474" s="1" t="n">
        <v>46301</v>
      </c>
      <c r="F474" t="inlineStr">
        <is>
          <t>SKÅNE LÄN</t>
        </is>
      </c>
      <c r="G474" t="inlineStr">
        <is>
          <t>KRISTIANSTAD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45833</v>
      </c>
      <c r="E475" s="1" t="n">
        <v>46301</v>
      </c>
      <c r="F475" t="inlineStr">
        <is>
          <t>SKÅNE LÄN</t>
        </is>
      </c>
      <c r="G475" t="inlineStr">
        <is>
          <t>KRISTIANSTAD</t>
        </is>
      </c>
      <c r="I475" t="n">
        <v>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50294-2024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45600</v>
      </c>
      <c r="E476" s="1" t="n">
        <v>46301</v>
      </c>
      <c r="F476" t="inlineStr">
        <is>
          <t>SKÅNE LÄN</t>
        </is>
      </c>
      <c r="G476" t="inlineStr">
        <is>
          <t>KRISTIANSTAD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13070-2023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45002</v>
      </c>
      <c r="E477" s="1" t="n">
        <v>46301</v>
      </c>
      <c r="F477" t="inlineStr">
        <is>
          <t>SKÅNE LÄN</t>
        </is>
      </c>
      <c r="G477" t="inlineStr">
        <is>
          <t>KRISTIANSTAD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45338</v>
      </c>
      <c r="E478" s="1" t="n">
        <v>46301</v>
      </c>
      <c r="F478" t="inlineStr">
        <is>
          <t>SKÅNE LÄN</t>
        </is>
      </c>
      <c r="G478" t="inlineStr">
        <is>
          <t>KRISTIANSTAD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45326</v>
      </c>
      <c r="E479" s="1" t="n">
        <v>46301</v>
      </c>
      <c r="F479" t="inlineStr">
        <is>
          <t>SKÅNE LÄN</t>
        </is>
      </c>
      <c r="G479" t="inlineStr">
        <is>
          <t>KRISTIANSTAD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44853</v>
      </c>
      <c r="E480" s="1" t="n">
        <v>46301</v>
      </c>
      <c r="F480" t="inlineStr">
        <is>
          <t>SKÅNE LÄN</t>
        </is>
      </c>
      <c r="G480" t="inlineStr">
        <is>
          <t>KRISTIANSTAD</t>
        </is>
      </c>
      <c r="H480" t="inlineStr">
        <is>
          <t>Kyrkan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37983-2024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45544</v>
      </c>
      <c r="E481" s="1" t="n">
        <v>46301</v>
      </c>
      <c r="F481" t="inlineStr">
        <is>
          <t>SKÅNE LÄN</t>
        </is>
      </c>
      <c r="G481" t="inlineStr">
        <is>
          <t>KRISTIANSTAD</t>
        </is>
      </c>
      <c r="I481" t="n">
        <v>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40661-2022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44824</v>
      </c>
      <c r="E482" s="1" t="n">
        <v>46301</v>
      </c>
      <c r="F482" t="inlineStr">
        <is>
          <t>SKÅNE LÄN</t>
        </is>
      </c>
      <c r="G482" t="inlineStr">
        <is>
          <t>KRISTIANSTAD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45121</v>
      </c>
      <c r="E483" s="1" t="n">
        <v>46301</v>
      </c>
      <c r="F483" t="inlineStr">
        <is>
          <t>SKÅNE LÄN</t>
        </is>
      </c>
      <c r="G483" t="inlineStr">
        <is>
          <t>KRISTIANSTAD</t>
        </is>
      </c>
      <c r="H483" t="inlineStr">
        <is>
          <t>Sveaskog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64626-2023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46301</v>
      </c>
      <c r="F484" t="inlineStr">
        <is>
          <t>SKÅNE LÄN</t>
        </is>
      </c>
      <c r="G484" t="inlineStr">
        <is>
          <t>KRISTIANSTAD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72100-2021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44544</v>
      </c>
      <c r="E485" s="1" t="n">
        <v>46301</v>
      </c>
      <c r="F485" t="inlineStr">
        <is>
          <t>SKÅNE LÄN</t>
        </is>
      </c>
      <c r="G485" t="inlineStr">
        <is>
          <t>KRISTIANSTAD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45387</v>
      </c>
      <c r="E486" s="1" t="n">
        <v>46301</v>
      </c>
      <c r="F486" t="inlineStr">
        <is>
          <t>SKÅNE LÄN</t>
        </is>
      </c>
      <c r="G486" t="inlineStr">
        <is>
          <t>KRISTIANSTAD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14471-2024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45394</v>
      </c>
      <c r="E487" s="1" t="n">
        <v>46301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45338</v>
      </c>
      <c r="E488" s="1" t="n">
        <v>46301</v>
      </c>
      <c r="F488" t="inlineStr">
        <is>
          <t>SKÅNE LÄN</t>
        </is>
      </c>
      <c r="G488" t="inlineStr">
        <is>
          <t>KRISTIANSTAD</t>
        </is>
      </c>
      <c r="I488" t="n">
        <v>15.8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45577</v>
      </c>
      <c r="E489" s="1" t="n">
        <v>46301</v>
      </c>
      <c r="F489" t="inlineStr">
        <is>
          <t>SKÅNE LÄN</t>
        </is>
      </c>
      <c r="G489" t="inlineStr">
        <is>
          <t>KRISTIANSTAD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13820-2023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46301</v>
      </c>
      <c r="F490" t="inlineStr">
        <is>
          <t>SKÅNE LÄN</t>
        </is>
      </c>
      <c r="G490" t="inlineStr">
        <is>
          <t>KRISTIANSTAD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27584-2024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46301</v>
      </c>
      <c r="F491" t="inlineStr">
        <is>
          <t>SKÅNE LÄN</t>
        </is>
      </c>
      <c r="G491" t="inlineStr">
        <is>
          <t>KRISTIANSTAD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42248-2023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45180</v>
      </c>
      <c r="E492" s="1" t="n">
        <v>46301</v>
      </c>
      <c r="F492" t="inlineStr">
        <is>
          <t>SKÅNE LÄN</t>
        </is>
      </c>
      <c r="G492" t="inlineStr">
        <is>
          <t>KRISTIANSTAD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45643</v>
      </c>
      <c r="E493" s="1" t="n">
        <v>46301</v>
      </c>
      <c r="F493" t="inlineStr">
        <is>
          <t>SKÅNE LÄN</t>
        </is>
      </c>
      <c r="G493" t="inlineStr">
        <is>
          <t>KRISTIANSTAD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45149</v>
      </c>
      <c r="E494" s="1" t="n">
        <v>46301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46301</v>
      </c>
      <c r="F495" t="inlineStr">
        <is>
          <t>SKÅNE LÄN</t>
        </is>
      </c>
      <c r="G495" t="inlineStr">
        <is>
          <t>KRISTIANSTAD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20651-2026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46141</v>
      </c>
      <c r="E496" s="1" t="n">
        <v>46301</v>
      </c>
      <c r="F496" t="inlineStr">
        <is>
          <t>SKÅNE LÄN</t>
        </is>
      </c>
      <c r="G496" t="inlineStr">
        <is>
          <t>KRISTIANSTAD</t>
        </is>
      </c>
      <c r="H496" t="inlineStr">
        <is>
          <t>Sveaskog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46301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44587</v>
      </c>
      <c r="E498" s="1" t="n">
        <v>46301</v>
      </c>
      <c r="F498" t="inlineStr">
        <is>
          <t>SKÅNE LÄN</t>
        </is>
      </c>
      <c r="G498" t="inlineStr">
        <is>
          <t>KRISTIANSTAD</t>
        </is>
      </c>
      <c r="H498" t="inlineStr">
        <is>
          <t>Sveaskog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46301</v>
      </c>
      <c r="F499" t="inlineStr">
        <is>
          <t>SKÅNE LÄN</t>
        </is>
      </c>
      <c r="G499" t="inlineStr">
        <is>
          <t>KRISTIANSTAD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60474-2022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44904</v>
      </c>
      <c r="E500" s="1" t="n">
        <v>46301</v>
      </c>
      <c r="F500" t="inlineStr">
        <is>
          <t>SKÅNE LÄN</t>
        </is>
      </c>
      <c r="G500" t="inlineStr">
        <is>
          <t>KRISTIANSTAD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46301</v>
      </c>
      <c r="F501" t="inlineStr">
        <is>
          <t>SKÅNE LÄN</t>
        </is>
      </c>
      <c r="G501" t="inlineStr">
        <is>
          <t>KRISTIANSTAD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45127</v>
      </c>
      <c r="E502" s="1" t="n">
        <v>46301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45315</v>
      </c>
      <c r="E503" s="1" t="n">
        <v>46301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46301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46301</v>
      </c>
      <c r="F505" t="inlineStr">
        <is>
          <t>SKÅNE LÄN</t>
        </is>
      </c>
      <c r="G505" t="inlineStr">
        <is>
          <t>KRISTIANSTAD</t>
        </is>
      </c>
      <c r="I505" t="n">
        <v>10.1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46150</v>
      </c>
      <c r="E506" s="1" t="n">
        <v>46301</v>
      </c>
      <c r="F506" t="inlineStr">
        <is>
          <t>SKÅNE LÄN</t>
        </is>
      </c>
      <c r="G506" t="inlineStr">
        <is>
          <t>KRISTIANSTAD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46153</v>
      </c>
      <c r="E507" s="1" t="n">
        <v>46301</v>
      </c>
      <c r="F507" t="inlineStr">
        <is>
          <t>SKÅNE LÄN</t>
        </is>
      </c>
      <c r="G507" t="inlineStr">
        <is>
          <t>KRISTIANSTAD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45755</v>
      </c>
      <c r="E508" s="1" t="n">
        <v>46301</v>
      </c>
      <c r="F508" t="inlineStr">
        <is>
          <t>SKÅNE LÄN</t>
        </is>
      </c>
      <c r="G508" t="inlineStr">
        <is>
          <t>KRISTIANSTAD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45124</v>
      </c>
      <c r="E509" s="1" t="n">
        <v>46301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45414</v>
      </c>
      <c r="E510" s="1" t="n">
        <v>46301</v>
      </c>
      <c r="F510" t="inlineStr">
        <is>
          <t>SKÅNE LÄN</t>
        </is>
      </c>
      <c r="G510" t="inlineStr">
        <is>
          <t>KRISTIANSTAD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46301</v>
      </c>
      <c r="F511" t="inlineStr">
        <is>
          <t>SKÅNE LÄN</t>
        </is>
      </c>
      <c r="G511" t="inlineStr">
        <is>
          <t>KRISTIANSTAD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10961-2025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45723</v>
      </c>
      <c r="E512" s="1" t="n">
        <v>46301</v>
      </c>
      <c r="F512" t="inlineStr">
        <is>
          <t>SKÅNE LÄN</t>
        </is>
      </c>
      <c r="G512" t="inlineStr">
        <is>
          <t>KRISTIANSTAD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12315-2025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45729</v>
      </c>
      <c r="E513" s="1" t="n">
        <v>46301</v>
      </c>
      <c r="F513" t="inlineStr">
        <is>
          <t>SKÅNE LÄN</t>
        </is>
      </c>
      <c r="G513" t="inlineStr">
        <is>
          <t>KRISTIANSTAD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46301</v>
      </c>
      <c r="F514" t="inlineStr">
        <is>
          <t>SKÅNE LÄN</t>
        </is>
      </c>
      <c r="G514" t="inlineStr">
        <is>
          <t>KRISTIANSTAD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2472-2022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44579</v>
      </c>
      <c r="E515" s="1" t="n">
        <v>46301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45453</v>
      </c>
      <c r="E516" s="1" t="n">
        <v>46301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45887</v>
      </c>
      <c r="E517" s="1" t="n">
        <v>46301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46301</v>
      </c>
      <c r="F518" t="inlineStr">
        <is>
          <t>SKÅNE LÄN</t>
        </is>
      </c>
      <c r="G518" t="inlineStr">
        <is>
          <t>KRISTIANSTAD</t>
        </is>
      </c>
      <c r="H518" t="inlineStr">
        <is>
          <t>Övriga Aktiebolag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46301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11.2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38021-2023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45159</v>
      </c>
      <c r="E520" s="1" t="n">
        <v>46301</v>
      </c>
      <c r="F520" t="inlineStr">
        <is>
          <t>SKÅNE LÄN</t>
        </is>
      </c>
      <c r="G520" t="inlineStr">
        <is>
          <t>KRISTIANSTAD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46301</v>
      </c>
      <c r="F521" t="inlineStr">
        <is>
          <t>SKÅNE LÄN</t>
        </is>
      </c>
      <c r="G521" t="inlineStr">
        <is>
          <t>KRISTIANSTAD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6347-2024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45338</v>
      </c>
      <c r="E522" s="1" t="n">
        <v>46301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41023-2025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45898</v>
      </c>
      <c r="E523" s="1" t="n">
        <v>46301</v>
      </c>
      <c r="F523" t="inlineStr">
        <is>
          <t>SKÅNE LÄN</t>
        </is>
      </c>
      <c r="G523" t="inlineStr">
        <is>
          <t>KRISTIANSTAD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10781-2022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46301</v>
      </c>
      <c r="F524" t="inlineStr">
        <is>
          <t>SKÅNE LÄN</t>
        </is>
      </c>
      <c r="G524" t="inlineStr">
        <is>
          <t>KRISTIANSTAD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44363-2024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45573</v>
      </c>
      <c r="E525" s="1" t="n">
        <v>46301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46301</v>
      </c>
      <c r="F526" t="inlineStr">
        <is>
          <t>SKÅNE LÄN</t>
        </is>
      </c>
      <c r="G526" t="inlineStr">
        <is>
          <t>KRISTIANSTAD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45727</v>
      </c>
      <c r="E527" s="1" t="n">
        <v>46301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46301</v>
      </c>
      <c r="F528" t="inlineStr">
        <is>
          <t>SKÅNE LÄN</t>
        </is>
      </c>
      <c r="G528" t="inlineStr">
        <is>
          <t>KRISTIANSTAD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46301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46301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39117-2023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45165</v>
      </c>
      <c r="E531" s="1" t="n">
        <v>46301</v>
      </c>
      <c r="F531" t="inlineStr">
        <is>
          <t>SKÅNE LÄN</t>
        </is>
      </c>
      <c r="G531" t="inlineStr">
        <is>
          <t>KRISTIANSTAD</t>
        </is>
      </c>
      <c r="H531" t="inlineStr">
        <is>
          <t>Sveaskog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45903</v>
      </c>
      <c r="E532" s="1" t="n">
        <v>46301</v>
      </c>
      <c r="F532" t="inlineStr">
        <is>
          <t>SKÅNE LÄN</t>
        </is>
      </c>
      <c r="G532" t="inlineStr">
        <is>
          <t>KRISTIANSTAD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45110</v>
      </c>
      <c r="E533" s="1" t="n">
        <v>46301</v>
      </c>
      <c r="F533" t="inlineStr">
        <is>
          <t>SKÅNE LÄN</t>
        </is>
      </c>
      <c r="G533" t="inlineStr">
        <is>
          <t>KRISTIANSTAD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46301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55469-2024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45622</v>
      </c>
      <c r="E535" s="1" t="n">
        <v>46301</v>
      </c>
      <c r="F535" t="inlineStr">
        <is>
          <t>SKÅNE LÄN</t>
        </is>
      </c>
      <c r="G535" t="inlineStr">
        <is>
          <t>KRISTIANSTAD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38121-2025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45882</v>
      </c>
      <c r="E536" s="1" t="n">
        <v>46301</v>
      </c>
      <c r="F536" t="inlineStr">
        <is>
          <t>SKÅNE LÄN</t>
        </is>
      </c>
      <c r="G536" t="inlineStr">
        <is>
          <t>KRISTIANSTAD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45763</v>
      </c>
      <c r="E537" s="1" t="n">
        <v>46301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46301</v>
      </c>
      <c r="F538" t="inlineStr">
        <is>
          <t>SKÅNE LÄN</t>
        </is>
      </c>
      <c r="G538" t="inlineStr">
        <is>
          <t>KRISTIANSTAD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49143-2025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45938</v>
      </c>
      <c r="E539" s="1" t="n">
        <v>46301</v>
      </c>
      <c r="F539" t="inlineStr">
        <is>
          <t>SKÅNE LÄN</t>
        </is>
      </c>
      <c r="G539" t="inlineStr">
        <is>
          <t>KRISTIANSTAD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46301</v>
      </c>
      <c r="F540" t="inlineStr">
        <is>
          <t>SKÅNE LÄN</t>
        </is>
      </c>
      <c r="G540" t="inlineStr">
        <is>
          <t>KRISTIANSTAD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45665</v>
      </c>
      <c r="E541" s="1" t="n">
        <v>46301</v>
      </c>
      <c r="F541" t="inlineStr">
        <is>
          <t>SKÅNE LÄN</t>
        </is>
      </c>
      <c r="G541" t="inlineStr">
        <is>
          <t>KRISTIANSTAD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46301</v>
      </c>
      <c r="F542" t="inlineStr">
        <is>
          <t>SKÅNE LÄN</t>
        </is>
      </c>
      <c r="G542" t="inlineStr">
        <is>
          <t>KRISTIANSTAD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46301</v>
      </c>
      <c r="F543" t="inlineStr">
        <is>
          <t>SKÅNE LÄN</t>
        </is>
      </c>
      <c r="G543" t="inlineStr">
        <is>
          <t>KRISTIANSTAD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45083</v>
      </c>
      <c r="E544" s="1" t="n">
        <v>46301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46301</v>
      </c>
      <c r="F545" t="inlineStr">
        <is>
          <t>SKÅNE LÄN</t>
        </is>
      </c>
      <c r="G545" t="inlineStr">
        <is>
          <t>KRISTIANSTAD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46301</v>
      </c>
      <c r="F546" t="inlineStr">
        <is>
          <t>SKÅNE LÄN</t>
        </is>
      </c>
      <c r="G546" t="inlineStr">
        <is>
          <t>KRISTIANSTAD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45665</v>
      </c>
      <c r="E547" s="1" t="n">
        <v>46301</v>
      </c>
      <c r="F547" t="inlineStr">
        <is>
          <t>SKÅNE LÄN</t>
        </is>
      </c>
      <c r="G547" t="inlineStr">
        <is>
          <t>KRISTIANSTAD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27287-2025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45812</v>
      </c>
      <c r="E548" s="1" t="n">
        <v>46301</v>
      </c>
      <c r="F548" t="inlineStr">
        <is>
          <t>SKÅNE LÄN</t>
        </is>
      </c>
      <c r="G548" t="inlineStr">
        <is>
          <t>KRISTIANSTAD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46301</v>
      </c>
      <c r="F549" t="inlineStr">
        <is>
          <t>SKÅNE LÄN</t>
        </is>
      </c>
      <c r="G549" t="inlineStr">
        <is>
          <t>KRISTIANSTAD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19642-2022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44694</v>
      </c>
      <c r="E550" s="1" t="n">
        <v>46301</v>
      </c>
      <c r="F550" t="inlineStr">
        <is>
          <t>SKÅNE LÄN</t>
        </is>
      </c>
      <c r="G550" t="inlineStr">
        <is>
          <t>KRISTIANSTAD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48853-2023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45204</v>
      </c>
      <c r="E551" s="1" t="n">
        <v>46301</v>
      </c>
      <c r="F551" t="inlineStr">
        <is>
          <t>SKÅNE LÄN</t>
        </is>
      </c>
      <c r="G551" t="inlineStr">
        <is>
          <t>KRISTIANSTAD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33592-2023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45132</v>
      </c>
      <c r="E552" s="1" t="n">
        <v>46301</v>
      </c>
      <c r="F552" t="inlineStr">
        <is>
          <t>SKÅNE LÄN</t>
        </is>
      </c>
      <c r="G552" t="inlineStr">
        <is>
          <t>KRISTIANSTAD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17571-2024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45415</v>
      </c>
      <c r="E553" s="1" t="n">
        <v>46301</v>
      </c>
      <c r="F553" t="inlineStr">
        <is>
          <t>SKÅNE LÄN</t>
        </is>
      </c>
      <c r="G553" t="inlineStr">
        <is>
          <t>KRISTIANSTAD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6597-2025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45700</v>
      </c>
      <c r="E554" s="1" t="n">
        <v>46301</v>
      </c>
      <c r="F554" t="inlineStr">
        <is>
          <t>SKÅNE LÄN</t>
        </is>
      </c>
      <c r="G554" t="inlineStr">
        <is>
          <t>KRISTIANSTAD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14524-2022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44655</v>
      </c>
      <c r="E555" s="1" t="n">
        <v>46301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45387</v>
      </c>
      <c r="E556" s="1" t="n">
        <v>46301</v>
      </c>
      <c r="F556" t="inlineStr">
        <is>
          <t>SKÅNE LÄN</t>
        </is>
      </c>
      <c r="G556" t="inlineStr">
        <is>
          <t>KRISTIANSTAD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46301</v>
      </c>
      <c r="F557" t="inlineStr">
        <is>
          <t>SKÅNE LÄN</t>
        </is>
      </c>
      <c r="G557" t="inlineStr">
        <is>
          <t>KRISTIANSTAD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44339-2023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46301</v>
      </c>
      <c r="F558" t="inlineStr">
        <is>
          <t>SKÅNE LÄN</t>
        </is>
      </c>
      <c r="G558" t="inlineStr">
        <is>
          <t>KRISTIANSTAD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25249-2022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44729</v>
      </c>
      <c r="E559" s="1" t="n">
        <v>46301</v>
      </c>
      <c r="F559" t="inlineStr">
        <is>
          <t>SKÅNE LÄN</t>
        </is>
      </c>
      <c r="G559" t="inlineStr">
        <is>
          <t>KRISTIANSTAD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45902</v>
      </c>
      <c r="E560" s="1" t="n">
        <v>46301</v>
      </c>
      <c r="F560" t="inlineStr">
        <is>
          <t>SKÅNE LÄN</t>
        </is>
      </c>
      <c r="G560" t="inlineStr">
        <is>
          <t>KRISTIANSTAD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46301</v>
      </c>
      <c r="F561" t="inlineStr">
        <is>
          <t>SKÅNE LÄN</t>
        </is>
      </c>
      <c r="G561" t="inlineStr">
        <is>
          <t>KRISTIANSTAD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46301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8.9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63942-2023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46301</v>
      </c>
      <c r="F563" t="inlineStr">
        <is>
          <t>SKÅNE LÄN</t>
        </is>
      </c>
      <c r="G563" t="inlineStr">
        <is>
          <t>KRISTIANSTAD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49233-2022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44858</v>
      </c>
      <c r="E564" s="1" t="n">
        <v>46301</v>
      </c>
      <c r="F564" t="inlineStr">
        <is>
          <t>SKÅNE LÄN</t>
        </is>
      </c>
      <c r="G564" t="inlineStr">
        <is>
          <t>KRISTIANSTAD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46055</v>
      </c>
      <c r="E565" s="1" t="n">
        <v>46301</v>
      </c>
      <c r="F565" t="inlineStr">
        <is>
          <t>SKÅNE LÄN</t>
        </is>
      </c>
      <c r="G565" t="inlineStr">
        <is>
          <t>KRISTIANSTAD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46301</v>
      </c>
      <c r="F566" t="inlineStr">
        <is>
          <t>SKÅNE LÄN</t>
        </is>
      </c>
      <c r="G566" t="inlineStr">
        <is>
          <t>KRISTIANSTAD</t>
        </is>
      </c>
      <c r="I566" t="n">
        <v>11.1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45668</v>
      </c>
      <c r="E567" s="1" t="n">
        <v>46301</v>
      </c>
      <c r="F567" t="inlineStr">
        <is>
          <t>SKÅNE LÄN</t>
        </is>
      </c>
      <c r="G567" t="inlineStr">
        <is>
          <t>KRISTIANSTAD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38778-2022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44816</v>
      </c>
      <c r="E568" s="1" t="n">
        <v>46301</v>
      </c>
      <c r="F568" t="inlineStr">
        <is>
          <t>SKÅNE LÄN</t>
        </is>
      </c>
      <c r="G568" t="inlineStr">
        <is>
          <t>KRISTIANSTAD</t>
        </is>
      </c>
      <c r="I568" t="n">
        <v>17.1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41069-2023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45173</v>
      </c>
      <c r="E569" s="1" t="n">
        <v>46301</v>
      </c>
      <c r="F569" t="inlineStr">
        <is>
          <t>SKÅNE LÄN</t>
        </is>
      </c>
      <c r="G569" t="inlineStr">
        <is>
          <t>KRISTIANSTAD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45300</v>
      </c>
      <c r="E570" s="1" t="n">
        <v>46301</v>
      </c>
      <c r="F570" t="inlineStr">
        <is>
          <t>SKÅNE LÄN</t>
        </is>
      </c>
      <c r="G570" t="inlineStr">
        <is>
          <t>KRISTIANSTAD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45315</v>
      </c>
      <c r="E571" s="1" t="n">
        <v>46301</v>
      </c>
      <c r="F571" t="inlineStr">
        <is>
          <t>SKÅNE LÄN</t>
        </is>
      </c>
      <c r="G571" t="inlineStr">
        <is>
          <t>KRISTIANSTAD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2891-2024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45315</v>
      </c>
      <c r="E572" s="1" t="n">
        <v>46301</v>
      </c>
      <c r="F572" t="inlineStr">
        <is>
          <t>SKÅNE LÄN</t>
        </is>
      </c>
      <c r="G572" t="inlineStr">
        <is>
          <t>KRISTIANSTAD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8804-2025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46301</v>
      </c>
      <c r="F573" t="inlineStr">
        <is>
          <t>SKÅNE LÄN</t>
        </is>
      </c>
      <c r="G573" t="inlineStr">
        <is>
          <t>KRISTIANSTAD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45328</v>
      </c>
      <c r="E574" s="1" t="n">
        <v>46301</v>
      </c>
      <c r="F574" t="inlineStr">
        <is>
          <t>SKÅNE LÄN</t>
        </is>
      </c>
      <c r="G574" t="inlineStr">
        <is>
          <t>KRISTIANSTAD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39567-2022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44817</v>
      </c>
      <c r="E575" s="1" t="n">
        <v>46301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46301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45343</v>
      </c>
      <c r="E577" s="1" t="n">
        <v>46301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46301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46301</v>
      </c>
      <c r="F579" t="inlineStr">
        <is>
          <t>SKÅNE LÄN</t>
        </is>
      </c>
      <c r="G579" t="inlineStr">
        <is>
          <t>KRISTIANSTAD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48693-2022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44855</v>
      </c>
      <c r="E580" s="1" t="n">
        <v>46301</v>
      </c>
      <c r="F580" t="inlineStr">
        <is>
          <t>SKÅNE LÄN</t>
        </is>
      </c>
      <c r="G580" t="inlineStr">
        <is>
          <t>KRISTIANSTAD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27613-2024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46301</v>
      </c>
      <c r="F581" t="inlineStr">
        <is>
          <t>SKÅNE LÄN</t>
        </is>
      </c>
      <c r="G581" t="inlineStr">
        <is>
          <t>KRISTIANSTAD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8876-2024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45356</v>
      </c>
      <c r="E582" s="1" t="n">
        <v>46301</v>
      </c>
      <c r="F582" t="inlineStr">
        <is>
          <t>SKÅNE LÄN</t>
        </is>
      </c>
      <c r="G582" t="inlineStr">
        <is>
          <t>KRISTIANSTAD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29169-2026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46202</v>
      </c>
      <c r="E583" s="1" t="n">
        <v>46301</v>
      </c>
      <c r="F583" t="inlineStr">
        <is>
          <t>SKÅNE LÄN</t>
        </is>
      </c>
      <c r="G583" t="inlineStr">
        <is>
          <t>KRISTIANSTAD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44961</v>
      </c>
      <c r="E584" s="1" t="n">
        <v>46301</v>
      </c>
      <c r="F584" t="inlineStr">
        <is>
          <t>SKÅNE LÄN</t>
        </is>
      </c>
      <c r="G584" t="inlineStr">
        <is>
          <t>KRISTIANSTAD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59625-2022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44907</v>
      </c>
      <c r="E585" s="1" t="n">
        <v>46301</v>
      </c>
      <c r="F585" t="inlineStr">
        <is>
          <t>SKÅNE LÄN</t>
        </is>
      </c>
      <c r="G585" t="inlineStr">
        <is>
          <t>KRISTIANSTAD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5590-2022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44595</v>
      </c>
      <c r="E586" s="1" t="n">
        <v>46301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61198-2021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44497</v>
      </c>
      <c r="E587" s="1" t="n">
        <v>46301</v>
      </c>
      <c r="F587" t="inlineStr">
        <is>
          <t>SKÅNE LÄN</t>
        </is>
      </c>
      <c r="G587" t="inlineStr">
        <is>
          <t>KRISTIANSTAD</t>
        </is>
      </c>
      <c r="I587" t="n">
        <v>13.8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62350-2023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45267</v>
      </c>
      <c r="E588" s="1" t="n">
        <v>46301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45282</v>
      </c>
      <c r="E589" s="1" t="n">
        <v>46301</v>
      </c>
      <c r="F589" t="inlineStr">
        <is>
          <t>SKÅNE LÄN</t>
        </is>
      </c>
      <c r="G589" t="inlineStr">
        <is>
          <t>KRISTIANSTAD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45301</v>
      </c>
      <c r="E590" s="1" t="n">
        <v>46301</v>
      </c>
      <c r="F590" t="inlineStr">
        <is>
          <t>SKÅNE LÄN</t>
        </is>
      </c>
      <c r="G590" t="inlineStr">
        <is>
          <t>KRISTIANSTAD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16527-2026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46301</v>
      </c>
      <c r="F591" t="inlineStr">
        <is>
          <t>SKÅNE LÄN</t>
        </is>
      </c>
      <c r="G591" t="inlineStr">
        <is>
          <t>KRISTIANSTAD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61550-2023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45265</v>
      </c>
      <c r="E592" s="1" t="n">
        <v>46301</v>
      </c>
      <c r="F592" t="inlineStr">
        <is>
          <t>SKÅNE LÄN</t>
        </is>
      </c>
      <c r="G592" t="inlineStr">
        <is>
          <t>KRISTIANSTAD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45226</v>
      </c>
      <c r="E593" s="1" t="n">
        <v>46301</v>
      </c>
      <c r="F593" t="inlineStr">
        <is>
          <t>SKÅNE LÄN</t>
        </is>
      </c>
      <c r="G593" t="inlineStr">
        <is>
          <t>KRISTIANSTAD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45405</v>
      </c>
      <c r="E594" s="1" t="n">
        <v>46301</v>
      </c>
      <c r="F594" t="inlineStr">
        <is>
          <t>SKÅNE LÄN</t>
        </is>
      </c>
      <c r="G594" t="inlineStr">
        <is>
          <t>KRISTIANSTAD</t>
        </is>
      </c>
      <c r="I594" t="n">
        <v>12.2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46515-2022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44847</v>
      </c>
      <c r="E595" s="1" t="n">
        <v>46301</v>
      </c>
      <c r="F595" t="inlineStr">
        <is>
          <t>SKÅNE LÄN</t>
        </is>
      </c>
      <c r="G595" t="inlineStr">
        <is>
          <t>KRISTIANSTAD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59597-2023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46301</v>
      </c>
      <c r="F596" t="inlineStr">
        <is>
          <t>SKÅNE LÄN</t>
        </is>
      </c>
      <c r="G596" t="inlineStr">
        <is>
          <t>KRISTIANSTAD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45191</v>
      </c>
      <c r="E597" s="1" t="n">
        <v>46301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61878-2024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45652</v>
      </c>
      <c r="E598" s="1" t="n">
        <v>46301</v>
      </c>
      <c r="F598" t="inlineStr">
        <is>
          <t>SKÅNE LÄN</t>
        </is>
      </c>
      <c r="G598" t="inlineStr">
        <is>
          <t>KRISTIANSTAD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30811-2026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46212</v>
      </c>
      <c r="E599" s="1" t="n">
        <v>46301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30851-2026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46212</v>
      </c>
      <c r="E600" s="1" t="n">
        <v>46301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31038-2026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46214</v>
      </c>
      <c r="E601" s="1" t="n">
        <v>46301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65097-2021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44513</v>
      </c>
      <c r="E602" s="1" t="n">
        <v>46301</v>
      </c>
      <c r="F602" t="inlineStr">
        <is>
          <t>SKÅNE LÄN</t>
        </is>
      </c>
      <c r="G602" t="inlineStr">
        <is>
          <t>KRISTIANSTAD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46301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46212</v>
      </c>
      <c r="E604" s="1" t="n">
        <v>46301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46301</v>
      </c>
      <c r="F605" t="inlineStr">
        <is>
          <t>SKÅNE LÄN</t>
        </is>
      </c>
      <c r="G605" t="inlineStr">
        <is>
          <t>KRISTIANSTAD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63561-2023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45274</v>
      </c>
      <c r="E606" s="1" t="n">
        <v>46301</v>
      </c>
      <c r="F606" t="inlineStr">
        <is>
          <t>SKÅNE LÄN</t>
        </is>
      </c>
      <c r="G606" t="inlineStr">
        <is>
          <t>KRISTIANSTAD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31219-2026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46217</v>
      </c>
      <c r="E607" s="1" t="n">
        <v>46301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46301</v>
      </c>
      <c r="F608" t="inlineStr">
        <is>
          <t>SKÅNE LÄN</t>
        </is>
      </c>
      <c r="G608" t="inlineStr">
        <is>
          <t>KRISTIANSTAD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42916-2024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45566</v>
      </c>
      <c r="E609" s="1" t="n">
        <v>46301</v>
      </c>
      <c r="F609" t="inlineStr">
        <is>
          <t>SKÅNE LÄN</t>
        </is>
      </c>
      <c r="G609" t="inlineStr">
        <is>
          <t>KRISTIANSTAD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44972</v>
      </c>
      <c r="E610" s="1" t="n">
        <v>46301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46261</v>
      </c>
      <c r="E611" s="1" t="n">
        <v>46301</v>
      </c>
      <c r="F611" t="inlineStr">
        <is>
          <t>SKÅNE LÄN</t>
        </is>
      </c>
      <c r="G611" t="inlineStr">
        <is>
          <t>KRISTIANSTAD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31292-2026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46218</v>
      </c>
      <c r="E612" s="1" t="n">
        <v>46301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44601</v>
      </c>
      <c r="E613" s="1" t="n">
        <v>46301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44998</v>
      </c>
      <c r="E614" s="1" t="n">
        <v>46301</v>
      </c>
      <c r="F614" t="inlineStr">
        <is>
          <t>SKÅNE LÄN</t>
        </is>
      </c>
      <c r="G614" t="inlineStr">
        <is>
          <t>KRISTIANSTAD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45072</v>
      </c>
      <c r="E615" s="1" t="n">
        <v>46301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47652-2023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45198</v>
      </c>
      <c r="E616" s="1" t="n">
        <v>46301</v>
      </c>
      <c r="F616" t="inlineStr">
        <is>
          <t>SKÅNE LÄN</t>
        </is>
      </c>
      <c r="G616" t="inlineStr">
        <is>
          <t>KRISTIANSTAD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46301</v>
      </c>
      <c r="F617" t="inlineStr">
        <is>
          <t>SKÅNE LÄN</t>
        </is>
      </c>
      <c r="G617" t="inlineStr">
        <is>
          <t>KRISTIANSTAD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45233</v>
      </c>
      <c r="E618" s="1" t="n">
        <v>46301</v>
      </c>
      <c r="F618" t="inlineStr">
        <is>
          <t>SKÅNE LÄN</t>
        </is>
      </c>
      <c r="G618" t="inlineStr">
        <is>
          <t>KRISTIANSTAD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46223</v>
      </c>
      <c r="E619" s="1" t="n">
        <v>46301</v>
      </c>
      <c r="F619" t="inlineStr">
        <is>
          <t>SKÅNE LÄN</t>
        </is>
      </c>
      <c r="G619" t="inlineStr">
        <is>
          <t>KRISTIANSTAD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45331</v>
      </c>
      <c r="E620" s="1" t="n">
        <v>46301</v>
      </c>
      <c r="F620" t="inlineStr">
        <is>
          <t>SKÅNE LÄN</t>
        </is>
      </c>
      <c r="G620" t="inlineStr">
        <is>
          <t>KRISTIANSTAD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45343</v>
      </c>
      <c r="E621" s="1" t="n">
        <v>46301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27979-2024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45476</v>
      </c>
      <c r="E622" s="1" t="n">
        <v>46301</v>
      </c>
      <c r="F622" t="inlineStr">
        <is>
          <t>SKÅNE LÄN</t>
        </is>
      </c>
      <c r="G622" t="inlineStr">
        <is>
          <t>KRISTIANSTAD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46222</v>
      </c>
      <c r="E623" s="1" t="n">
        <v>46301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49239-2022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44858</v>
      </c>
      <c r="E624" s="1" t="n">
        <v>46301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44572</v>
      </c>
      <c r="E625" s="1" t="n">
        <v>46301</v>
      </c>
      <c r="F625" t="inlineStr">
        <is>
          <t>SKÅNE LÄN</t>
        </is>
      </c>
      <c r="G625" t="inlineStr">
        <is>
          <t>KRISTIANSTAD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25450-2022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44732</v>
      </c>
      <c r="E626" s="1" t="n">
        <v>46301</v>
      </c>
      <c r="F626" t="inlineStr">
        <is>
          <t>SKÅNE LÄN</t>
        </is>
      </c>
      <c r="G626" t="inlineStr">
        <is>
          <t>KRISTIANSTAD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27957-2022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44743</v>
      </c>
      <c r="E627" s="1" t="n">
        <v>46301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30845-2022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44767</v>
      </c>
      <c r="E628" s="1" t="n">
        <v>46301</v>
      </c>
      <c r="F628" t="inlineStr">
        <is>
          <t>SKÅNE LÄN</t>
        </is>
      </c>
      <c r="G628" t="inlineStr">
        <is>
          <t>KRISTIANSTAD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45229</v>
      </c>
      <c r="E629" s="1" t="n">
        <v>46301</v>
      </c>
      <c r="F629" t="inlineStr">
        <is>
          <t>SKÅNE LÄN</t>
        </is>
      </c>
      <c r="G629" t="inlineStr">
        <is>
          <t>KRISTIANSTAD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53466-2022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44879</v>
      </c>
      <c r="E630" s="1" t="n">
        <v>46301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46271</v>
      </c>
      <c r="E631" s="1" t="n">
        <v>46301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9794-2023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44984</v>
      </c>
      <c r="E632" s="1" t="n">
        <v>46301</v>
      </c>
      <c r="F632" t="inlineStr">
        <is>
          <t>SKÅNE LÄN</t>
        </is>
      </c>
      <c r="G632" t="inlineStr">
        <is>
          <t>KRISTIANSTAD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46301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62156-2022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46301</v>
      </c>
      <c r="F634" t="inlineStr">
        <is>
          <t>SKÅNE LÄN</t>
        </is>
      </c>
      <c r="G634" t="inlineStr">
        <is>
          <t>KRISTIANSTAD</t>
        </is>
      </c>
      <c r="H634" t="inlineStr">
        <is>
          <t>Kyrkan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45465</v>
      </c>
      <c r="E635" s="1" t="n">
        <v>46301</v>
      </c>
      <c r="F635" t="inlineStr">
        <is>
          <t>SKÅNE LÄN</t>
        </is>
      </c>
      <c r="G635" t="inlineStr">
        <is>
          <t>KRISTIANSTAD</t>
        </is>
      </c>
      <c r="I635" t="n">
        <v>9.800000000000001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30749-2024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45496</v>
      </c>
      <c r="E636" s="1" t="n">
        <v>46301</v>
      </c>
      <c r="F636" t="inlineStr">
        <is>
          <t>SKÅNE LÄN</t>
        </is>
      </c>
      <c r="G636" t="inlineStr">
        <is>
          <t>KRISTIANSTAD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46271</v>
      </c>
      <c r="E637" s="1" t="n">
        <v>46301</v>
      </c>
      <c r="F637" t="inlineStr">
        <is>
          <t>SKÅNE LÄN</t>
        </is>
      </c>
      <c r="G637" t="inlineStr">
        <is>
          <t>KRISTIANSTAD</t>
        </is>
      </c>
      <c r="H637" t="inlineStr">
        <is>
          <t>Övriga Aktiebolag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52064-2024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45608</v>
      </c>
      <c r="E638" s="1" t="n">
        <v>46301</v>
      </c>
      <c r="F638" t="inlineStr">
        <is>
          <t>SKÅNE LÄN</t>
        </is>
      </c>
      <c r="G638" t="inlineStr">
        <is>
          <t>KRISTIANSTAD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45426</v>
      </c>
      <c r="E639" s="1" t="n">
        <v>46301</v>
      </c>
      <c r="F639" t="inlineStr">
        <is>
          <t>SKÅNE LÄN</t>
        </is>
      </c>
      <c r="G639" t="inlineStr">
        <is>
          <t>KRISTIANSTAD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26827-2024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45470</v>
      </c>
      <c r="E640" s="1" t="n">
        <v>46301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53982-2022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44876</v>
      </c>
      <c r="E641" s="1" t="n">
        <v>46301</v>
      </c>
      <c r="F641" t="inlineStr">
        <is>
          <t>SKÅNE LÄN</t>
        </is>
      </c>
      <c r="G641" t="inlineStr">
        <is>
          <t>KRISTIANSTAD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46135</v>
      </c>
      <c r="E642" s="1" t="n">
        <v>46301</v>
      </c>
      <c r="F642" t="inlineStr">
        <is>
          <t>SKÅNE LÄN</t>
        </is>
      </c>
      <c r="G642" t="inlineStr">
        <is>
          <t>KRISTIANSTAD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44684</v>
      </c>
      <c r="E643" s="1" t="n">
        <v>46301</v>
      </c>
      <c r="F643" t="inlineStr">
        <is>
          <t>SKÅNE LÄN</t>
        </is>
      </c>
      <c r="G643" t="inlineStr">
        <is>
          <t>KRISTIANSTAD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36833-2026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46272</v>
      </c>
      <c r="E644" s="1" t="n">
        <v>46301</v>
      </c>
      <c r="F644" t="inlineStr">
        <is>
          <t>SKÅNE LÄN</t>
        </is>
      </c>
      <c r="G644" t="inlineStr">
        <is>
          <t>KRISTIANSTAD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46301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44628</v>
      </c>
      <c r="E646" s="1" t="n">
        <v>46301</v>
      </c>
      <c r="F646" t="inlineStr">
        <is>
          <t>SKÅNE LÄN</t>
        </is>
      </c>
      <c r="G646" t="inlineStr">
        <is>
          <t>KRISTIANSTAD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46301</v>
      </c>
      <c r="F647" t="inlineStr">
        <is>
          <t>SKÅNE LÄN</t>
        </is>
      </c>
      <c r="G647" t="inlineStr">
        <is>
          <t>KRISTIANSTAD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17025-2025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45755</v>
      </c>
      <c r="E648" s="1" t="n">
        <v>46301</v>
      </c>
      <c r="F648" t="inlineStr">
        <is>
          <t>SKÅNE LÄN</t>
        </is>
      </c>
      <c r="G648" t="inlineStr">
        <is>
          <t>KRISTIANSTAD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46276</v>
      </c>
      <c r="E649" s="1" t="n">
        <v>46301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37522-2026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46276</v>
      </c>
      <c r="E650" s="1" t="n">
        <v>46301</v>
      </c>
      <c r="F650" t="inlineStr">
        <is>
          <t>SKÅNE LÄN</t>
        </is>
      </c>
      <c r="G650" t="inlineStr">
        <is>
          <t>KRISTIANSTAD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45664</v>
      </c>
      <c r="E651" s="1" t="n">
        <v>46301</v>
      </c>
      <c r="F651" t="inlineStr">
        <is>
          <t>SKÅNE LÄN</t>
        </is>
      </c>
      <c r="G651" t="inlineStr">
        <is>
          <t>KRISTIANSTAD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46276</v>
      </c>
      <c r="E652" s="1" t="n">
        <v>46301</v>
      </c>
      <c r="F652" t="inlineStr">
        <is>
          <t>SKÅNE LÄN</t>
        </is>
      </c>
      <c r="G652" t="inlineStr">
        <is>
          <t>KRISTIANSTAD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46276</v>
      </c>
      <c r="E653" s="1" t="n">
        <v>46301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37525-2026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46276</v>
      </c>
      <c r="E654" s="1" t="n">
        <v>46301</v>
      </c>
      <c r="F654" t="inlineStr">
        <is>
          <t>SKÅNE LÄN</t>
        </is>
      </c>
      <c r="G654" t="inlineStr">
        <is>
          <t>KRISTIANSTAD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46301</v>
      </c>
      <c r="F655" t="inlineStr">
        <is>
          <t>SKÅNE LÄN</t>
        </is>
      </c>
      <c r="G655" t="inlineStr">
        <is>
          <t>KRISTIANSTAD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32263-2026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46301</v>
      </c>
      <c r="F656" t="inlineStr">
        <is>
          <t>SKÅNE LÄN</t>
        </is>
      </c>
      <c r="G656" t="inlineStr">
        <is>
          <t>KRISTIANSTAD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45310</v>
      </c>
      <c r="E657" s="1" t="n">
        <v>46301</v>
      </c>
      <c r="F657" t="inlineStr">
        <is>
          <t>SKÅNE LÄN</t>
        </is>
      </c>
      <c r="G657" t="inlineStr">
        <is>
          <t>KRISTIANSTAD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10971-2023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44991</v>
      </c>
      <c r="E658" s="1" t="n">
        <v>46301</v>
      </c>
      <c r="F658" t="inlineStr">
        <is>
          <t>SKÅNE LÄN</t>
        </is>
      </c>
      <c r="G658" t="inlineStr">
        <is>
          <t>KRISTIANSTAD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13431-2022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44645</v>
      </c>
      <c r="E659" s="1" t="n">
        <v>46301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46280</v>
      </c>
      <c r="E660" s="1" t="n">
        <v>46301</v>
      </c>
      <c r="F660" t="inlineStr">
        <is>
          <t>SKÅNE LÄN</t>
        </is>
      </c>
      <c r="G660" t="inlineStr">
        <is>
          <t>KRISTIANSTAD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1872-2024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45307</v>
      </c>
      <c r="E661" s="1" t="n">
        <v>46301</v>
      </c>
      <c r="F661" t="inlineStr">
        <is>
          <t>SKÅNE LÄN</t>
        </is>
      </c>
      <c r="G661" t="inlineStr">
        <is>
          <t>KRISTIANSTAD</t>
        </is>
      </c>
      <c r="H661" t="inlineStr">
        <is>
          <t>Övriga Aktiebolag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24947-2023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45085</v>
      </c>
      <c r="E662" s="1" t="n">
        <v>46301</v>
      </c>
      <c r="F662" t="inlineStr">
        <is>
          <t>SKÅNE LÄN</t>
        </is>
      </c>
      <c r="G662" t="inlineStr">
        <is>
          <t>KRISTIANSTAD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19532-2023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45049</v>
      </c>
      <c r="E663" s="1" t="n">
        <v>46301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11010-2024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45370</v>
      </c>
      <c r="E664" s="1" t="n">
        <v>46301</v>
      </c>
      <c r="F664" t="inlineStr">
        <is>
          <t>SKÅNE LÄN</t>
        </is>
      </c>
      <c r="G664" t="inlineStr">
        <is>
          <t>KRISTIANSTAD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45370</v>
      </c>
      <c r="E665" s="1" t="n">
        <v>46301</v>
      </c>
      <c r="F665" t="inlineStr">
        <is>
          <t>SKÅNE LÄN</t>
        </is>
      </c>
      <c r="G665" t="inlineStr">
        <is>
          <t>KRISTIANSTAD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46301</v>
      </c>
      <c r="F666" t="inlineStr">
        <is>
          <t>SKÅNE LÄN</t>
        </is>
      </c>
      <c r="G666" t="inlineStr">
        <is>
          <t>KRISTIANSTAD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35026-2023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45144</v>
      </c>
      <c r="E667" s="1" t="n">
        <v>46301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46301</v>
      </c>
      <c r="F668" t="inlineStr">
        <is>
          <t>SKÅNE LÄN</t>
        </is>
      </c>
      <c r="G668" t="inlineStr">
        <is>
          <t>KRISTIANSTAD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33752-2024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46301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44945</v>
      </c>
      <c r="E670" s="1" t="n">
        <v>46301</v>
      </c>
      <c r="F670" t="inlineStr">
        <is>
          <t>SKÅNE LÄN</t>
        </is>
      </c>
      <c r="G670" t="inlineStr">
        <is>
          <t>KRISTIANSTAD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44963</v>
      </c>
      <c r="E671" s="1" t="n">
        <v>46301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45526</v>
      </c>
      <c r="E672" s="1" t="n">
        <v>46301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57987-2023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46301</v>
      </c>
      <c r="F673" t="inlineStr">
        <is>
          <t>SKÅNE LÄN</t>
        </is>
      </c>
      <c r="G673" t="inlineStr">
        <is>
          <t>KRISTIANSTAD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38719-2026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46284</v>
      </c>
      <c r="E674" s="1" t="n">
        <v>46301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60460-2023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45258</v>
      </c>
      <c r="E675" s="1" t="n">
        <v>46301</v>
      </c>
      <c r="F675" t="inlineStr">
        <is>
          <t>SKÅNE LÄN</t>
        </is>
      </c>
      <c r="G675" t="inlineStr">
        <is>
          <t>KRISTIANSTAD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31525-2023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45116</v>
      </c>
      <c r="E676" s="1" t="n">
        <v>46301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46095-2023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45190</v>
      </c>
      <c r="E677" s="1" t="n">
        <v>46301</v>
      </c>
      <c r="F677" t="inlineStr">
        <is>
          <t>SKÅNE LÄN</t>
        </is>
      </c>
      <c r="G677" t="inlineStr">
        <is>
          <t>KRISTIANSTAD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10748-2023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44984</v>
      </c>
      <c r="E678" s="1" t="n">
        <v>46301</v>
      </c>
      <c r="F678" t="inlineStr">
        <is>
          <t>SKÅNE LÄN</t>
        </is>
      </c>
      <c r="G678" t="inlineStr">
        <is>
          <t>KRISTIANSTAD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44579-2023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45189</v>
      </c>
      <c r="E679" s="1" t="n">
        <v>46301</v>
      </c>
      <c r="F679" t="inlineStr">
        <is>
          <t>SKÅNE LÄN</t>
        </is>
      </c>
      <c r="G679" t="inlineStr">
        <is>
          <t>KRISTIANSTAD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32714-2023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45121</v>
      </c>
      <c r="E680" s="1" t="n">
        <v>46301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31619-2024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45506</v>
      </c>
      <c r="E681" s="1" t="n">
        <v>46301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46301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39229-2026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46287</v>
      </c>
      <c r="E683" s="1" t="n">
        <v>46301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46301</v>
      </c>
      <c r="F684" t="inlineStr">
        <is>
          <t>SKÅNE LÄN</t>
        </is>
      </c>
      <c r="G684" t="inlineStr">
        <is>
          <t>KRISTIANSTAD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46271</v>
      </c>
      <c r="E685" s="1" t="n">
        <v>46301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1668-2024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45306</v>
      </c>
      <c r="E686" s="1" t="n">
        <v>46301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45182</v>
      </c>
      <c r="E687" s="1" t="n">
        <v>46301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15322-2023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45019</v>
      </c>
      <c r="E688" s="1" t="n">
        <v>46301</v>
      </c>
      <c r="F688" t="inlineStr">
        <is>
          <t>SKÅNE LÄN</t>
        </is>
      </c>
      <c r="G688" t="inlineStr">
        <is>
          <t>KRISTIANSTAD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46301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39232-2026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46287</v>
      </c>
      <c r="E690" s="1" t="n">
        <v>46301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39409-2026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46301</v>
      </c>
      <c r="F691" t="inlineStr">
        <is>
          <t>SKÅNE LÄN</t>
        </is>
      </c>
      <c r="G691" t="inlineStr">
        <is>
          <t>KRISTIANSTAD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36838-2026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46272</v>
      </c>
      <c r="E692" s="1" t="n">
        <v>46301</v>
      </c>
      <c r="F692" t="inlineStr">
        <is>
          <t>SKÅNE LÄN</t>
        </is>
      </c>
      <c r="G692" t="inlineStr">
        <is>
          <t>KRISTIANSTAD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36631-2026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46271</v>
      </c>
      <c r="E693" s="1" t="n">
        <v>46301</v>
      </c>
      <c r="F693" t="inlineStr">
        <is>
          <t>SKÅNE LÄN</t>
        </is>
      </c>
      <c r="G693" t="inlineStr">
        <is>
          <t>KRISTIANSTAD</t>
        </is>
      </c>
      <c r="H693" t="inlineStr">
        <is>
          <t>Övriga Aktiebolag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11272-2023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44992</v>
      </c>
      <c r="E694" s="1" t="n">
        <v>46301</v>
      </c>
      <c r="F694" t="inlineStr">
        <is>
          <t>SKÅNE LÄN</t>
        </is>
      </c>
      <c r="G694" t="inlineStr">
        <is>
          <t>KRISTIANSTAD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44933</v>
      </c>
      <c r="E695" s="1" t="n">
        <v>46301</v>
      </c>
      <c r="F695" t="inlineStr">
        <is>
          <t>SKÅNE LÄN</t>
        </is>
      </c>
      <c r="G695" t="inlineStr">
        <is>
          <t>KRISTIANSTAD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46523-2023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45197</v>
      </c>
      <c r="E696" s="1" t="n">
        <v>46301</v>
      </c>
      <c r="F696" t="inlineStr">
        <is>
          <t>SKÅNE LÄN</t>
        </is>
      </c>
      <c r="G696" t="inlineStr">
        <is>
          <t>KRISTIANSTAD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36160-2023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45149</v>
      </c>
      <c r="E697" s="1" t="n">
        <v>46301</v>
      </c>
      <c r="F697" t="inlineStr">
        <is>
          <t>SKÅNE LÄN</t>
        </is>
      </c>
      <c r="G697" t="inlineStr">
        <is>
          <t>KRISTIANSTAD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46301</v>
      </c>
      <c r="F698" t="inlineStr">
        <is>
          <t>SKÅNE LÄN</t>
        </is>
      </c>
      <c r="G698" t="inlineStr">
        <is>
          <t>KRISTIANSTAD</t>
        </is>
      </c>
      <c r="H698" t="inlineStr">
        <is>
          <t>Kyrkan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61701-2024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45648</v>
      </c>
      <c r="E699" s="1" t="n">
        <v>46301</v>
      </c>
      <c r="F699" t="inlineStr">
        <is>
          <t>SKÅNE LÄN</t>
        </is>
      </c>
      <c r="G699" t="inlineStr">
        <is>
          <t>KRISTIANSTAD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46301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27402-2026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46189</v>
      </c>
      <c r="E701" s="1" t="n">
        <v>46301</v>
      </c>
      <c r="F701" t="inlineStr">
        <is>
          <t>SKÅNE LÄN</t>
        </is>
      </c>
      <c r="G701" t="inlineStr">
        <is>
          <t>KRISTIANSTAD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45467</v>
      </c>
      <c r="E702" s="1" t="n">
        <v>46301</v>
      </c>
      <c r="F702" t="inlineStr">
        <is>
          <t>SKÅNE LÄN</t>
        </is>
      </c>
      <c r="G702" t="inlineStr">
        <is>
          <t>KRISTIANSTAD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31374-2022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44774</v>
      </c>
      <c r="E703" s="1" t="n">
        <v>46301</v>
      </c>
      <c r="F703" t="inlineStr">
        <is>
          <t>SKÅNE LÄN</t>
        </is>
      </c>
      <c r="G703" t="inlineStr">
        <is>
          <t>KRISTIANSTAD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50516-2022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44866</v>
      </c>
      <c r="E704" s="1" t="n">
        <v>46301</v>
      </c>
      <c r="F704" t="inlineStr">
        <is>
          <t>SKÅNE LÄN</t>
        </is>
      </c>
      <c r="G704" t="inlineStr">
        <is>
          <t>KRISTIANSTAD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45334</v>
      </c>
      <c r="E705" s="1" t="n">
        <v>46301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46244</v>
      </c>
      <c r="E706" s="1" t="n">
        <v>46301</v>
      </c>
      <c r="F706" t="inlineStr">
        <is>
          <t>SKÅNE LÄN</t>
        </is>
      </c>
      <c r="G706" t="inlineStr">
        <is>
          <t>KRISTIANSTAD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4248-2025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45685</v>
      </c>
      <c r="E707" s="1" t="n">
        <v>46301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13954-2025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45737</v>
      </c>
      <c r="E708" s="1" t="n">
        <v>46301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28442-2024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45477</v>
      </c>
      <c r="E709" s="1" t="n">
        <v>46301</v>
      </c>
      <c r="F709" t="inlineStr">
        <is>
          <t>SKÅNE LÄN</t>
        </is>
      </c>
      <c r="G709" t="inlineStr">
        <is>
          <t>KRISTIANSTAD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13952-2025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45737</v>
      </c>
      <c r="E710" s="1" t="n">
        <v>46301</v>
      </c>
      <c r="F710" t="inlineStr">
        <is>
          <t>SKÅNE LÄN</t>
        </is>
      </c>
      <c r="G710" t="inlineStr">
        <is>
          <t>KRISTIANSTAD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13974-2025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45738</v>
      </c>
      <c r="E711" s="1" t="n">
        <v>46301</v>
      </c>
      <c r="F711" t="inlineStr">
        <is>
          <t>SKÅNE LÄN</t>
        </is>
      </c>
      <c r="G711" t="inlineStr">
        <is>
          <t>KRISTIANSTAD</t>
        </is>
      </c>
      <c r="I711" t="n">
        <v>11.3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39743-2026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46301</v>
      </c>
      <c r="F712" t="inlineStr">
        <is>
          <t>SKÅNE LÄN</t>
        </is>
      </c>
      <c r="G712" t="inlineStr">
        <is>
          <t>KRISTIANSTAD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12615-2023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45000</v>
      </c>
      <c r="E713" s="1" t="n">
        <v>46301</v>
      </c>
      <c r="F713" t="inlineStr">
        <is>
          <t>SKÅNE LÄN</t>
        </is>
      </c>
      <c r="G713" t="inlineStr">
        <is>
          <t>KRISTIANSTAD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60997-2024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45644</v>
      </c>
      <c r="E714" s="1" t="n">
        <v>46301</v>
      </c>
      <c r="F714" t="inlineStr">
        <is>
          <t>SKÅNE LÄN</t>
        </is>
      </c>
      <c r="G714" t="inlineStr">
        <is>
          <t>KRISTIANSTAD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40145-2024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45554</v>
      </c>
      <c r="E715" s="1" t="n">
        <v>46301</v>
      </c>
      <c r="F715" t="inlineStr">
        <is>
          <t>SKÅNE LÄN</t>
        </is>
      </c>
      <c r="G715" t="inlineStr">
        <is>
          <t>KRISTIANSTAD</t>
        </is>
      </c>
      <c r="I715" t="n">
        <v>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7018-2024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45343</v>
      </c>
      <c r="E716" s="1" t="n">
        <v>46301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30220-2024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45490</v>
      </c>
      <c r="E717" s="1" t="n">
        <v>46301</v>
      </c>
      <c r="F717" t="inlineStr">
        <is>
          <t>SKÅNE LÄN</t>
        </is>
      </c>
      <c r="G717" t="inlineStr">
        <is>
          <t>KRISTIANSTAD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40300-2024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45554</v>
      </c>
      <c r="E718" s="1" t="n">
        <v>46301</v>
      </c>
      <c r="F718" t="inlineStr">
        <is>
          <t>SKÅNE LÄN</t>
        </is>
      </c>
      <c r="G718" t="inlineStr">
        <is>
          <t>KRISTIANSTAD</t>
        </is>
      </c>
      <c r="I718" t="n">
        <v>12.6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33702-2026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46250</v>
      </c>
      <c r="E719" s="1" t="n">
        <v>46301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13263-2024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45386</v>
      </c>
      <c r="E720" s="1" t="n">
        <v>46301</v>
      </c>
      <c r="F720" t="inlineStr">
        <is>
          <t>SKÅNE LÄN</t>
        </is>
      </c>
      <c r="G720" t="inlineStr">
        <is>
          <t>KRISTIANSTAD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45134</v>
      </c>
      <c r="E721" s="1" t="n">
        <v>46301</v>
      </c>
      <c r="F721" t="inlineStr">
        <is>
          <t>SKÅNE LÄN</t>
        </is>
      </c>
      <c r="G721" t="inlineStr">
        <is>
          <t>KRISTIANSTAD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32156-2023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45106</v>
      </c>
      <c r="E722" s="1" t="n">
        <v>46301</v>
      </c>
      <c r="F722" t="inlineStr">
        <is>
          <t>SKÅNE LÄN</t>
        </is>
      </c>
      <c r="G722" t="inlineStr">
        <is>
          <t>KRISTIANSTAD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39558-2026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46289</v>
      </c>
      <c r="E723" s="1" t="n">
        <v>46301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45609-2023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45194</v>
      </c>
      <c r="E724" s="1" t="n">
        <v>46301</v>
      </c>
      <c r="F724" t="inlineStr">
        <is>
          <t>SKÅNE LÄN</t>
        </is>
      </c>
      <c r="G724" t="inlineStr">
        <is>
          <t>KRISTIANSTAD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33701-2026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46250</v>
      </c>
      <c r="E725" s="1" t="n">
        <v>46301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37999-2024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45544</v>
      </c>
      <c r="E726" s="1" t="n">
        <v>46301</v>
      </c>
      <c r="F726" t="inlineStr">
        <is>
          <t>SKÅNE LÄN</t>
        </is>
      </c>
      <c r="G726" t="inlineStr">
        <is>
          <t>KRISTIANSTAD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12134-2024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46301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36842-2026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46301</v>
      </c>
      <c r="F728" t="inlineStr">
        <is>
          <t>SKÅNE LÄN</t>
        </is>
      </c>
      <c r="G728" t="inlineStr">
        <is>
          <t>KRISTIANSTAD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10062-2024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45364</v>
      </c>
      <c r="E729" s="1" t="n">
        <v>46301</v>
      </c>
      <c r="F729" t="inlineStr">
        <is>
          <t>SKÅNE LÄN</t>
        </is>
      </c>
      <c r="G729" t="inlineStr">
        <is>
          <t>KRISTIANSTAD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61348-2024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45646</v>
      </c>
      <c r="E730" s="1" t="n">
        <v>46301</v>
      </c>
      <c r="F730" t="inlineStr">
        <is>
          <t>SKÅNE LÄN</t>
        </is>
      </c>
      <c r="G730" t="inlineStr">
        <is>
          <t>KRISTIANSTAD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46301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45776</v>
      </c>
      <c r="E732" s="1" t="n">
        <v>46301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40785-2026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46295</v>
      </c>
      <c r="E733" s="1" t="n">
        <v>46301</v>
      </c>
      <c r="F733" t="inlineStr">
        <is>
          <t>SKÅNE LÄN</t>
        </is>
      </c>
      <c r="G733" t="inlineStr">
        <is>
          <t>KRISTIANSTAD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45443</v>
      </c>
      <c r="E734" s="1" t="n">
        <v>46301</v>
      </c>
      <c r="F734" t="inlineStr">
        <is>
          <t>SKÅNE LÄN</t>
        </is>
      </c>
      <c r="G734" t="inlineStr">
        <is>
          <t>KRISTIANSTAD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40835-2026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46296</v>
      </c>
      <c r="E735" s="1" t="n">
        <v>46301</v>
      </c>
      <c r="F735" t="inlineStr">
        <is>
          <t>SKÅNE LÄN</t>
        </is>
      </c>
      <c r="G735" t="inlineStr">
        <is>
          <t>KRISTIANSTAD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61137-2021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44497</v>
      </c>
      <c r="E736" s="1" t="n">
        <v>46301</v>
      </c>
      <c r="F736" t="inlineStr">
        <is>
          <t>SKÅNE LÄN</t>
        </is>
      </c>
      <c r="G736" t="inlineStr">
        <is>
          <t>KRISTIANSTAD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52176-2023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45217</v>
      </c>
      <c r="E737" s="1" t="n">
        <v>46301</v>
      </c>
      <c r="F737" t="inlineStr">
        <is>
          <t>SKÅNE LÄN</t>
        </is>
      </c>
      <c r="G737" t="inlineStr">
        <is>
          <t>KRISTIANSTAD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9002-2024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45357</v>
      </c>
      <c r="E738" s="1" t="n">
        <v>46301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34293-2026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46253</v>
      </c>
      <c r="E739" s="1" t="n">
        <v>46301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34294-2026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46253</v>
      </c>
      <c r="E740" s="1" t="n">
        <v>46301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55961-2023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45233</v>
      </c>
      <c r="E741" s="1" t="n">
        <v>46301</v>
      </c>
      <c r="F741" t="inlineStr">
        <is>
          <t>SKÅNE LÄN</t>
        </is>
      </c>
      <c r="G741" t="inlineStr">
        <is>
          <t>KRISTIANSTAD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45414</v>
      </c>
      <c r="E742" s="1" t="n">
        <v>46301</v>
      </c>
      <c r="F742" t="inlineStr">
        <is>
          <t>SKÅNE LÄN</t>
        </is>
      </c>
      <c r="G742" t="inlineStr">
        <is>
          <t>KRISTIANSTAD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11037-2024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45370</v>
      </c>
      <c r="E743" s="1" t="n">
        <v>46301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34159-2026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46253</v>
      </c>
      <c r="E744" s="1" t="n">
        <v>46301</v>
      </c>
      <c r="F744" t="inlineStr">
        <is>
          <t>SKÅNE LÄN</t>
        </is>
      </c>
      <c r="G744" t="inlineStr">
        <is>
          <t>KRISTIANSTAD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62295-2025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46006</v>
      </c>
      <c r="E745" s="1" t="n">
        <v>46301</v>
      </c>
      <c r="F745" t="inlineStr">
        <is>
          <t>SKÅNE LÄN</t>
        </is>
      </c>
      <c r="G745" t="inlineStr">
        <is>
          <t>KRISTIANSTAD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44538-2024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46301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45015</v>
      </c>
      <c r="E747" s="1" t="n">
        <v>46301</v>
      </c>
      <c r="F747" t="inlineStr">
        <is>
          <t>SKÅNE LÄN</t>
        </is>
      </c>
      <c r="G747" t="inlineStr">
        <is>
          <t>KRISTIANSTAD</t>
        </is>
      </c>
      <c r="H747" t="inlineStr">
        <is>
          <t>Kyrkan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34930-2026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46256</v>
      </c>
      <c r="E748" s="1" t="n">
        <v>46301</v>
      </c>
      <c r="F748" t="inlineStr">
        <is>
          <t>SKÅNE LÄN</t>
        </is>
      </c>
      <c r="G748" t="inlineStr">
        <is>
          <t>KRISTIANSTAD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6858-2025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45700</v>
      </c>
      <c r="E749" s="1" t="n">
        <v>46301</v>
      </c>
      <c r="F749" t="inlineStr">
        <is>
          <t>SKÅNE LÄN</t>
        </is>
      </c>
      <c r="G749" t="inlineStr">
        <is>
          <t>KRISTIANSTAD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51248-2024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45603</v>
      </c>
      <c r="E750" s="1" t="n">
        <v>46301</v>
      </c>
      <c r="F750" t="inlineStr">
        <is>
          <t>SKÅNE LÄN</t>
        </is>
      </c>
      <c r="G750" t="inlineStr">
        <is>
          <t>KRISTIANSTAD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41090-2026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46300</v>
      </c>
      <c r="E751" s="1" t="n">
        <v>46301</v>
      </c>
      <c r="F751" t="inlineStr">
        <is>
          <t>SKÅNE LÄN</t>
        </is>
      </c>
      <c r="G751" t="inlineStr">
        <is>
          <t>KRISTIANSTAD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43321-2023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45183</v>
      </c>
      <c r="E752" s="1" t="n">
        <v>46301</v>
      </c>
      <c r="F752" t="inlineStr">
        <is>
          <t>SKÅNE LÄN</t>
        </is>
      </c>
      <c r="G752" t="inlineStr">
        <is>
          <t>KRISTIANSTAD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41092-2026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46301</v>
      </c>
      <c r="F753" t="inlineStr">
        <is>
          <t>SKÅNE LÄN</t>
        </is>
      </c>
      <c r="G753" t="inlineStr">
        <is>
          <t>KRISTIANSTAD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41093-2026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46301</v>
      </c>
      <c r="F754" t="inlineStr">
        <is>
          <t>SKÅNE LÄN</t>
        </is>
      </c>
      <c r="G754" t="inlineStr">
        <is>
          <t>KRISTIANSTAD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32990-2024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45517</v>
      </c>
      <c r="E755" s="1" t="n">
        <v>46301</v>
      </c>
      <c r="F755" t="inlineStr">
        <is>
          <t>SKÅNE LÄN</t>
        </is>
      </c>
      <c r="G755" t="inlineStr">
        <is>
          <t>KRISTIANSTAD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46300</v>
      </c>
      <c r="E756" s="1" t="n">
        <v>46301</v>
      </c>
      <c r="F756" t="inlineStr">
        <is>
          <t>SKÅNE LÄN</t>
        </is>
      </c>
      <c r="G756" t="inlineStr">
        <is>
          <t>KRISTIANSTAD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41082-2026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46300</v>
      </c>
      <c r="E757" s="1" t="n">
        <v>46301</v>
      </c>
      <c r="F757" t="inlineStr">
        <is>
          <t>SKÅNE LÄN</t>
        </is>
      </c>
      <c r="G757" t="inlineStr">
        <is>
          <t>KRISTIANSTAD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30893-2024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45498</v>
      </c>
      <c r="E758" s="1" t="n">
        <v>46301</v>
      </c>
      <c r="F758" t="inlineStr">
        <is>
          <t>SKÅNE LÄN</t>
        </is>
      </c>
      <c r="G758" t="inlineStr">
        <is>
          <t>KRISTIANSTAD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34783-2026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46301</v>
      </c>
      <c r="F759" t="inlineStr">
        <is>
          <t>SKÅNE LÄN</t>
        </is>
      </c>
      <c r="G759" t="inlineStr">
        <is>
          <t>KRISTIANSTAD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24303-2025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45797</v>
      </c>
      <c r="E760" s="1" t="n">
        <v>46301</v>
      </c>
      <c r="F760" t="inlineStr">
        <is>
          <t>SKÅNE LÄN</t>
        </is>
      </c>
      <c r="G760" t="inlineStr">
        <is>
          <t>KRISTIANSTAD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35937-2024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45533</v>
      </c>
      <c r="E761" s="1" t="n">
        <v>46301</v>
      </c>
      <c r="F761" t="inlineStr">
        <is>
          <t>SKÅNE LÄN</t>
        </is>
      </c>
      <c r="G761" t="inlineStr">
        <is>
          <t>KRISTIANSTAD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27561-2026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46190</v>
      </c>
      <c r="E762" s="1" t="n">
        <v>46301</v>
      </c>
      <c r="F762" t="inlineStr">
        <is>
          <t>SKÅNE LÄN</t>
        </is>
      </c>
      <c r="G762" t="inlineStr">
        <is>
          <t>KRISTIANSTAD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1660-2025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45670</v>
      </c>
      <c r="E763" s="1" t="n">
        <v>46301</v>
      </c>
      <c r="F763" t="inlineStr">
        <is>
          <t>SKÅNE LÄN</t>
        </is>
      </c>
      <c r="G763" t="inlineStr">
        <is>
          <t>KRISTIANSTAD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24798-2025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45799</v>
      </c>
      <c r="E764" s="1" t="n">
        <v>46301</v>
      </c>
      <c r="F764" t="inlineStr">
        <is>
          <t>SKÅNE LÄN</t>
        </is>
      </c>
      <c r="G764" t="inlineStr">
        <is>
          <t>KRISTIANSTAD</t>
        </is>
      </c>
      <c r="H764" t="inlineStr">
        <is>
          <t>Övriga Aktiebolag</t>
        </is>
      </c>
      <c r="I764" t="n">
        <v>10.1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61703-2024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45648</v>
      </c>
      <c r="E765" s="1" t="n">
        <v>46301</v>
      </c>
      <c r="F765" t="inlineStr">
        <is>
          <t>SKÅNE LÄN</t>
        </is>
      </c>
      <c r="G765" t="inlineStr">
        <is>
          <t>KRISTIANSTAD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39944-2024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45553</v>
      </c>
      <c r="E766" s="1" t="n">
        <v>46301</v>
      </c>
      <c r="F766" t="inlineStr">
        <is>
          <t>SKÅNE LÄN</t>
        </is>
      </c>
      <c r="G766" t="inlineStr">
        <is>
          <t>KRISTIANSTAD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25860-2025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45804</v>
      </c>
      <c r="E767" s="1" t="n">
        <v>46301</v>
      </c>
      <c r="F767" t="inlineStr">
        <is>
          <t>SKÅNE LÄN</t>
        </is>
      </c>
      <c r="G767" t="inlineStr">
        <is>
          <t>KRISTIANSTAD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25433-2025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45800</v>
      </c>
      <c r="E768" s="1" t="n">
        <v>46301</v>
      </c>
      <c r="F768" t="inlineStr">
        <is>
          <t>SKÅNE LÄN</t>
        </is>
      </c>
      <c r="G768" t="inlineStr">
        <is>
          <t>KRISTIANSTAD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46301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46301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8718-2021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44501</v>
      </c>
      <c r="E771" s="1" t="n">
        <v>46301</v>
      </c>
      <c r="F771" t="inlineStr">
        <is>
          <t>SKÅNE LÄN</t>
        </is>
      </c>
      <c r="G771" t="inlineStr">
        <is>
          <t>KRISTIANSTAD</t>
        </is>
      </c>
      <c r="I771" t="n">
        <v>20.4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45617</v>
      </c>
      <c r="E772" s="1" t="n">
        <v>46301</v>
      </c>
      <c r="F772" t="inlineStr">
        <is>
          <t>SKÅNE LÄN</t>
        </is>
      </c>
      <c r="G772" t="inlineStr">
        <is>
          <t>KRISTIANSTAD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558-2023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44970</v>
      </c>
      <c r="E773" s="1" t="n">
        <v>46301</v>
      </c>
      <c r="F773" t="inlineStr">
        <is>
          <t>SKÅNE LÄN</t>
        </is>
      </c>
      <c r="G773" t="inlineStr">
        <is>
          <t>KRISTIANSTAD</t>
        </is>
      </c>
      <c r="H773" t="inlineStr">
        <is>
          <t>Kyrkan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2174-2023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45089</v>
      </c>
      <c r="E774" s="1" t="n">
        <v>46301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46301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46301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46301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46301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46301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46301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46301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46301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46301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46301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46301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46301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46301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46301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46301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46301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46301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46301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46301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46301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46301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46301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46301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46301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46301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>
      <c r="A800" t="inlineStr">
        <is>
          <t>S 1380-2026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46148</v>
      </c>
      <c r="E800" s="1" t="n">
        <v>46301</v>
      </c>
      <c r="F800" t="inlineStr">
        <is>
          <t>SKÅNE LÄN</t>
        </is>
      </c>
      <c r="G800" t="inlineStr">
        <is>
          <t>KRISTIANSTAD</t>
        </is>
      </c>
      <c r="I800" t="n">
        <v>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2026-10-06T01:52:16Z</dcterms:created>
  <dcterms:modified xmlns:dcterms="http://purl.org/dc/terms/" xmlns:xsi="http://www.w3.org/2001/XMLSchema-instance" xsi:type="dcterms:W3CDTF">2026-10-06T01:52:17Z</dcterms:modified>
</cp:coreProperties>
</file>