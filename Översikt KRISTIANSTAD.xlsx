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45851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45851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45851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45851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45851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45851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45851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45851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45851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45851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45851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45851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45851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45851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45851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45851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45851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45851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45851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45851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45851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45851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45851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45851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45851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45851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45851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45851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45851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45851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45851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45851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45851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45851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45851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45851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45851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45851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45851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45851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45851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45851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45851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45851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45851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45851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45851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45851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45851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45851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45851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45851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45851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45851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45851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45851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45851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45851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45851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45851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45851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45851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45851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45851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45851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45851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45851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45851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45851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45851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7054-2024</t>
        </is>
      </c>
      <c r="B72" s="1" t="n">
        <v>45343</v>
      </c>
      <c r="C72" s="1" t="n">
        <v>45851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HYPERLINK("https://klasma.github.io/Logging_1290/artfynd/A 7054-2024 artfynd.xlsx", "A 7054-2024")</f>
        <v/>
      </c>
      <c r="T72">
        <f>HYPERLINK("https://klasma.github.io/Logging_1290/kartor/A 7054-2024 karta.png", "A 7054-2024")</f>
        <v/>
      </c>
      <c r="V72">
        <f>HYPERLINK("https://klasma.github.io/Logging_1290/klagomål/A 7054-2024 FSC-klagomål.docx", "A 7054-2024")</f>
        <v/>
      </c>
      <c r="W72">
        <f>HYPERLINK("https://klasma.github.io/Logging_1290/klagomålsmail/A 7054-2024 FSC-klagomål mail.docx", "A 7054-2024")</f>
        <v/>
      </c>
      <c r="X72">
        <f>HYPERLINK("https://klasma.github.io/Logging_1290/tillsyn/A 7054-2024 tillsynsbegäran.docx", "A 7054-2024")</f>
        <v/>
      </c>
      <c r="Y72">
        <f>HYPERLINK("https://klasma.github.io/Logging_1290/tillsynsmail/A 7054-2024 tillsynsbegäran mail.docx", "A 7054-2024")</f>
        <v/>
      </c>
      <c r="Z72">
        <f>HYPERLINK("https://klasma.github.io/Logging_1290/fåglar/A 7054-2024 prioriterade fågelarter.docx", "A 7054-2024")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45851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28342-2024</t>
        </is>
      </c>
      <c r="B74" s="1" t="n">
        <v>45477</v>
      </c>
      <c r="C74" s="1" t="n">
        <v>45851</v>
      </c>
      <c r="D74" t="inlineStr">
        <is>
          <t>SKÅNE LÄN</t>
        </is>
      </c>
      <c r="E74" t="inlineStr">
        <is>
          <t>KRISTIANSTAD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28342-2024 artfynd.xlsx", "A 28342-2024")</f>
        <v/>
      </c>
      <c r="T74">
        <f>HYPERLINK("https://klasma.github.io/Logging_1290/kartor/A 28342-2024 karta.png", "A 28342-2024")</f>
        <v/>
      </c>
      <c r="V74">
        <f>HYPERLINK("https://klasma.github.io/Logging_1290/klagomål/A 28342-2024 FSC-klagomål.docx", "A 28342-2024")</f>
        <v/>
      </c>
      <c r="W74">
        <f>HYPERLINK("https://klasma.github.io/Logging_1290/klagomålsmail/A 28342-2024 FSC-klagomål mail.docx", "A 28342-2024")</f>
        <v/>
      </c>
      <c r="X74">
        <f>HYPERLINK("https://klasma.github.io/Logging_1290/tillsyn/A 28342-2024 tillsynsbegäran.docx", "A 28342-2024")</f>
        <v/>
      </c>
      <c r="Y74">
        <f>HYPERLINK("https://klasma.github.io/Logging_1290/tillsynsmail/A 28342-2024 tillsynsbegäran mail.docx", "A 28342-2024")</f>
        <v/>
      </c>
    </row>
    <row r="75" ht="15" customHeight="1">
      <c r="A75" t="inlineStr">
        <is>
          <t>A 30526-2024</t>
        </is>
      </c>
      <c r="B75" s="1" t="n">
        <v>45492</v>
      </c>
      <c r="C75" s="1" t="n">
        <v>45851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30526-2024 artfynd.xlsx", "A 30526-2024")</f>
        <v/>
      </c>
      <c r="T75">
        <f>HYPERLINK("https://klasma.github.io/Logging_1290/kartor/A 30526-2024 karta.png", "A 30526-2024")</f>
        <v/>
      </c>
      <c r="V75">
        <f>HYPERLINK("https://klasma.github.io/Logging_1290/klagomål/A 30526-2024 FSC-klagomål.docx", "A 30526-2024")</f>
        <v/>
      </c>
      <c r="W75">
        <f>HYPERLINK("https://klasma.github.io/Logging_1290/klagomålsmail/A 30526-2024 FSC-klagomål mail.docx", "A 30526-2024")</f>
        <v/>
      </c>
      <c r="X75">
        <f>HYPERLINK("https://klasma.github.io/Logging_1290/tillsyn/A 30526-2024 tillsynsbegäran.docx", "A 30526-2024")</f>
        <v/>
      </c>
      <c r="Y75">
        <f>HYPERLINK("https://klasma.github.io/Logging_1290/tillsynsmail/A 30526-2024 tillsynsbegäran mail.docx", "A 30526-2024")</f>
        <v/>
      </c>
    </row>
    <row r="76" ht="15" customHeight="1">
      <c r="A76" t="inlineStr">
        <is>
          <t>A 31620-2024</t>
        </is>
      </c>
      <c r="B76" s="1" t="n">
        <v>45506</v>
      </c>
      <c r="C76" s="1" t="n">
        <v>45851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HYPERLINK("https://klasma.github.io/Logging_1290/artfynd/A 31620-2024 artfynd.xlsx", "A 31620-2024")</f>
        <v/>
      </c>
      <c r="T76">
        <f>HYPERLINK("https://klasma.github.io/Logging_1290/kartor/A 31620-2024 karta.png", "A 31620-2024")</f>
        <v/>
      </c>
      <c r="V76">
        <f>HYPERLINK("https://klasma.github.io/Logging_1290/klagomål/A 31620-2024 FSC-klagomål.docx", "A 31620-2024")</f>
        <v/>
      </c>
      <c r="W76">
        <f>HYPERLINK("https://klasma.github.io/Logging_1290/klagomålsmail/A 31620-2024 FSC-klagomål mail.docx", "A 31620-2024")</f>
        <v/>
      </c>
      <c r="X76">
        <f>HYPERLINK("https://klasma.github.io/Logging_1290/tillsyn/A 31620-2024 tillsynsbegäran.docx", "A 31620-2024")</f>
        <v/>
      </c>
      <c r="Y76">
        <f>HYPERLINK("https://klasma.github.io/Logging_1290/tillsynsmail/A 31620-2024 tillsynsbegäran mail.docx", "A 31620-2024")</f>
        <v/>
      </c>
    </row>
    <row r="77" ht="15" customHeight="1">
      <c r="A77" t="inlineStr">
        <is>
          <t>A 32101-2024</t>
        </is>
      </c>
      <c r="B77" s="1" t="n">
        <v>45511</v>
      </c>
      <c r="C77" s="1" t="n">
        <v>45851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50779-2024</t>
        </is>
      </c>
      <c r="B78" s="1" t="n">
        <v>45602</v>
      </c>
      <c r="C78" s="1" t="n">
        <v>45851</v>
      </c>
      <c r="D78" t="inlineStr">
        <is>
          <t>SKÅNE LÄN</t>
        </is>
      </c>
      <c r="E78" t="inlineStr">
        <is>
          <t>KRISTIANSTAD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Bokoxe</t>
        </is>
      </c>
      <c r="S78">
        <f>HYPERLINK("https://klasma.github.io/Logging_1290/artfynd/A 50779-2024 artfynd.xlsx", "A 50779-2024")</f>
        <v/>
      </c>
      <c r="T78">
        <f>HYPERLINK("https://klasma.github.io/Logging_1290/kartor/A 50779-2024 karta.png", "A 50779-2024")</f>
        <v/>
      </c>
      <c r="V78">
        <f>HYPERLINK("https://klasma.github.io/Logging_1290/klagomål/A 50779-2024 FSC-klagomål.docx", "A 50779-2024")</f>
        <v/>
      </c>
      <c r="W78">
        <f>HYPERLINK("https://klasma.github.io/Logging_1290/klagomålsmail/A 50779-2024 FSC-klagomål mail.docx", "A 50779-2024")</f>
        <v/>
      </c>
      <c r="X78">
        <f>HYPERLINK("https://klasma.github.io/Logging_1290/tillsyn/A 50779-2024 tillsynsbegäran.docx", "A 50779-2024")</f>
        <v/>
      </c>
      <c r="Y78">
        <f>HYPERLINK("https://klasma.github.io/Logging_1290/tillsynsmail/A 50779-2024 tillsynsbegäran mail.docx", "A 50779-2024")</f>
        <v/>
      </c>
    </row>
    <row r="79" ht="15" customHeight="1">
      <c r="A79" t="inlineStr">
        <is>
          <t>A 11720-2025</t>
        </is>
      </c>
      <c r="B79" s="1" t="n">
        <v>45727</v>
      </c>
      <c r="C79" s="1" t="n">
        <v>45851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Igelkottsröksvamp</t>
        </is>
      </c>
      <c r="S79">
        <f>HYPERLINK("https://klasma.github.io/Logging_121290/artfynd/A 11720-2025 artfynd.xlsx", "A 11720-2025")</f>
        <v/>
      </c>
      <c r="T79">
        <f>HYPERLINK("https://klasma.github.io/Logging_121290/kartor/A 11720-2025 karta.png", "A 11720-2025")</f>
        <v/>
      </c>
      <c r="V79">
        <f>HYPERLINK("https://klasma.github.io/Logging_121290/klagomål/A 11720-2025 FSC-klagomål.docx", "A 11720-2025")</f>
        <v/>
      </c>
      <c r="W79">
        <f>HYPERLINK("https://klasma.github.io/Logging_121290/klagomålsmail/A 11720-2025 FSC-klagomål mail.docx", "A 11720-2025")</f>
        <v/>
      </c>
      <c r="X79">
        <f>HYPERLINK("https://klasma.github.io/Logging_121290/tillsyn/A 11720-2025 tillsynsbegäran.docx", "A 11720-2025")</f>
        <v/>
      </c>
      <c r="Y79">
        <f>HYPERLINK("https://klasma.github.io/Logging_121290/tillsynsmail/A 11720-2025 tillsynsbegäran mail.docx", "A 11720-2025")</f>
        <v/>
      </c>
    </row>
    <row r="80" ht="15" customHeight="1">
      <c r="A80" t="inlineStr">
        <is>
          <t>A 27234-2025</t>
        </is>
      </c>
      <c r="B80" s="1" t="n">
        <v>45812</v>
      </c>
      <c r="C80" s="1" t="n">
        <v>45851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HYPERLINK("https://klasma.github.io/Logging_121290/artfynd/A 27234-2025 artfynd.xlsx", "A 27234-2025")</f>
        <v/>
      </c>
      <c r="T80">
        <f>HYPERLINK("https://klasma.github.io/Logging_121290/kartor/A 27234-2025 karta.png", "A 27234-2025")</f>
        <v/>
      </c>
      <c r="V80">
        <f>HYPERLINK("https://klasma.github.io/Logging_121290/klagomål/A 27234-2025 FSC-klagomål.docx", "A 27234-2025")</f>
        <v/>
      </c>
      <c r="W80">
        <f>HYPERLINK("https://klasma.github.io/Logging_121290/klagomålsmail/A 27234-2025 FSC-klagomål mail.docx", "A 27234-2025")</f>
        <v/>
      </c>
      <c r="X80">
        <f>HYPERLINK("https://klasma.github.io/Logging_121290/tillsyn/A 27234-2025 tillsynsbegäran.docx", "A 27234-2025")</f>
        <v/>
      </c>
      <c r="Y80">
        <f>HYPERLINK("https://klasma.github.io/Logging_121290/tillsynsmail/A 27234-2025 tillsynsbegäran mail.docx", "A 27234-2025")</f>
        <v/>
      </c>
    </row>
    <row r="81" ht="15" customHeight="1">
      <c r="A81" t="inlineStr">
        <is>
          <t>A 33883-2025</t>
        </is>
      </c>
      <c r="B81" s="1" t="n">
        <v>45842</v>
      </c>
      <c r="C81" s="1" t="n">
        <v>45851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häxört</t>
        </is>
      </c>
      <c r="S81">
        <f>HYPERLINK("https://klasma.github.io/Logging_121290/artfynd/A 33883-2025 artfynd.xlsx", "A 33883-2025")</f>
        <v/>
      </c>
      <c r="T81">
        <f>HYPERLINK("https://klasma.github.io/Logging_121290/kartor/A 33883-2025 karta.png", "A 33883-2025")</f>
        <v/>
      </c>
      <c r="V81">
        <f>HYPERLINK("https://klasma.github.io/Logging_121290/klagomål/A 33883-2025 FSC-klagomål.docx", "A 33883-2025")</f>
        <v/>
      </c>
      <c r="W81">
        <f>HYPERLINK("https://klasma.github.io/Logging_121290/klagomålsmail/A 33883-2025 FSC-klagomål mail.docx", "A 33883-2025")</f>
        <v/>
      </c>
      <c r="X81">
        <f>HYPERLINK("https://klasma.github.io/Logging_121290/tillsyn/A 33883-2025 tillsynsbegäran.docx", "A 33883-2025")</f>
        <v/>
      </c>
      <c r="Y81">
        <f>HYPERLINK("https://klasma.github.io/Logging_121290/tillsynsmail/A 33883-2025 tillsynsbegäran mail.docx", "A 33883-2025")</f>
        <v/>
      </c>
    </row>
    <row r="82" ht="15" customHeight="1">
      <c r="A82" t="inlineStr">
        <is>
          <t>A 18260-2019</t>
        </is>
      </c>
      <c r="B82" s="1" t="n">
        <v>43557</v>
      </c>
      <c r="C82" s="1" t="n">
        <v>45851</v>
      </c>
      <c r="D82" t="inlineStr">
        <is>
          <t>SKÅNE LÄN</t>
        </is>
      </c>
      <c r="E82" t="inlineStr">
        <is>
          <t>KRISTIANSTAD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18412-2019</t>
        </is>
      </c>
      <c r="B83" s="1" t="n">
        <v>43559</v>
      </c>
      <c r="C83" s="1" t="n">
        <v>45851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19183-2019</t>
        </is>
      </c>
      <c r="B84" s="1" t="n">
        <v>43564</v>
      </c>
      <c r="C84" s="1" t="n">
        <v>45851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19327-2019</t>
        </is>
      </c>
      <c r="B85" s="1" t="n">
        <v>43565</v>
      </c>
      <c r="C85" s="1" t="n">
        <v>45851</v>
      </c>
      <c r="D85" t="inlineStr">
        <is>
          <t>SKÅNE LÄN</t>
        </is>
      </c>
      <c r="E85" t="inlineStr">
        <is>
          <t>KRISTIANSTAD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19596-2019</t>
        </is>
      </c>
      <c r="B86" s="1" t="n">
        <v>43565</v>
      </c>
      <c r="C86" s="1" t="n">
        <v>45851</v>
      </c>
      <c r="D86" t="inlineStr">
        <is>
          <t>SKÅNE LÄN</t>
        </is>
      </c>
      <c r="E86" t="inlineStr">
        <is>
          <t>KRISTIANSTAD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19508-2019</t>
        </is>
      </c>
      <c r="B87" s="1" t="n">
        <v>43565</v>
      </c>
      <c r="C87" s="1" t="n">
        <v>45851</v>
      </c>
      <c r="D87" t="inlineStr">
        <is>
          <t>SKÅNE LÄN</t>
        </is>
      </c>
      <c r="E87" t="inlineStr">
        <is>
          <t>KRISTIANSTAD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19661-2019</t>
        </is>
      </c>
      <c r="B88" s="1" t="n">
        <v>43566</v>
      </c>
      <c r="C88" s="1" t="n">
        <v>45851</v>
      </c>
      <c r="D88" t="inlineStr">
        <is>
          <t>SKÅNE LÄN</t>
        </is>
      </c>
      <c r="E88" t="inlineStr">
        <is>
          <t>KRISTIANSTAD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19664-2019</t>
        </is>
      </c>
      <c r="B89" s="1" t="n">
        <v>43566</v>
      </c>
      <c r="C89" s="1" t="n">
        <v>45851</v>
      </c>
      <c r="D89" t="inlineStr">
        <is>
          <t>SKÅNE LÄN</t>
        </is>
      </c>
      <c r="E89" t="inlineStr">
        <is>
          <t>KRISTIANSTAD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20332-2019</t>
        </is>
      </c>
      <c r="B90" s="1" t="n">
        <v>43571</v>
      </c>
      <c r="C90" s="1" t="n">
        <v>45851</v>
      </c>
      <c r="D90" t="inlineStr">
        <is>
          <t>SKÅNE LÄN</t>
        </is>
      </c>
      <c r="E90" t="inlineStr">
        <is>
          <t>KRISTIANSTAD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20530-2019</t>
        </is>
      </c>
      <c r="B91" s="1" t="n">
        <v>43572</v>
      </c>
      <c r="C91" s="1" t="n">
        <v>45851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21578-2019</t>
        </is>
      </c>
      <c r="B92" s="1" t="n">
        <v>43580</v>
      </c>
      <c r="C92" s="1" t="n">
        <v>45851</v>
      </c>
      <c r="D92" t="inlineStr">
        <is>
          <t>SKÅNE LÄN</t>
        </is>
      </c>
      <c r="E92" t="inlineStr">
        <is>
          <t>KRISTIANSTAD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21982-2019</t>
        </is>
      </c>
      <c r="B93" s="1" t="n">
        <v>43584</v>
      </c>
      <c r="C93" s="1" t="n">
        <v>45851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24086-2019</t>
        </is>
      </c>
      <c r="B94" s="1" t="n">
        <v>43598</v>
      </c>
      <c r="C94" s="1" t="n">
        <v>45851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24083-2019</t>
        </is>
      </c>
      <c r="B95" s="1" t="n">
        <v>43598</v>
      </c>
      <c r="C95" s="1" t="n">
        <v>45851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26698-2019</t>
        </is>
      </c>
      <c r="B96" s="1" t="n">
        <v>43607</v>
      </c>
      <c r="C96" s="1" t="n">
        <v>45851</v>
      </c>
      <c r="D96" t="inlineStr">
        <is>
          <t>SKÅNE LÄN</t>
        </is>
      </c>
      <c r="E96" t="inlineStr">
        <is>
          <t>KRISTIANSTAD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32841-2019</t>
        </is>
      </c>
      <c r="B97" s="1" t="n">
        <v>43648</v>
      </c>
      <c r="C97" s="1" t="n">
        <v>45851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32790-2019</t>
        </is>
      </c>
      <c r="B98" s="1" t="n">
        <v>43648</v>
      </c>
      <c r="C98" s="1" t="n">
        <v>45851</v>
      </c>
      <c r="D98" t="inlineStr">
        <is>
          <t>SKÅNE LÄN</t>
        </is>
      </c>
      <c r="E98" t="inlineStr">
        <is>
          <t>KRISTIANSTAD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32839-2019</t>
        </is>
      </c>
      <c r="B99" s="1" t="n">
        <v>43648</v>
      </c>
      <c r="C99" s="1" t="n">
        <v>45851</v>
      </c>
      <c r="D99" t="inlineStr">
        <is>
          <t>SKÅNE LÄN</t>
        </is>
      </c>
      <c r="E99" t="inlineStr">
        <is>
          <t>KRISTIANSTAD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36156-2019</t>
        </is>
      </c>
      <c r="B100" s="1" t="n">
        <v>43668</v>
      </c>
      <c r="C100" s="1" t="n">
        <v>45851</v>
      </c>
      <c r="D100" t="inlineStr">
        <is>
          <t>SKÅNE LÄN</t>
        </is>
      </c>
      <c r="E100" t="inlineStr">
        <is>
          <t>KRISTIANSTAD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36288-2019</t>
        </is>
      </c>
      <c r="B101" s="1" t="n">
        <v>43669</v>
      </c>
      <c r="C101" s="1" t="n">
        <v>45851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36362-2019</t>
        </is>
      </c>
      <c r="B102" s="1" t="n">
        <v>43670</v>
      </c>
      <c r="C102" s="1" t="n">
        <v>45851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37836-2019</t>
        </is>
      </c>
      <c r="B103" s="1" t="n">
        <v>43682</v>
      </c>
      <c r="C103" s="1" t="n">
        <v>45851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37871-2019</t>
        </is>
      </c>
      <c r="B104" s="1" t="n">
        <v>43682</v>
      </c>
      <c r="C104" s="1" t="n">
        <v>45851</v>
      </c>
      <c r="D104" t="inlineStr">
        <is>
          <t>SKÅNE LÄN</t>
        </is>
      </c>
      <c r="E104" t="inlineStr">
        <is>
          <t>KRISTIANSTAD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39790-2019</t>
        </is>
      </c>
      <c r="B105" s="1" t="n">
        <v>43689</v>
      </c>
      <c r="C105" s="1" t="n">
        <v>45851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40847-2019</t>
        </is>
      </c>
      <c r="B106" s="1" t="n">
        <v>43692</v>
      </c>
      <c r="C106" s="1" t="n">
        <v>45851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41164-2019</t>
        </is>
      </c>
      <c r="B107" s="1" t="n">
        <v>43693</v>
      </c>
      <c r="C107" s="1" t="n">
        <v>45851</v>
      </c>
      <c r="D107" t="inlineStr">
        <is>
          <t>SKÅNE LÄN</t>
        </is>
      </c>
      <c r="E107" t="inlineStr">
        <is>
          <t>KRISTIANSTAD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41878-2019</t>
        </is>
      </c>
      <c r="B108" s="1" t="n">
        <v>43700</v>
      </c>
      <c r="C108" s="1" t="n">
        <v>45851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44800-2019</t>
        </is>
      </c>
      <c r="B109" s="1" t="n">
        <v>43712</v>
      </c>
      <c r="C109" s="1" t="n">
        <v>45851</v>
      </c>
      <c r="D109" t="inlineStr">
        <is>
          <t>SKÅNE LÄN</t>
        </is>
      </c>
      <c r="E109" t="inlineStr">
        <is>
          <t>KRISTIANSTAD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45213-2019</t>
        </is>
      </c>
      <c r="B110" s="1" t="n">
        <v>43713</v>
      </c>
      <c r="C110" s="1" t="n">
        <v>45851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45799-2019</t>
        </is>
      </c>
      <c r="B111" s="1" t="n">
        <v>43717</v>
      </c>
      <c r="C111" s="1" t="n">
        <v>45851</v>
      </c>
      <c r="D111" t="inlineStr">
        <is>
          <t>SKÅNE LÄN</t>
        </is>
      </c>
      <c r="E111" t="inlineStr">
        <is>
          <t>KRISTIANSTAD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46298-2019</t>
        </is>
      </c>
      <c r="B112" s="1" t="n">
        <v>43718</v>
      </c>
      <c r="C112" s="1" t="n">
        <v>45851</v>
      </c>
      <c r="D112" t="inlineStr">
        <is>
          <t>SKÅNE LÄN</t>
        </is>
      </c>
      <c r="E112" t="inlineStr">
        <is>
          <t>KRISTIANSTAD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46403-2019</t>
        </is>
      </c>
      <c r="B113" s="1" t="n">
        <v>43719</v>
      </c>
      <c r="C113" s="1" t="n">
        <v>45851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47757-2019</t>
        </is>
      </c>
      <c r="B114" s="1" t="n">
        <v>43724</v>
      </c>
      <c r="C114" s="1" t="n">
        <v>45851</v>
      </c>
      <c r="D114" t="inlineStr">
        <is>
          <t>SKÅNE LÄN</t>
        </is>
      </c>
      <c r="E114" t="inlineStr">
        <is>
          <t>KRISTIANSTAD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51052-2019</t>
        </is>
      </c>
      <c r="B115" s="1" t="n">
        <v>43739</v>
      </c>
      <c r="C115" s="1" t="n">
        <v>45851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51745-2019</t>
        </is>
      </c>
      <c r="B116" s="1" t="n">
        <v>43741</v>
      </c>
      <c r="C116" s="1" t="n">
        <v>45851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52997-2019</t>
        </is>
      </c>
      <c r="B117" s="1" t="n">
        <v>43747</v>
      </c>
      <c r="C117" s="1" t="n">
        <v>45851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52978-2019</t>
        </is>
      </c>
      <c r="B118" s="1" t="n">
        <v>43747</v>
      </c>
      <c r="C118" s="1" t="n">
        <v>45851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59293-2019</t>
        </is>
      </c>
      <c r="B119" s="1" t="n">
        <v>43773</v>
      </c>
      <c r="C119" s="1" t="n">
        <v>45851</v>
      </c>
      <c r="D119" t="inlineStr">
        <is>
          <t>SKÅNE LÄN</t>
        </is>
      </c>
      <c r="E119" t="inlineStr">
        <is>
          <t>KRISTIANSTAD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59946-2019</t>
        </is>
      </c>
      <c r="B120" s="1" t="n">
        <v>43775</v>
      </c>
      <c r="C120" s="1" t="n">
        <v>45851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64957-2019</t>
        </is>
      </c>
      <c r="B121" s="1" t="n">
        <v>43795</v>
      </c>
      <c r="C121" s="1" t="n">
        <v>45851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64949-2019</t>
        </is>
      </c>
      <c r="B122" s="1" t="n">
        <v>43801</v>
      </c>
      <c r="C122" s="1" t="n">
        <v>45851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65603-2019</t>
        </is>
      </c>
      <c r="B123" s="1" t="n">
        <v>43804</v>
      </c>
      <c r="C123" s="1" t="n">
        <v>45851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66782-2019</t>
        </is>
      </c>
      <c r="B124" s="1" t="n">
        <v>43804</v>
      </c>
      <c r="C124" s="1" t="n">
        <v>45851</v>
      </c>
      <c r="D124" t="inlineStr">
        <is>
          <t>SKÅNE LÄN</t>
        </is>
      </c>
      <c r="E124" t="inlineStr">
        <is>
          <t>KRISTIANSTAD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67147-2019</t>
        </is>
      </c>
      <c r="B125" s="1" t="n">
        <v>43811</v>
      </c>
      <c r="C125" s="1" t="n">
        <v>45851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67195-2019</t>
        </is>
      </c>
      <c r="B126" s="1" t="n">
        <v>43811</v>
      </c>
      <c r="C126" s="1" t="n">
        <v>45851</v>
      </c>
      <c r="D126" t="inlineStr">
        <is>
          <t>SKÅNE LÄN</t>
        </is>
      </c>
      <c r="E126" t="inlineStr">
        <is>
          <t>KRISTIANSTAD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67347-2019</t>
        </is>
      </c>
      <c r="B127" s="1" t="n">
        <v>43812</v>
      </c>
      <c r="C127" s="1" t="n">
        <v>45851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67970-2019</t>
        </is>
      </c>
      <c r="B128" s="1" t="n">
        <v>43816</v>
      </c>
      <c r="C128" s="1" t="n">
        <v>45851</v>
      </c>
      <c r="D128" t="inlineStr">
        <is>
          <t>SKÅNE LÄN</t>
        </is>
      </c>
      <c r="E128" t="inlineStr">
        <is>
          <t>KRISTIANSTAD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67968-2019</t>
        </is>
      </c>
      <c r="B129" s="1" t="n">
        <v>43816</v>
      </c>
      <c r="C129" s="1" t="n">
        <v>45851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842-2020</t>
        </is>
      </c>
      <c r="B130" s="1" t="n">
        <v>43818</v>
      </c>
      <c r="C130" s="1" t="n">
        <v>45851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851-2020</t>
        </is>
      </c>
      <c r="B131" s="1" t="n">
        <v>43818</v>
      </c>
      <c r="C131" s="1" t="n">
        <v>45851</v>
      </c>
      <c r="D131" t="inlineStr">
        <is>
          <t>SKÅNE LÄN</t>
        </is>
      </c>
      <c r="E131" t="inlineStr">
        <is>
          <t>KRISTIANSTAD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1249-2020</t>
        </is>
      </c>
      <c r="B132" s="1" t="n">
        <v>43840</v>
      </c>
      <c r="C132" s="1" t="n">
        <v>45851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3624-2020</t>
        </is>
      </c>
      <c r="B133" s="1" t="n">
        <v>43845</v>
      </c>
      <c r="C133" s="1" t="n">
        <v>45851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3573-2020</t>
        </is>
      </c>
      <c r="B134" s="1" t="n">
        <v>43845</v>
      </c>
      <c r="C134" s="1" t="n">
        <v>45851</v>
      </c>
      <c r="D134" t="inlineStr">
        <is>
          <t>SKÅNE LÄN</t>
        </is>
      </c>
      <c r="E134" t="inlineStr">
        <is>
          <t>KRISTIANSTAD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5177-2020</t>
        </is>
      </c>
      <c r="B135" s="1" t="n">
        <v>43860</v>
      </c>
      <c r="C135" s="1" t="n">
        <v>45851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6143-2020</t>
        </is>
      </c>
      <c r="B136" s="1" t="n">
        <v>43865</v>
      </c>
      <c r="C136" s="1" t="n">
        <v>45851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7085-2020</t>
        </is>
      </c>
      <c r="B137" s="1" t="n">
        <v>43868</v>
      </c>
      <c r="C137" s="1" t="n">
        <v>45851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6928-2020</t>
        </is>
      </c>
      <c r="B138" s="1" t="n">
        <v>43868</v>
      </c>
      <c r="C138" s="1" t="n">
        <v>45851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7578-2020</t>
        </is>
      </c>
      <c r="B139" s="1" t="n">
        <v>43872</v>
      </c>
      <c r="C139" s="1" t="n">
        <v>45851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8946-2020</t>
        </is>
      </c>
      <c r="B140" s="1" t="n">
        <v>43878</v>
      </c>
      <c r="C140" s="1" t="n">
        <v>45851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9078-2020</t>
        </is>
      </c>
      <c r="B141" s="1" t="n">
        <v>43879</v>
      </c>
      <c r="C141" s="1" t="n">
        <v>45851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9812-2020</t>
        </is>
      </c>
      <c r="B142" s="1" t="n">
        <v>43881</v>
      </c>
      <c r="C142" s="1" t="n">
        <v>45851</v>
      </c>
      <c r="D142" t="inlineStr">
        <is>
          <t>SKÅNE LÄN</t>
        </is>
      </c>
      <c r="E142" t="inlineStr">
        <is>
          <t>KRISTIANSTAD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11262-2020</t>
        </is>
      </c>
      <c r="B143" s="1" t="n">
        <v>43888</v>
      </c>
      <c r="C143" s="1" t="n">
        <v>45851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17290-2020</t>
        </is>
      </c>
      <c r="B144" s="1" t="n">
        <v>43915</v>
      </c>
      <c r="C144" s="1" t="n">
        <v>45851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16388-2020</t>
        </is>
      </c>
      <c r="B145" s="1" t="n">
        <v>43917</v>
      </c>
      <c r="C145" s="1" t="n">
        <v>45851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18677-2020</t>
        </is>
      </c>
      <c r="B146" s="1" t="n">
        <v>43930</v>
      </c>
      <c r="C146" s="1" t="n">
        <v>45851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18881-2020</t>
        </is>
      </c>
      <c r="B147" s="1" t="n">
        <v>43935</v>
      </c>
      <c r="C147" s="1" t="n">
        <v>45851</v>
      </c>
      <c r="D147" t="inlineStr">
        <is>
          <t>SKÅNE LÄN</t>
        </is>
      </c>
      <c r="E147" t="inlineStr">
        <is>
          <t>KRISTIANSTAD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21356-2020</t>
        </is>
      </c>
      <c r="B148" s="1" t="n">
        <v>43955</v>
      </c>
      <c r="C148" s="1" t="n">
        <v>45851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24659-2020</t>
        </is>
      </c>
      <c r="B149" s="1" t="n">
        <v>43977</v>
      </c>
      <c r="C149" s="1" t="n">
        <v>45851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24667-2020</t>
        </is>
      </c>
      <c r="B150" s="1" t="n">
        <v>43977</v>
      </c>
      <c r="C150" s="1" t="n">
        <v>45851</v>
      </c>
      <c r="D150" t="inlineStr">
        <is>
          <t>SKÅNE LÄN</t>
        </is>
      </c>
      <c r="E150" t="inlineStr">
        <is>
          <t>KRISTIANSTAD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25893-2020</t>
        </is>
      </c>
      <c r="B151" s="1" t="n">
        <v>43984</v>
      </c>
      <c r="C151" s="1" t="n">
        <v>45851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26991-2020</t>
        </is>
      </c>
      <c r="B152" s="1" t="n">
        <v>43991</v>
      </c>
      <c r="C152" s="1" t="n">
        <v>45851</v>
      </c>
      <c r="D152" t="inlineStr">
        <is>
          <t>SKÅNE LÄN</t>
        </is>
      </c>
      <c r="E152" t="inlineStr">
        <is>
          <t>KRISTIANSTAD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28003-2020</t>
        </is>
      </c>
      <c r="B153" s="1" t="n">
        <v>43997</v>
      </c>
      <c r="C153" s="1" t="n">
        <v>45851</v>
      </c>
      <c r="D153" t="inlineStr">
        <is>
          <t>SKÅNE LÄN</t>
        </is>
      </c>
      <c r="E153" t="inlineStr">
        <is>
          <t>KRISTIANSTAD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29462-2020</t>
        </is>
      </c>
      <c r="B154" s="1" t="n">
        <v>44004</v>
      </c>
      <c r="C154" s="1" t="n">
        <v>45851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32517-2020</t>
        </is>
      </c>
      <c r="B155" s="1" t="n">
        <v>44018</v>
      </c>
      <c r="C155" s="1" t="n">
        <v>45851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32593-2020</t>
        </is>
      </c>
      <c r="B156" s="1" t="n">
        <v>44019</v>
      </c>
      <c r="C156" s="1" t="n">
        <v>45851</v>
      </c>
      <c r="D156" t="inlineStr">
        <is>
          <t>SKÅNE LÄN</t>
        </is>
      </c>
      <c r="E156" t="inlineStr">
        <is>
          <t>KRISTIANSTAD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33516-2020</t>
        </is>
      </c>
      <c r="B157" s="1" t="n">
        <v>44022</v>
      </c>
      <c r="C157" s="1" t="n">
        <v>45851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33511-2020</t>
        </is>
      </c>
      <c r="B158" s="1" t="n">
        <v>44022</v>
      </c>
      <c r="C158" s="1" t="n">
        <v>45851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33515-2020</t>
        </is>
      </c>
      <c r="B159" s="1" t="n">
        <v>44022</v>
      </c>
      <c r="C159" s="1" t="n">
        <v>45851</v>
      </c>
      <c r="D159" t="inlineStr">
        <is>
          <t>SKÅNE LÄN</t>
        </is>
      </c>
      <c r="E159" t="inlineStr">
        <is>
          <t>KRISTIANSTAD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33739-2020</t>
        </is>
      </c>
      <c r="B160" s="1" t="n">
        <v>44025</v>
      </c>
      <c r="C160" s="1" t="n">
        <v>45851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18.3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33742-2020</t>
        </is>
      </c>
      <c r="B161" s="1" t="n">
        <v>44025</v>
      </c>
      <c r="C161" s="1" t="n">
        <v>45851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33737-2020</t>
        </is>
      </c>
      <c r="B162" s="1" t="n">
        <v>44025</v>
      </c>
      <c r="C162" s="1" t="n">
        <v>45851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33866-2020</t>
        </is>
      </c>
      <c r="B163" s="1" t="n">
        <v>44025</v>
      </c>
      <c r="C163" s="1" t="n">
        <v>45851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33696-2020</t>
        </is>
      </c>
      <c r="B164" s="1" t="n">
        <v>44026</v>
      </c>
      <c r="C164" s="1" t="n">
        <v>45851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34548-2020</t>
        </is>
      </c>
      <c r="B165" s="1" t="n">
        <v>44033</v>
      </c>
      <c r="C165" s="1" t="n">
        <v>45851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35463-2020</t>
        </is>
      </c>
      <c r="B166" s="1" t="n">
        <v>44042</v>
      </c>
      <c r="C166" s="1" t="n">
        <v>45851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37180-2020</t>
        </is>
      </c>
      <c r="B167" s="1" t="n">
        <v>44054</v>
      </c>
      <c r="C167" s="1" t="n">
        <v>45851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42262-2020</t>
        </is>
      </c>
      <c r="B168" s="1" t="n">
        <v>44074</v>
      </c>
      <c r="C168" s="1" t="n">
        <v>45851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42353-2020</t>
        </is>
      </c>
      <c r="B169" s="1" t="n">
        <v>44076</v>
      </c>
      <c r="C169" s="1" t="n">
        <v>45851</v>
      </c>
      <c r="D169" t="inlineStr">
        <is>
          <t>SKÅNE LÄN</t>
        </is>
      </c>
      <c r="E169" t="inlineStr">
        <is>
          <t>KRISTIANSTAD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43414-2020</t>
        </is>
      </c>
      <c r="B170" s="1" t="n">
        <v>44077</v>
      </c>
      <c r="C170" s="1" t="n">
        <v>45851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44316-2020</t>
        </is>
      </c>
      <c r="B171" s="1" t="n">
        <v>44084</v>
      </c>
      <c r="C171" s="1" t="n">
        <v>45851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44463-2020</t>
        </is>
      </c>
      <c r="B172" s="1" t="n">
        <v>44084</v>
      </c>
      <c r="C172" s="1" t="n">
        <v>45851</v>
      </c>
      <c r="D172" t="inlineStr">
        <is>
          <t>SKÅNE LÄN</t>
        </is>
      </c>
      <c r="E172" t="inlineStr">
        <is>
          <t>KRISTIANSTAD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44464-2020</t>
        </is>
      </c>
      <c r="B173" s="1" t="n">
        <v>44084</v>
      </c>
      <c r="C173" s="1" t="n">
        <v>45851</v>
      </c>
      <c r="D173" t="inlineStr">
        <is>
          <t>SKÅNE LÄN</t>
        </is>
      </c>
      <c r="E173" t="inlineStr">
        <is>
          <t>KRISTIANSTAD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47693-2020</t>
        </is>
      </c>
      <c r="B174" s="1" t="n">
        <v>44095</v>
      </c>
      <c r="C174" s="1" t="n">
        <v>45851</v>
      </c>
      <c r="D174" t="inlineStr">
        <is>
          <t>SKÅNE LÄN</t>
        </is>
      </c>
      <c r="E174" t="inlineStr">
        <is>
          <t>KRISTIANSTAD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47613-2020</t>
        </is>
      </c>
      <c r="B175" s="1" t="n">
        <v>44095</v>
      </c>
      <c r="C175" s="1" t="n">
        <v>45851</v>
      </c>
      <c r="D175" t="inlineStr">
        <is>
          <t>SKÅNE LÄN</t>
        </is>
      </c>
      <c r="E175" t="inlineStr">
        <is>
          <t>KRISTIANSTAD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47594-2020</t>
        </is>
      </c>
      <c r="B176" s="1" t="n">
        <v>44095</v>
      </c>
      <c r="C176" s="1" t="n">
        <v>45851</v>
      </c>
      <c r="D176" t="inlineStr">
        <is>
          <t>SKÅNE LÄN</t>
        </is>
      </c>
      <c r="E176" t="inlineStr">
        <is>
          <t>KRISTIANSTAD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47715-2020</t>
        </is>
      </c>
      <c r="B177" s="1" t="n">
        <v>44095</v>
      </c>
      <c r="C177" s="1" t="n">
        <v>45851</v>
      </c>
      <c r="D177" t="inlineStr">
        <is>
          <t>SKÅNE LÄN</t>
        </is>
      </c>
      <c r="E177" t="inlineStr">
        <is>
          <t>KRISTIANSTAD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52383-2020</t>
        </is>
      </c>
      <c r="B178" s="1" t="n">
        <v>44112</v>
      </c>
      <c r="C178" s="1" t="n">
        <v>45851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55979-2020</t>
        </is>
      </c>
      <c r="B179" s="1" t="n">
        <v>44133</v>
      </c>
      <c r="C179" s="1" t="n">
        <v>45851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56521-2020</t>
        </is>
      </c>
      <c r="B180" s="1" t="n">
        <v>44133</v>
      </c>
      <c r="C180" s="1" t="n">
        <v>45851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57928-2020</t>
        </is>
      </c>
      <c r="B181" s="1" t="n">
        <v>44141</v>
      </c>
      <c r="C181" s="1" t="n">
        <v>45851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57832-2020</t>
        </is>
      </c>
      <c r="B182" s="1" t="n">
        <v>44141</v>
      </c>
      <c r="C182" s="1" t="n">
        <v>45851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57840-2020</t>
        </is>
      </c>
      <c r="B183" s="1" t="n">
        <v>44141</v>
      </c>
      <c r="C183" s="1" t="n">
        <v>45851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58297-2020</t>
        </is>
      </c>
      <c r="B184" s="1" t="n">
        <v>44144</v>
      </c>
      <c r="C184" s="1" t="n">
        <v>45851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58887-2020</t>
        </is>
      </c>
      <c r="B185" s="1" t="n">
        <v>44146</v>
      </c>
      <c r="C185" s="1" t="n">
        <v>45851</v>
      </c>
      <c r="D185" t="inlineStr">
        <is>
          <t>SKÅNE LÄN</t>
        </is>
      </c>
      <c r="E185" t="inlineStr">
        <is>
          <t>KRISTIANSTAD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58848-2020</t>
        </is>
      </c>
      <c r="B186" s="1" t="n">
        <v>44146</v>
      </c>
      <c r="C186" s="1" t="n">
        <v>45851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62447-2020</t>
        </is>
      </c>
      <c r="B187" s="1" t="n">
        <v>44159</v>
      </c>
      <c r="C187" s="1" t="n">
        <v>45851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63456-2020</t>
        </is>
      </c>
      <c r="B188" s="1" t="n">
        <v>44161</v>
      </c>
      <c r="C188" s="1" t="n">
        <v>45851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63389-2020</t>
        </is>
      </c>
      <c r="B189" s="1" t="n">
        <v>44161</v>
      </c>
      <c r="C189" s="1" t="n">
        <v>45851</v>
      </c>
      <c r="D189" t="inlineStr">
        <is>
          <t>SKÅNE LÄN</t>
        </is>
      </c>
      <c r="E189" t="inlineStr">
        <is>
          <t>KRISTIANSTAD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65040-2020</t>
        </is>
      </c>
      <c r="B190" s="1" t="n">
        <v>44167</v>
      </c>
      <c r="C190" s="1" t="n">
        <v>45851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65288-2020</t>
        </is>
      </c>
      <c r="B191" s="1" t="n">
        <v>44173</v>
      </c>
      <c r="C191" s="1" t="n">
        <v>45851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67083-2020</t>
        </is>
      </c>
      <c r="B192" s="1" t="n">
        <v>44180</v>
      </c>
      <c r="C192" s="1" t="n">
        <v>45851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68105-2020</t>
        </is>
      </c>
      <c r="B193" s="1" t="n">
        <v>44183</v>
      </c>
      <c r="C193" s="1" t="n">
        <v>45851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68634-2020</t>
        </is>
      </c>
      <c r="B194" s="1" t="n">
        <v>44186</v>
      </c>
      <c r="C194" s="1" t="n">
        <v>45851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68845-2020</t>
        </is>
      </c>
      <c r="B195" s="1" t="n">
        <v>44186</v>
      </c>
      <c r="C195" s="1" t="n">
        <v>45851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68840-2020</t>
        </is>
      </c>
      <c r="B196" s="1" t="n">
        <v>44186</v>
      </c>
      <c r="C196" s="1" t="n">
        <v>45851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69273-2020</t>
        </is>
      </c>
      <c r="B197" s="1" t="n">
        <v>44193</v>
      </c>
      <c r="C197" s="1" t="n">
        <v>45851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49-2021</t>
        </is>
      </c>
      <c r="B198" s="1" t="n">
        <v>44199</v>
      </c>
      <c r="C198" s="1" t="n">
        <v>45851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50-2021</t>
        </is>
      </c>
      <c r="B199" s="1" t="n">
        <v>44199</v>
      </c>
      <c r="C199" s="1" t="n">
        <v>45851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2272-2021</t>
        </is>
      </c>
      <c r="B200" s="1" t="n">
        <v>44211</v>
      </c>
      <c r="C200" s="1" t="n">
        <v>45851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7245-2021</t>
        </is>
      </c>
      <c r="B201" s="1" t="n">
        <v>44237</v>
      </c>
      <c r="C201" s="1" t="n">
        <v>45851</v>
      </c>
      <c r="D201" t="inlineStr">
        <is>
          <t>SKÅNE LÄN</t>
        </is>
      </c>
      <c r="E201" t="inlineStr">
        <is>
          <t>KRISTIANSTAD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7209-2021</t>
        </is>
      </c>
      <c r="B202" s="1" t="n">
        <v>44237</v>
      </c>
      <c r="C202" s="1" t="n">
        <v>45851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7231-2021</t>
        </is>
      </c>
      <c r="B203" s="1" t="n">
        <v>44237</v>
      </c>
      <c r="C203" s="1" t="n">
        <v>45851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7186-2021</t>
        </is>
      </c>
      <c r="B204" s="1" t="n">
        <v>44238</v>
      </c>
      <c r="C204" s="1" t="n">
        <v>45851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8968-2021</t>
        </is>
      </c>
      <c r="B205" s="1" t="n">
        <v>44249</v>
      </c>
      <c r="C205" s="1" t="n">
        <v>45851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10081-2021</t>
        </is>
      </c>
      <c r="B206" s="1" t="n">
        <v>44256</v>
      </c>
      <c r="C206" s="1" t="n">
        <v>45851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13255-2021</t>
        </is>
      </c>
      <c r="B207" s="1" t="n">
        <v>44272</v>
      </c>
      <c r="C207" s="1" t="n">
        <v>45851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13591-2021</t>
        </is>
      </c>
      <c r="B208" s="1" t="n">
        <v>44274</v>
      </c>
      <c r="C208" s="1" t="n">
        <v>45851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15712-2021</t>
        </is>
      </c>
      <c r="B209" s="1" t="n">
        <v>44286</v>
      </c>
      <c r="C209" s="1" t="n">
        <v>45851</v>
      </c>
      <c r="D209" t="inlineStr">
        <is>
          <t>SKÅNE LÄN</t>
        </is>
      </c>
      <c r="E209" t="inlineStr">
        <is>
          <t>KRISTIANSTAD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16082-2021</t>
        </is>
      </c>
      <c r="B210" s="1" t="n">
        <v>44288</v>
      </c>
      <c r="C210" s="1" t="n">
        <v>45851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17387-2021</t>
        </is>
      </c>
      <c r="B211" s="1" t="n">
        <v>44298</v>
      </c>
      <c r="C211" s="1" t="n">
        <v>45851</v>
      </c>
      <c r="D211" t="inlineStr">
        <is>
          <t>SKÅNE LÄN</t>
        </is>
      </c>
      <c r="E211" t="inlineStr">
        <is>
          <t>KRISTIANSTAD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18830-2021</t>
        </is>
      </c>
      <c r="B212" s="1" t="n">
        <v>44307</v>
      </c>
      <c r="C212" s="1" t="n">
        <v>45851</v>
      </c>
      <c r="D212" t="inlineStr">
        <is>
          <t>SKÅNE LÄN</t>
        </is>
      </c>
      <c r="E212" t="inlineStr">
        <is>
          <t>KRISTIANSTAD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20384-2021</t>
        </is>
      </c>
      <c r="B213" s="1" t="n">
        <v>44315</v>
      </c>
      <c r="C213" s="1" t="n">
        <v>45851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22345-2021</t>
        </is>
      </c>
      <c r="B214" s="1" t="n">
        <v>44326</v>
      </c>
      <c r="C214" s="1" t="n">
        <v>45851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22958-2021</t>
        </is>
      </c>
      <c r="B215" s="1" t="n">
        <v>44328</v>
      </c>
      <c r="C215" s="1" t="n">
        <v>45851</v>
      </c>
      <c r="D215" t="inlineStr">
        <is>
          <t>SKÅNE LÄN</t>
        </is>
      </c>
      <c r="E215" t="inlineStr">
        <is>
          <t>KRISTIANSTAD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25051-2021</t>
        </is>
      </c>
      <c r="B216" s="1" t="n">
        <v>44341</v>
      </c>
      <c r="C216" s="1" t="n">
        <v>45851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25043-2021</t>
        </is>
      </c>
      <c r="B217" s="1" t="n">
        <v>44341</v>
      </c>
      <c r="C217" s="1" t="n">
        <v>45851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25047-2021</t>
        </is>
      </c>
      <c r="B218" s="1" t="n">
        <v>44341</v>
      </c>
      <c r="C218" s="1" t="n">
        <v>45851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25578-2021</t>
        </is>
      </c>
      <c r="B219" s="1" t="n">
        <v>44343</v>
      </c>
      <c r="C219" s="1" t="n">
        <v>45851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26482-2021</t>
        </is>
      </c>
      <c r="B220" s="1" t="n">
        <v>44348</v>
      </c>
      <c r="C220" s="1" t="n">
        <v>45851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26918-2021</t>
        </is>
      </c>
      <c r="B221" s="1" t="n">
        <v>44349</v>
      </c>
      <c r="C221" s="1" t="n">
        <v>45851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27764-2021</t>
        </is>
      </c>
      <c r="B222" s="1" t="n">
        <v>44354</v>
      </c>
      <c r="C222" s="1" t="n">
        <v>45851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27729-2021</t>
        </is>
      </c>
      <c r="B223" s="1" t="n">
        <v>44354</v>
      </c>
      <c r="C223" s="1" t="n">
        <v>45851</v>
      </c>
      <c r="D223" t="inlineStr">
        <is>
          <t>SKÅNE LÄN</t>
        </is>
      </c>
      <c r="E223" t="inlineStr">
        <is>
          <t>KRISTIANSTAD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29710-2021</t>
        </is>
      </c>
      <c r="B224" s="1" t="n">
        <v>44362</v>
      </c>
      <c r="C224" s="1" t="n">
        <v>45851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30706-2021</t>
        </is>
      </c>
      <c r="B225" s="1" t="n">
        <v>44365</v>
      </c>
      <c r="C225" s="1" t="n">
        <v>45851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31262-2021</t>
        </is>
      </c>
      <c r="B226" s="1" t="n">
        <v>44368</v>
      </c>
      <c r="C226" s="1" t="n">
        <v>45851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33788-2021</t>
        </is>
      </c>
      <c r="B227" s="1" t="n">
        <v>44378</v>
      </c>
      <c r="C227" s="1" t="n">
        <v>45851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35304-2021</t>
        </is>
      </c>
      <c r="B228" s="1" t="n">
        <v>44384</v>
      </c>
      <c r="C228" s="1" t="n">
        <v>45851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35300-2021</t>
        </is>
      </c>
      <c r="B229" s="1" t="n">
        <v>44384</v>
      </c>
      <c r="C229" s="1" t="n">
        <v>45851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37546-2021</t>
        </is>
      </c>
      <c r="B230" s="1" t="n">
        <v>44390</v>
      </c>
      <c r="C230" s="1" t="n">
        <v>45851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36412-2021</t>
        </is>
      </c>
      <c r="B231" s="1" t="n">
        <v>44390</v>
      </c>
      <c r="C231" s="1" t="n">
        <v>45851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37558-2021</t>
        </is>
      </c>
      <c r="B232" s="1" t="n">
        <v>44399</v>
      </c>
      <c r="C232" s="1" t="n">
        <v>45851</v>
      </c>
      <c r="D232" t="inlineStr">
        <is>
          <t>SKÅNE LÄN</t>
        </is>
      </c>
      <c r="E232" t="inlineStr">
        <is>
          <t>KRISTIANSTAD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37556-2021</t>
        </is>
      </c>
      <c r="B233" s="1" t="n">
        <v>44399</v>
      </c>
      <c r="C233" s="1" t="n">
        <v>45851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38693-2021</t>
        </is>
      </c>
      <c r="B234" s="1" t="n">
        <v>44410</v>
      </c>
      <c r="C234" s="1" t="n">
        <v>45851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39444-2021</t>
        </is>
      </c>
      <c r="B235" s="1" t="n">
        <v>44412</v>
      </c>
      <c r="C235" s="1" t="n">
        <v>45851</v>
      </c>
      <c r="D235" t="inlineStr">
        <is>
          <t>SKÅNE LÄN</t>
        </is>
      </c>
      <c r="E235" t="inlineStr">
        <is>
          <t>KRISTIANSTAD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39449-2021</t>
        </is>
      </c>
      <c r="B236" s="1" t="n">
        <v>44412</v>
      </c>
      <c r="C236" s="1" t="n">
        <v>45851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39993-2021</t>
        </is>
      </c>
      <c r="B237" s="1" t="n">
        <v>44417</v>
      </c>
      <c r="C237" s="1" t="n">
        <v>45851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39996-2021</t>
        </is>
      </c>
      <c r="B238" s="1" t="n">
        <v>44417</v>
      </c>
      <c r="C238" s="1" t="n">
        <v>45851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40328-2021</t>
        </is>
      </c>
      <c r="B239" s="1" t="n">
        <v>44419</v>
      </c>
      <c r="C239" s="1" t="n">
        <v>45851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45851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45851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42658-2021</t>
        </is>
      </c>
      <c r="B242" s="1" t="n">
        <v>44428</v>
      </c>
      <c r="C242" s="1" t="n">
        <v>45851</v>
      </c>
      <c r="D242" t="inlineStr">
        <is>
          <t>SKÅNE LÄN</t>
        </is>
      </c>
      <c r="E242" t="inlineStr">
        <is>
          <t>KRISTIANSTAD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42681-2021</t>
        </is>
      </c>
      <c r="B243" s="1" t="n">
        <v>44428</v>
      </c>
      <c r="C243" s="1" t="n">
        <v>45851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43655-2021</t>
        </is>
      </c>
      <c r="B244" s="1" t="n">
        <v>44433</v>
      </c>
      <c r="C244" s="1" t="n">
        <v>45851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43981-2021</t>
        </is>
      </c>
      <c r="B245" s="1" t="n">
        <v>44434</v>
      </c>
      <c r="C245" s="1" t="n">
        <v>45851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44329-2021</t>
        </is>
      </c>
      <c r="B246" s="1" t="n">
        <v>44435</v>
      </c>
      <c r="C246" s="1" t="n">
        <v>45851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44361-2021</t>
        </is>
      </c>
      <c r="B247" s="1" t="n">
        <v>44435</v>
      </c>
      <c r="C247" s="1" t="n">
        <v>45851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46193-2021</t>
        </is>
      </c>
      <c r="B248" s="1" t="n">
        <v>44442</v>
      </c>
      <c r="C248" s="1" t="n">
        <v>45851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46190-2021</t>
        </is>
      </c>
      <c r="B249" s="1" t="n">
        <v>44442</v>
      </c>
      <c r="C249" s="1" t="n">
        <v>45851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48054-2021</t>
        </is>
      </c>
      <c r="B250" s="1" t="n">
        <v>44449</v>
      </c>
      <c r="C250" s="1" t="n">
        <v>45851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48184-2021</t>
        </is>
      </c>
      <c r="B251" s="1" t="n">
        <v>44449</v>
      </c>
      <c r="C251" s="1" t="n">
        <v>45851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48173-2021</t>
        </is>
      </c>
      <c r="B252" s="1" t="n">
        <v>44449</v>
      </c>
      <c r="C252" s="1" t="n">
        <v>45851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48707-2021</t>
        </is>
      </c>
      <c r="B253" s="1" t="n">
        <v>44452</v>
      </c>
      <c r="C253" s="1" t="n">
        <v>45851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49520-2021</t>
        </is>
      </c>
      <c r="B254" s="1" t="n">
        <v>44455</v>
      </c>
      <c r="C254" s="1" t="n">
        <v>45851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50834-2021</t>
        </is>
      </c>
      <c r="B255" s="1" t="n">
        <v>44460</v>
      </c>
      <c r="C255" s="1" t="n">
        <v>45851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HYPERLINK("https://klasma.github.io/Logging_1290/knärot/A 50834-2021 karta knärot.png", "A 50834-2021")</f>
        <v/>
      </c>
      <c r="V255">
        <f>HYPERLINK("https://klasma.github.io/Logging_1290/klagomål/A 50834-2021 FSC-klagomål.docx", "A 50834-2021")</f>
        <v/>
      </c>
      <c r="W255">
        <f>HYPERLINK("https://klasma.github.io/Logging_1290/klagomålsmail/A 50834-2021 FSC-klagomål mail.docx", "A 50834-2021")</f>
        <v/>
      </c>
      <c r="X255">
        <f>HYPERLINK("https://klasma.github.io/Logging_1290/tillsyn/A 50834-2021 tillsynsbegäran.docx", "A 50834-2021")</f>
        <v/>
      </c>
      <c r="Y255">
        <f>HYPERLINK("https://klasma.github.io/Logging_1290/tillsynsmail/A 50834-2021 tillsynsbegäran mail.docx", "A 50834-2021")</f>
        <v/>
      </c>
    </row>
    <row r="256" ht="15" customHeight="1">
      <c r="A256" t="inlineStr">
        <is>
          <t>A 50828-2021</t>
        </is>
      </c>
      <c r="B256" s="1" t="n">
        <v>44460</v>
      </c>
      <c r="C256" s="1" t="n">
        <v>45851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51318-2021</t>
        </is>
      </c>
      <c r="B257" s="1" t="n">
        <v>44461</v>
      </c>
      <c r="C257" s="1" t="n">
        <v>45851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52057-2021</t>
        </is>
      </c>
      <c r="B258" s="1" t="n">
        <v>44463</v>
      </c>
      <c r="C258" s="1" t="n">
        <v>45851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52924-2021</t>
        </is>
      </c>
      <c r="B259" s="1" t="n">
        <v>44467</v>
      </c>
      <c r="C259" s="1" t="n">
        <v>45851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53258-2021</t>
        </is>
      </c>
      <c r="B260" s="1" t="n">
        <v>44468</v>
      </c>
      <c r="C260" s="1" t="n">
        <v>45851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53491-2021</t>
        </is>
      </c>
      <c r="B261" s="1" t="n">
        <v>44468</v>
      </c>
      <c r="C261" s="1" t="n">
        <v>45851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54057-2021</t>
        </is>
      </c>
      <c r="B262" s="1" t="n">
        <v>44470</v>
      </c>
      <c r="C262" s="1" t="n">
        <v>45851</v>
      </c>
      <c r="D262" t="inlineStr">
        <is>
          <t>SKÅNE LÄN</t>
        </is>
      </c>
      <c r="E262" t="inlineStr">
        <is>
          <t>KRISTIANSTAD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55737-2021</t>
        </is>
      </c>
      <c r="B263" s="1" t="n">
        <v>44476</v>
      </c>
      <c r="C263" s="1" t="n">
        <v>45851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57488-2021</t>
        </is>
      </c>
      <c r="B264" s="1" t="n">
        <v>44483</v>
      </c>
      <c r="C264" s="1" t="n">
        <v>45851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58175-2021</t>
        </is>
      </c>
      <c r="B265" s="1" t="n">
        <v>44487</v>
      </c>
      <c r="C265" s="1" t="n">
        <v>45851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59831-2021</t>
        </is>
      </c>
      <c r="B266" s="1" t="n">
        <v>44491</v>
      </c>
      <c r="C266" s="1" t="n">
        <v>45851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61147-2021</t>
        </is>
      </c>
      <c r="B267" s="1" t="n">
        <v>44497</v>
      </c>
      <c r="C267" s="1" t="n">
        <v>45851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61198-2021</t>
        </is>
      </c>
      <c r="B268" s="1" t="n">
        <v>44497</v>
      </c>
      <c r="C268" s="1" t="n">
        <v>45851</v>
      </c>
      <c r="D268" t="inlineStr">
        <is>
          <t>SKÅNE LÄN</t>
        </is>
      </c>
      <c r="E268" t="inlineStr">
        <is>
          <t>KRISTIANSTAD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61137-2021</t>
        </is>
      </c>
      <c r="B269" s="1" t="n">
        <v>44497</v>
      </c>
      <c r="C269" s="1" t="n">
        <v>45851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62282-2021</t>
        </is>
      </c>
      <c r="B270" s="1" t="n">
        <v>44503</v>
      </c>
      <c r="C270" s="1" t="n">
        <v>45851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65093-2021</t>
        </is>
      </c>
      <c r="B271" s="1" t="n">
        <v>44513</v>
      </c>
      <c r="C271" s="1" t="n">
        <v>45851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65097-2021</t>
        </is>
      </c>
      <c r="B272" s="1" t="n">
        <v>44513</v>
      </c>
      <c r="C272" s="1" t="n">
        <v>45851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</v>
      </c>
      <c r="C273" s="1" t="n">
        <v>45851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67024-2021</t>
        </is>
      </c>
      <c r="B274" s="1" t="n">
        <v>44522</v>
      </c>
      <c r="C274" s="1" t="n">
        <v>45851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69993-2021</t>
        </is>
      </c>
      <c r="B275" s="1" t="n">
        <v>44533</v>
      </c>
      <c r="C275" s="1" t="n">
        <v>45851</v>
      </c>
      <c r="D275" t="inlineStr">
        <is>
          <t>SKÅNE LÄN</t>
        </is>
      </c>
      <c r="E275" t="inlineStr">
        <is>
          <t>KRISTIANSTAD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70357-2021</t>
        </is>
      </c>
      <c r="B276" s="1" t="n">
        <v>44536</v>
      </c>
      <c r="C276" s="1" t="n">
        <v>45851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45851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71383-2021</t>
        </is>
      </c>
      <c r="B278" s="1" t="n">
        <v>44540</v>
      </c>
      <c r="C278" s="1" t="n">
        <v>45851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72100-2021</t>
        </is>
      </c>
      <c r="B279" s="1" t="n">
        <v>44544</v>
      </c>
      <c r="C279" s="1" t="n">
        <v>45851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74289-2021</t>
        </is>
      </c>
      <c r="B280" s="1" t="n">
        <v>44558</v>
      </c>
      <c r="C280" s="1" t="n">
        <v>45851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74299-2021</t>
        </is>
      </c>
      <c r="B281" s="1" t="n">
        <v>44558</v>
      </c>
      <c r="C281" s="1" t="n">
        <v>45851</v>
      </c>
      <c r="D281" t="inlineStr">
        <is>
          <t>SKÅNE LÄN</t>
        </is>
      </c>
      <c r="E281" t="inlineStr">
        <is>
          <t>KRISTIANSTAD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74507-2021</t>
        </is>
      </c>
      <c r="B282" s="1" t="n">
        <v>44560</v>
      </c>
      <c r="C282" s="1" t="n">
        <v>45851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1218-2022</t>
        </is>
      </c>
      <c r="B283" s="1" t="n">
        <v>44572</v>
      </c>
      <c r="C283" s="1" t="n">
        <v>45851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45851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1351-2022</t>
        </is>
      </c>
      <c r="B285" s="1" t="n">
        <v>44572</v>
      </c>
      <c r="C285" s="1" t="n">
        <v>45851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1694-2022</t>
        </is>
      </c>
      <c r="B286" s="1" t="n">
        <v>44574</v>
      </c>
      <c r="C286" s="1" t="n">
        <v>45851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2007-2022</t>
        </is>
      </c>
      <c r="B287" s="1" t="n">
        <v>44575</v>
      </c>
      <c r="C287" s="1" t="n">
        <v>45851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2472-2022</t>
        </is>
      </c>
      <c r="B288" s="1" t="n">
        <v>44579</v>
      </c>
      <c r="C288" s="1" t="n">
        <v>45851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3904-2022</t>
        </is>
      </c>
      <c r="B289" s="1" t="n">
        <v>44587</v>
      </c>
      <c r="C289" s="1" t="n">
        <v>45851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3908-2022</t>
        </is>
      </c>
      <c r="B290" s="1" t="n">
        <v>44587</v>
      </c>
      <c r="C290" s="1" t="n">
        <v>45851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4673-2022</t>
        </is>
      </c>
      <c r="B291" s="1" t="n">
        <v>44592</v>
      </c>
      <c r="C291" s="1" t="n">
        <v>45851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4607-2022</t>
        </is>
      </c>
      <c r="B292" s="1" t="n">
        <v>44592</v>
      </c>
      <c r="C292" s="1" t="n">
        <v>45851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5537-2022</t>
        </is>
      </c>
      <c r="B293" s="1" t="n">
        <v>44595</v>
      </c>
      <c r="C293" s="1" t="n">
        <v>45851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45851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5853-2022</t>
        </is>
      </c>
      <c r="B295" s="1" t="n">
        <v>44596</v>
      </c>
      <c r="C295" s="1" t="n">
        <v>45851</v>
      </c>
      <c r="D295" t="inlineStr">
        <is>
          <t>SKÅNE LÄN</t>
        </is>
      </c>
      <c r="E295" t="inlineStr">
        <is>
          <t>KRISTIANSTAD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5856-2022</t>
        </is>
      </c>
      <c r="B296" s="1" t="n">
        <v>44596</v>
      </c>
      <c r="C296" s="1" t="n">
        <v>45851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5987-2022</t>
        </is>
      </c>
      <c r="B297" s="1" t="n">
        <v>44599</v>
      </c>
      <c r="C297" s="1" t="n">
        <v>45851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6616-2022</t>
        </is>
      </c>
      <c r="B298" s="1" t="n">
        <v>44601</v>
      </c>
      <c r="C298" s="1" t="n">
        <v>45851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7546-2022</t>
        </is>
      </c>
      <c r="B299" s="1" t="n">
        <v>44607</v>
      </c>
      <c r="C299" s="1" t="n">
        <v>45851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8843-2022</t>
        </is>
      </c>
      <c r="B300" s="1" t="n">
        <v>44607</v>
      </c>
      <c r="C300" s="1" t="n">
        <v>45851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8844-2022</t>
        </is>
      </c>
      <c r="B301" s="1" t="n">
        <v>44607</v>
      </c>
      <c r="C301" s="1" t="n">
        <v>45851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8084-2022</t>
        </is>
      </c>
      <c r="B302" s="1" t="n">
        <v>44608</v>
      </c>
      <c r="C302" s="1" t="n">
        <v>45851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8206-2022</t>
        </is>
      </c>
      <c r="B303" s="1" t="n">
        <v>44609</v>
      </c>
      <c r="C303" s="1" t="n">
        <v>45851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8260-2022</t>
        </is>
      </c>
      <c r="B304" s="1" t="n">
        <v>44610</v>
      </c>
      <c r="C304" s="1" t="n">
        <v>45851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8619-2022</t>
        </is>
      </c>
      <c r="B305" s="1" t="n">
        <v>44613</v>
      </c>
      <c r="C305" s="1" t="n">
        <v>45851</v>
      </c>
      <c r="D305" t="inlineStr">
        <is>
          <t>SKÅNE LÄN</t>
        </is>
      </c>
      <c r="E305" t="inlineStr">
        <is>
          <t>KRISTIANSTAD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10194-2022</t>
        </is>
      </c>
      <c r="B306" s="1" t="n">
        <v>44622</v>
      </c>
      <c r="C306" s="1" t="n">
        <v>45851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10352-2022</t>
        </is>
      </c>
      <c r="B307" s="1" t="n">
        <v>44623</v>
      </c>
      <c r="C307" s="1" t="n">
        <v>45851</v>
      </c>
      <c r="D307" t="inlineStr">
        <is>
          <t>SKÅNE LÄN</t>
        </is>
      </c>
      <c r="E307" t="inlineStr">
        <is>
          <t>KRISTIANSTAD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10355-2022</t>
        </is>
      </c>
      <c r="B308" s="1" t="n">
        <v>44623</v>
      </c>
      <c r="C308" s="1" t="n">
        <v>45851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10474-2022</t>
        </is>
      </c>
      <c r="B309" s="1" t="n">
        <v>44623</v>
      </c>
      <c r="C309" s="1" t="n">
        <v>45851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10781-2022</t>
        </is>
      </c>
      <c r="B310" s="1" t="n">
        <v>44627</v>
      </c>
      <c r="C310" s="1" t="n">
        <v>45851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10805-2022</t>
        </is>
      </c>
      <c r="B311" s="1" t="n">
        <v>44627</v>
      </c>
      <c r="C311" s="1" t="n">
        <v>45851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11067-2022</t>
        </is>
      </c>
      <c r="B312" s="1" t="n">
        <v>44628</v>
      </c>
      <c r="C312" s="1" t="n">
        <v>45851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10970-2022</t>
        </is>
      </c>
      <c r="B313" s="1" t="n">
        <v>44628</v>
      </c>
      <c r="C313" s="1" t="n">
        <v>45851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11054-2022</t>
        </is>
      </c>
      <c r="B314" s="1" t="n">
        <v>44628</v>
      </c>
      <c r="C314" s="1" t="n">
        <v>45851</v>
      </c>
      <c r="D314" t="inlineStr">
        <is>
          <t>SKÅNE LÄN</t>
        </is>
      </c>
      <c r="E314" t="inlineStr">
        <is>
          <t>KRISTIANSTAD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11207-2022</t>
        </is>
      </c>
      <c r="B315" s="1" t="n">
        <v>44629</v>
      </c>
      <c r="C315" s="1" t="n">
        <v>45851</v>
      </c>
      <c r="D315" t="inlineStr">
        <is>
          <t>SKÅNE LÄN</t>
        </is>
      </c>
      <c r="E315" t="inlineStr">
        <is>
          <t>KRISTIANSTAD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11786-2022</t>
        </is>
      </c>
      <c r="B316" s="1" t="n">
        <v>44634</v>
      </c>
      <c r="C316" s="1" t="n">
        <v>45851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11795-2022</t>
        </is>
      </c>
      <c r="B317" s="1" t="n">
        <v>44634</v>
      </c>
      <c r="C317" s="1" t="n">
        <v>45851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12500-2022</t>
        </is>
      </c>
      <c r="B318" s="1" t="n">
        <v>44638</v>
      </c>
      <c r="C318" s="1" t="n">
        <v>45851</v>
      </c>
      <c r="D318" t="inlineStr">
        <is>
          <t>SKÅNE LÄN</t>
        </is>
      </c>
      <c r="E318" t="inlineStr">
        <is>
          <t>KRISTIANSTAD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13431-2022</t>
        </is>
      </c>
      <c r="B319" s="1" t="n">
        <v>44645</v>
      </c>
      <c r="C319" s="1" t="n">
        <v>45851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13433-2022</t>
        </is>
      </c>
      <c r="B320" s="1" t="n">
        <v>44645</v>
      </c>
      <c r="C320" s="1" t="n">
        <v>45851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14524-2022</t>
        </is>
      </c>
      <c r="B321" s="1" t="n">
        <v>44655</v>
      </c>
      <c r="C321" s="1" t="n">
        <v>45851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14913-2022</t>
        </is>
      </c>
      <c r="B322" s="1" t="n">
        <v>44656</v>
      </c>
      <c r="C322" s="1" t="n">
        <v>45851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16204-2022</t>
        </is>
      </c>
      <c r="B323" s="1" t="n">
        <v>44669</v>
      </c>
      <c r="C323" s="1" t="n">
        <v>45851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16326-2022</t>
        </is>
      </c>
      <c r="B324" s="1" t="n">
        <v>44670</v>
      </c>
      <c r="C324" s="1" t="n">
        <v>45851</v>
      </c>
      <c r="D324" t="inlineStr">
        <is>
          <t>SKÅNE LÄN</t>
        </is>
      </c>
      <c r="E324" t="inlineStr">
        <is>
          <t>KRISTIANSTAD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16579-2022</t>
        </is>
      </c>
      <c r="B325" s="1" t="n">
        <v>44672</v>
      </c>
      <c r="C325" s="1" t="n">
        <v>45851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16564-2022</t>
        </is>
      </c>
      <c r="B326" s="1" t="n">
        <v>44672</v>
      </c>
      <c r="C326" s="1" t="n">
        <v>45851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16588-2022</t>
        </is>
      </c>
      <c r="B327" s="1" t="n">
        <v>44672</v>
      </c>
      <c r="C327" s="1" t="n">
        <v>45851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16571-2022</t>
        </is>
      </c>
      <c r="B328" s="1" t="n">
        <v>44672</v>
      </c>
      <c r="C328" s="1" t="n">
        <v>45851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18146-2022</t>
        </is>
      </c>
      <c r="B329" s="1" t="n">
        <v>44684</v>
      </c>
      <c r="C329" s="1" t="n">
        <v>45851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18322-2022</t>
        </is>
      </c>
      <c r="B330" s="1" t="n">
        <v>44685</v>
      </c>
      <c r="C330" s="1" t="n">
        <v>45851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18449-2022</t>
        </is>
      </c>
      <c r="B331" s="1" t="n">
        <v>44686</v>
      </c>
      <c r="C331" s="1" t="n">
        <v>45851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19642-2022</t>
        </is>
      </c>
      <c r="B332" s="1" t="n">
        <v>44694</v>
      </c>
      <c r="C332" s="1" t="n">
        <v>45851</v>
      </c>
      <c r="D332" t="inlineStr">
        <is>
          <t>SKÅNE LÄN</t>
        </is>
      </c>
      <c r="E332" t="inlineStr">
        <is>
          <t>KRISTIANSTAD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19910-2022</t>
        </is>
      </c>
      <c r="B333" s="1" t="n">
        <v>44697</v>
      </c>
      <c r="C333" s="1" t="n">
        <v>45851</v>
      </c>
      <c r="D333" t="inlineStr">
        <is>
          <t>SKÅNE LÄN</t>
        </is>
      </c>
      <c r="E333" t="inlineStr">
        <is>
          <t>KRISTIANSTAD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21393-2022</t>
        </is>
      </c>
      <c r="B334" s="1" t="n">
        <v>44705</v>
      </c>
      <c r="C334" s="1" t="n">
        <v>45851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21390-2022</t>
        </is>
      </c>
      <c r="B335" s="1" t="n">
        <v>44705</v>
      </c>
      <c r="C335" s="1" t="n">
        <v>45851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21417-2022</t>
        </is>
      </c>
      <c r="B336" s="1" t="n">
        <v>44706</v>
      </c>
      <c r="C336" s="1" t="n">
        <v>45851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22292-2022</t>
        </is>
      </c>
      <c r="B337" s="1" t="n">
        <v>44712</v>
      </c>
      <c r="C337" s="1" t="n">
        <v>45851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22548-2022</t>
        </is>
      </c>
      <c r="B338" s="1" t="n">
        <v>44714</v>
      </c>
      <c r="C338" s="1" t="n">
        <v>45851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22504-2022</t>
        </is>
      </c>
      <c r="B339" s="1" t="n">
        <v>44713</v>
      </c>
      <c r="C339" s="1" t="n">
        <v>45851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23412-2022</t>
        </is>
      </c>
      <c r="B340" s="1" t="n">
        <v>44720</v>
      </c>
      <c r="C340" s="1" t="n">
        <v>45851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23457-2022</t>
        </is>
      </c>
      <c r="B341" s="1" t="n">
        <v>44721</v>
      </c>
      <c r="C341" s="1" t="n">
        <v>45851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24415-2022</t>
        </is>
      </c>
      <c r="B342" s="1" t="n">
        <v>44725</v>
      </c>
      <c r="C342" s="1" t="n">
        <v>45851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25191-2022</t>
        </is>
      </c>
      <c r="B343" s="1" t="n">
        <v>44729</v>
      </c>
      <c r="C343" s="1" t="n">
        <v>45851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25249-2022</t>
        </is>
      </c>
      <c r="B344" s="1" t="n">
        <v>44729</v>
      </c>
      <c r="C344" s="1" t="n">
        <v>45851</v>
      </c>
      <c r="D344" t="inlineStr">
        <is>
          <t>SKÅNE LÄN</t>
        </is>
      </c>
      <c r="E344" t="inlineStr">
        <is>
          <t>KRISTIANSTAD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25450-2022</t>
        </is>
      </c>
      <c r="B345" s="1" t="n">
        <v>44732</v>
      </c>
      <c r="C345" s="1" t="n">
        <v>45851</v>
      </c>
      <c r="D345" t="inlineStr">
        <is>
          <t>SKÅNE LÄN</t>
        </is>
      </c>
      <c r="E345" t="inlineStr">
        <is>
          <t>KRISTIANSTAD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26551-2022</t>
        </is>
      </c>
      <c r="B346" s="1" t="n">
        <v>44739</v>
      </c>
      <c r="C346" s="1" t="n">
        <v>45851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26857-2022</t>
        </is>
      </c>
      <c r="B347" s="1" t="n">
        <v>44740</v>
      </c>
      <c r="C347" s="1" t="n">
        <v>45851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27476-2022</t>
        </is>
      </c>
      <c r="B348" s="1" t="n">
        <v>44742</v>
      </c>
      <c r="C348" s="1" t="n">
        <v>45851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27529-2022</t>
        </is>
      </c>
      <c r="B349" s="1" t="n">
        <v>44742</v>
      </c>
      <c r="C349" s="1" t="n">
        <v>45851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27956-2022</t>
        </is>
      </c>
      <c r="B350" s="1" t="n">
        <v>44743</v>
      </c>
      <c r="C350" s="1" t="n">
        <v>45851</v>
      </c>
      <c r="D350" t="inlineStr">
        <is>
          <t>SKÅNE LÄN</t>
        </is>
      </c>
      <c r="E350" t="inlineStr">
        <is>
          <t>KRISTIANSTAD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27955-2022</t>
        </is>
      </c>
      <c r="B351" s="1" t="n">
        <v>44743</v>
      </c>
      <c r="C351" s="1" t="n">
        <v>45851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27953-2022</t>
        </is>
      </c>
      <c r="B352" s="1" t="n">
        <v>44743</v>
      </c>
      <c r="C352" s="1" t="n">
        <v>45851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45851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27962-2022</t>
        </is>
      </c>
      <c r="B354" s="1" t="n">
        <v>44744</v>
      </c>
      <c r="C354" s="1" t="n">
        <v>45851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27961-2022</t>
        </is>
      </c>
      <c r="B355" s="1" t="n">
        <v>44744</v>
      </c>
      <c r="C355" s="1" t="n">
        <v>45851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27960-2022</t>
        </is>
      </c>
      <c r="B356" s="1" t="n">
        <v>44744</v>
      </c>
      <c r="C356" s="1" t="n">
        <v>45851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28082-2022</t>
        </is>
      </c>
      <c r="B357" s="1" t="n">
        <v>44746</v>
      </c>
      <c r="C357" s="1" t="n">
        <v>45851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28781-2022</t>
        </is>
      </c>
      <c r="B358" s="1" t="n">
        <v>44749</v>
      </c>
      <c r="C358" s="1" t="n">
        <v>45851</v>
      </c>
      <c r="D358" t="inlineStr">
        <is>
          <t>SKÅNE LÄN</t>
        </is>
      </c>
      <c r="E358" t="inlineStr">
        <is>
          <t>KRISTIANSTAD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28853-2022</t>
        </is>
      </c>
      <c r="B359" s="1" t="n">
        <v>44749</v>
      </c>
      <c r="C359" s="1" t="n">
        <v>45851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30641-2022</t>
        </is>
      </c>
      <c r="B360" s="1" t="n">
        <v>44763</v>
      </c>
      <c r="C360" s="1" t="n">
        <v>45851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30845-2022</t>
        </is>
      </c>
      <c r="B361" s="1" t="n">
        <v>44767</v>
      </c>
      <c r="C361" s="1" t="n">
        <v>45851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30863-2022</t>
        </is>
      </c>
      <c r="B362" s="1" t="n">
        <v>44767</v>
      </c>
      <c r="C362" s="1" t="n">
        <v>45851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30916-2022</t>
        </is>
      </c>
      <c r="B363" s="1" t="n">
        <v>44767</v>
      </c>
      <c r="C363" s="1" t="n">
        <v>45851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30864-2022</t>
        </is>
      </c>
      <c r="B364" s="1" t="n">
        <v>44767</v>
      </c>
      <c r="C364" s="1" t="n">
        <v>45851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45851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30925-2022</t>
        </is>
      </c>
      <c r="B366" s="1" t="n">
        <v>44767</v>
      </c>
      <c r="C366" s="1" t="n">
        <v>45851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31374-2022</t>
        </is>
      </c>
      <c r="B367" s="1" t="n">
        <v>44774</v>
      </c>
      <c r="C367" s="1" t="n">
        <v>45851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33682-2022</t>
        </is>
      </c>
      <c r="B368" s="1" t="n">
        <v>44789</v>
      </c>
      <c r="C368" s="1" t="n">
        <v>45851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</v>
      </c>
      <c r="C369" s="1" t="n">
        <v>45851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34873-2022</t>
        </is>
      </c>
      <c r="B370" s="1" t="n">
        <v>44796</v>
      </c>
      <c r="C370" s="1" t="n">
        <v>45851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36540-2022</t>
        </is>
      </c>
      <c r="B371" s="1" t="n">
        <v>44804</v>
      </c>
      <c r="C371" s="1" t="n">
        <v>45851</v>
      </c>
      <c r="D371" t="inlineStr">
        <is>
          <t>SKÅNE LÄN</t>
        </is>
      </c>
      <c r="E371" t="inlineStr">
        <is>
          <t>KRISTIANSTAD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38492-2022</t>
        </is>
      </c>
      <c r="B372" s="1" t="n">
        <v>44813</v>
      </c>
      <c r="C372" s="1" t="n">
        <v>45851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38500-2022</t>
        </is>
      </c>
      <c r="B373" s="1" t="n">
        <v>44813</v>
      </c>
      <c r="C373" s="1" t="n">
        <v>45851</v>
      </c>
      <c r="D373" t="inlineStr">
        <is>
          <t>SKÅNE LÄN</t>
        </is>
      </c>
      <c r="E373" t="inlineStr">
        <is>
          <t>KRISTIANSTAD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45851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38938-2022</t>
        </is>
      </c>
      <c r="B375" s="1" t="n">
        <v>44816</v>
      </c>
      <c r="C375" s="1" t="n">
        <v>45851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45851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40181-2022</t>
        </is>
      </c>
      <c r="B377" s="1" t="n">
        <v>44818</v>
      </c>
      <c r="C377" s="1" t="n">
        <v>45851</v>
      </c>
      <c r="D377" t="inlineStr">
        <is>
          <t>SKÅNE LÄN</t>
        </is>
      </c>
      <c r="E377" t="inlineStr">
        <is>
          <t>KRISTIANSTAD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40037-2022</t>
        </is>
      </c>
      <c r="B378" s="1" t="n">
        <v>44818</v>
      </c>
      <c r="C378" s="1" t="n">
        <v>45851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40974-2022</t>
        </is>
      </c>
      <c r="B379" s="1" t="n">
        <v>44823</v>
      </c>
      <c r="C379" s="1" t="n">
        <v>45851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40712-2022</t>
        </is>
      </c>
      <c r="B380" s="1" t="n">
        <v>44824</v>
      </c>
      <c r="C380" s="1" t="n">
        <v>45851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40762-2022</t>
        </is>
      </c>
      <c r="B381" s="1" t="n">
        <v>44824</v>
      </c>
      <c r="C381" s="1" t="n">
        <v>45851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40661-2022</t>
        </is>
      </c>
      <c r="B382" s="1" t="n">
        <v>44824</v>
      </c>
      <c r="C382" s="1" t="n">
        <v>45851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41940-2022</t>
        </is>
      </c>
      <c r="B383" s="1" t="n">
        <v>44833</v>
      </c>
      <c r="C383" s="1" t="n">
        <v>45851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43663-2022</t>
        </is>
      </c>
      <c r="B384" s="1" t="n">
        <v>44837</v>
      </c>
      <c r="C384" s="1" t="n">
        <v>45851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43865-2022</t>
        </is>
      </c>
      <c r="B385" s="1" t="n">
        <v>44838</v>
      </c>
      <c r="C385" s="1" t="n">
        <v>45851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43868-2022</t>
        </is>
      </c>
      <c r="B386" s="1" t="n">
        <v>44838</v>
      </c>
      <c r="C386" s="1" t="n">
        <v>45851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44582-2022</t>
        </is>
      </c>
      <c r="B387" s="1" t="n">
        <v>44840</v>
      </c>
      <c r="C387" s="1" t="n">
        <v>45851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45043-2022</t>
        </is>
      </c>
      <c r="B388" s="1" t="n">
        <v>44841</v>
      </c>
      <c r="C388" s="1" t="n">
        <v>45851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45042-2022</t>
        </is>
      </c>
      <c r="B389" s="1" t="n">
        <v>44841</v>
      </c>
      <c r="C389" s="1" t="n">
        <v>45851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45109-2022</t>
        </is>
      </c>
      <c r="B390" s="1" t="n">
        <v>44843</v>
      </c>
      <c r="C390" s="1" t="n">
        <v>45851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45764-2022</t>
        </is>
      </c>
      <c r="B391" s="1" t="n">
        <v>44846</v>
      </c>
      <c r="C391" s="1" t="n">
        <v>45851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45728-2022</t>
        </is>
      </c>
      <c r="B392" s="1" t="n">
        <v>44846</v>
      </c>
      <c r="C392" s="1" t="n">
        <v>45851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46515-2022</t>
        </is>
      </c>
      <c r="B393" s="1" t="n">
        <v>44847</v>
      </c>
      <c r="C393" s="1" t="n">
        <v>45851</v>
      </c>
      <c r="D393" t="inlineStr">
        <is>
          <t>SKÅNE LÄN</t>
        </is>
      </c>
      <c r="E393" t="inlineStr">
        <is>
          <t>KRISTIANSTAD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46504-2022</t>
        </is>
      </c>
      <c r="B394" s="1" t="n">
        <v>44847</v>
      </c>
      <c r="C394" s="1" t="n">
        <v>45851</v>
      </c>
      <c r="D394" t="inlineStr">
        <is>
          <t>SKÅNE LÄN</t>
        </is>
      </c>
      <c r="E394" t="inlineStr">
        <is>
          <t>KRISTIANSTAD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48217-2022</t>
        </is>
      </c>
      <c r="B395" s="1" t="n">
        <v>44853</v>
      </c>
      <c r="C395" s="1" t="n">
        <v>45851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48012-2022</t>
        </is>
      </c>
      <c r="B396" s="1" t="n">
        <v>44855</v>
      </c>
      <c r="C396" s="1" t="n">
        <v>45851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45851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49239-2022</t>
        </is>
      </c>
      <c r="B398" s="1" t="n">
        <v>44858</v>
      </c>
      <c r="C398" s="1" t="n">
        <v>45851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49233-2022</t>
        </is>
      </c>
      <c r="B399" s="1" t="n">
        <v>44858</v>
      </c>
      <c r="C399" s="1" t="n">
        <v>45851</v>
      </c>
      <c r="D399" t="inlineStr">
        <is>
          <t>SKÅNE LÄN</t>
        </is>
      </c>
      <c r="E399" t="inlineStr">
        <is>
          <t>KRISTIANSTAD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49747-2022</t>
        </is>
      </c>
      <c r="B400" s="1" t="n">
        <v>44862</v>
      </c>
      <c r="C400" s="1" t="n">
        <v>45851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50520-2022</t>
        </is>
      </c>
      <c r="B401" s="1" t="n">
        <v>44866</v>
      </c>
      <c r="C401" s="1" t="n">
        <v>45851</v>
      </c>
      <c r="D401" t="inlineStr">
        <is>
          <t>SKÅNE LÄN</t>
        </is>
      </c>
      <c r="E401" t="inlineStr">
        <is>
          <t>KRISTIANSTAD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50516-2022</t>
        </is>
      </c>
      <c r="B402" s="1" t="n">
        <v>44866</v>
      </c>
      <c r="C402" s="1" t="n">
        <v>45851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53982-2022</t>
        </is>
      </c>
      <c r="B403" s="1" t="n">
        <v>44876</v>
      </c>
      <c r="C403" s="1" t="n">
        <v>45851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53466-2022</t>
        </is>
      </c>
      <c r="B404" s="1" t="n">
        <v>44879</v>
      </c>
      <c r="C404" s="1" t="n">
        <v>45851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55670-2022</t>
        </is>
      </c>
      <c r="B405" s="1" t="n">
        <v>44888</v>
      </c>
      <c r="C405" s="1" t="n">
        <v>45851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55587-2022</t>
        </is>
      </c>
      <c r="B406" s="1" t="n">
        <v>44888</v>
      </c>
      <c r="C406" s="1" t="n">
        <v>45851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57429-2022</t>
        </is>
      </c>
      <c r="B407" s="1" t="n">
        <v>44889</v>
      </c>
      <c r="C407" s="1" t="n">
        <v>45851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56633-2022</t>
        </is>
      </c>
      <c r="B408" s="1" t="n">
        <v>44893</v>
      </c>
      <c r="C408" s="1" t="n">
        <v>45851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56930-2022</t>
        </is>
      </c>
      <c r="B409" s="1" t="n">
        <v>44894</v>
      </c>
      <c r="C409" s="1" t="n">
        <v>45851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45851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58288-2022</t>
        </is>
      </c>
      <c r="B411" s="1" t="n">
        <v>44894</v>
      </c>
      <c r="C411" s="1" t="n">
        <v>45851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57034-2022</t>
        </is>
      </c>
      <c r="B412" s="1" t="n">
        <v>44895</v>
      </c>
      <c r="C412" s="1" t="n">
        <v>45851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60474-2022</t>
        </is>
      </c>
      <c r="B413" s="1" t="n">
        <v>44904</v>
      </c>
      <c r="C413" s="1" t="n">
        <v>45851</v>
      </c>
      <c r="D413" t="inlineStr">
        <is>
          <t>SKÅNE LÄN</t>
        </is>
      </c>
      <c r="E413" t="inlineStr">
        <is>
          <t>KRISTIANSTAD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59625-2022</t>
        </is>
      </c>
      <c r="B414" s="1" t="n">
        <v>44907</v>
      </c>
      <c r="C414" s="1" t="n">
        <v>45851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59721-2022</t>
        </is>
      </c>
      <c r="B415" s="1" t="n">
        <v>44908</v>
      </c>
      <c r="C415" s="1" t="n">
        <v>45851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59718-2022</t>
        </is>
      </c>
      <c r="B416" s="1" t="n">
        <v>44908</v>
      </c>
      <c r="C416" s="1" t="n">
        <v>45851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60333-2022</t>
        </is>
      </c>
      <c r="B417" s="1" t="n">
        <v>44910</v>
      </c>
      <c r="C417" s="1" t="n">
        <v>45851</v>
      </c>
      <c r="D417" t="inlineStr">
        <is>
          <t>SKÅNE LÄN</t>
        </is>
      </c>
      <c r="E417" t="inlineStr">
        <is>
          <t>KRISTIANSTAD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62156-2022</t>
        </is>
      </c>
      <c r="B418" s="1" t="n">
        <v>44915</v>
      </c>
      <c r="C418" s="1" t="n">
        <v>45851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62062-2022</t>
        </is>
      </c>
      <c r="B419" s="1" t="n">
        <v>44918</v>
      </c>
      <c r="C419" s="1" t="n">
        <v>45851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62066-2022</t>
        </is>
      </c>
      <c r="B420" s="1" t="n">
        <v>44918</v>
      </c>
      <c r="C420" s="1" t="n">
        <v>45851</v>
      </c>
      <c r="D420" t="inlineStr">
        <is>
          <t>SKÅNE LÄN</t>
        </is>
      </c>
      <c r="E420" t="inlineStr">
        <is>
          <t>KRISTIANSTAD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62064-2022</t>
        </is>
      </c>
      <c r="B421" s="1" t="n">
        <v>44918</v>
      </c>
      <c r="C421" s="1" t="n">
        <v>45851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62063-2022</t>
        </is>
      </c>
      <c r="B422" s="1" t="n">
        <v>44918</v>
      </c>
      <c r="C422" s="1" t="n">
        <v>45851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62397-2022</t>
        </is>
      </c>
      <c r="B423" s="1" t="n">
        <v>44923</v>
      </c>
      <c r="C423" s="1" t="n">
        <v>45851</v>
      </c>
      <c r="D423" t="inlineStr">
        <is>
          <t>SKÅNE LÄN</t>
        </is>
      </c>
      <c r="E423" t="inlineStr">
        <is>
          <t>KRISTIANSTAD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429-2023</t>
        </is>
      </c>
      <c r="B424" s="1" t="n">
        <v>44923</v>
      </c>
      <c r="C424" s="1" t="n">
        <v>45851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939-2023</t>
        </is>
      </c>
      <c r="B425" s="1" t="n">
        <v>44933</v>
      </c>
      <c r="C425" s="1" t="n">
        <v>45851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941-2023</t>
        </is>
      </c>
      <c r="B426" s="1" t="n">
        <v>44933</v>
      </c>
      <c r="C426" s="1" t="n">
        <v>45851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1427-2023</t>
        </is>
      </c>
      <c r="B427" s="1" t="n">
        <v>44937</v>
      </c>
      <c r="C427" s="1" t="n">
        <v>45851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1726-2023</t>
        </is>
      </c>
      <c r="B428" s="1" t="n">
        <v>44938</v>
      </c>
      <c r="C428" s="1" t="n">
        <v>45851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2257-2023</t>
        </is>
      </c>
      <c r="B429" s="1" t="n">
        <v>44942</v>
      </c>
      <c r="C429" s="1" t="n">
        <v>45851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2829-2023</t>
        </is>
      </c>
      <c r="B430" s="1" t="n">
        <v>44945</v>
      </c>
      <c r="C430" s="1" t="n">
        <v>45851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2834-2023</t>
        </is>
      </c>
      <c r="B431" s="1" t="n">
        <v>44945</v>
      </c>
      <c r="C431" s="1" t="n">
        <v>45851</v>
      </c>
      <c r="D431" t="inlineStr">
        <is>
          <t>SKÅNE LÄN</t>
        </is>
      </c>
      <c r="E431" t="inlineStr">
        <is>
          <t>KRISTIANSTAD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2828-2023</t>
        </is>
      </c>
      <c r="B432" s="1" t="n">
        <v>44945</v>
      </c>
      <c r="C432" s="1" t="n">
        <v>45851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3608-2023</t>
        </is>
      </c>
      <c r="B433" s="1" t="n">
        <v>44946</v>
      </c>
      <c r="C433" s="1" t="n">
        <v>45851</v>
      </c>
      <c r="D433" t="inlineStr">
        <is>
          <t>SKÅNE LÄN</t>
        </is>
      </c>
      <c r="E433" t="inlineStr">
        <is>
          <t>KRISTIANSTAD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4189-2023</t>
        </is>
      </c>
      <c r="B434" s="1" t="n">
        <v>44953</v>
      </c>
      <c r="C434" s="1" t="n">
        <v>45851</v>
      </c>
      <c r="D434" t="inlineStr">
        <is>
          <t>SKÅNE LÄN</t>
        </is>
      </c>
      <c r="E434" t="inlineStr">
        <is>
          <t>KRISTIANSTAD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5723-2023</t>
        </is>
      </c>
      <c r="B435" s="1" t="n">
        <v>44961</v>
      </c>
      <c r="C435" s="1" t="n">
        <v>45851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5874-2023</t>
        </is>
      </c>
      <c r="B436" s="1" t="n">
        <v>44963</v>
      </c>
      <c r="C436" s="1" t="n">
        <v>45851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5939-2023</t>
        </is>
      </c>
      <c r="B437" s="1" t="n">
        <v>44963</v>
      </c>
      <c r="C437" s="1" t="n">
        <v>45851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5974-2023</t>
        </is>
      </c>
      <c r="B438" s="1" t="n">
        <v>44964</v>
      </c>
      <c r="C438" s="1" t="n">
        <v>45851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5975-2023</t>
        </is>
      </c>
      <c r="B439" s="1" t="n">
        <v>44964</v>
      </c>
      <c r="C439" s="1" t="n">
        <v>45851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6848-2023</t>
        </is>
      </c>
      <c r="B440" s="1" t="n">
        <v>44967</v>
      </c>
      <c r="C440" s="1" t="n">
        <v>45851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8208-2023</t>
        </is>
      </c>
      <c r="B441" s="1" t="n">
        <v>44971</v>
      </c>
      <c r="C441" s="1" t="n">
        <v>45851</v>
      </c>
      <c r="D441" t="inlineStr">
        <is>
          <t>SKÅNE LÄN</t>
        </is>
      </c>
      <c r="E441" t="inlineStr">
        <is>
          <t>KRISTIANSTAD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7565-2023</t>
        </is>
      </c>
      <c r="B442" s="1" t="n">
        <v>44972</v>
      </c>
      <c r="C442" s="1" t="n">
        <v>45851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9684-2023</t>
        </is>
      </c>
      <c r="B443" s="1" t="n">
        <v>44984</v>
      </c>
      <c r="C443" s="1" t="n">
        <v>45851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9794-2023</t>
        </is>
      </c>
      <c r="B444" s="1" t="n">
        <v>44984</v>
      </c>
      <c r="C444" s="1" t="n">
        <v>45851</v>
      </c>
      <c r="D444" t="inlineStr">
        <is>
          <t>SKÅNE LÄN</t>
        </is>
      </c>
      <c r="E444" t="inlineStr">
        <is>
          <t>KRISTIANSTAD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10748-2023</t>
        </is>
      </c>
      <c r="B445" s="1" t="n">
        <v>44984</v>
      </c>
      <c r="C445" s="1" t="n">
        <v>45851</v>
      </c>
      <c r="D445" t="inlineStr">
        <is>
          <t>SKÅNE LÄN</t>
        </is>
      </c>
      <c r="E445" t="inlineStr">
        <is>
          <t>KRISTIANSTAD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10058-2023</t>
        </is>
      </c>
      <c r="B446" s="1" t="n">
        <v>44985</v>
      </c>
      <c r="C446" s="1" t="n">
        <v>45851</v>
      </c>
      <c r="D446" t="inlineStr">
        <is>
          <t>SKÅNE LÄN</t>
        </is>
      </c>
      <c r="E446" t="inlineStr">
        <is>
          <t>KRISTIANSTAD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10580-2023</t>
        </is>
      </c>
      <c r="B447" s="1" t="n">
        <v>44988</v>
      </c>
      <c r="C447" s="1" t="n">
        <v>45851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10988-2023</t>
        </is>
      </c>
      <c r="B448" s="1" t="n">
        <v>44991</v>
      </c>
      <c r="C448" s="1" t="n">
        <v>45851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10971-2023</t>
        </is>
      </c>
      <c r="B449" s="1" t="n">
        <v>44991</v>
      </c>
      <c r="C449" s="1" t="n">
        <v>45851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11272-2023</t>
        </is>
      </c>
      <c r="B450" s="1" t="n">
        <v>44992</v>
      </c>
      <c r="C450" s="1" t="n">
        <v>45851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45851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11274-2023</t>
        </is>
      </c>
      <c r="B452" s="1" t="n">
        <v>44992</v>
      </c>
      <c r="C452" s="1" t="n">
        <v>45851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11505-2023</t>
        </is>
      </c>
      <c r="B453" s="1" t="n">
        <v>44993</v>
      </c>
      <c r="C453" s="1" t="n">
        <v>45851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11970-2023</t>
        </is>
      </c>
      <c r="B454" s="1" t="n">
        <v>44995</v>
      </c>
      <c r="C454" s="1" t="n">
        <v>45851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11997-2023</t>
        </is>
      </c>
      <c r="B455" s="1" t="n">
        <v>44995</v>
      </c>
      <c r="C455" s="1" t="n">
        <v>45851</v>
      </c>
      <c r="D455" t="inlineStr">
        <is>
          <t>SKÅNE LÄN</t>
        </is>
      </c>
      <c r="E455" t="inlineStr">
        <is>
          <t>KRISTIANSTAD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12317-2023</t>
        </is>
      </c>
      <c r="B456" s="1" t="n">
        <v>44997</v>
      </c>
      <c r="C456" s="1" t="n">
        <v>45851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45851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12615-2023</t>
        </is>
      </c>
      <c r="B458" s="1" t="n">
        <v>45000</v>
      </c>
      <c r="C458" s="1" t="n">
        <v>45851</v>
      </c>
      <c r="D458" t="inlineStr">
        <is>
          <t>SKÅNE LÄN</t>
        </is>
      </c>
      <c r="E458" t="inlineStr">
        <is>
          <t>KRISTIANSTAD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13070-2023</t>
        </is>
      </c>
      <c r="B459" s="1" t="n">
        <v>45002</v>
      </c>
      <c r="C459" s="1" t="n">
        <v>45851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13211-2023</t>
        </is>
      </c>
      <c r="B460" s="1" t="n">
        <v>45002</v>
      </c>
      <c r="C460" s="1" t="n">
        <v>45851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13820-2023</t>
        </is>
      </c>
      <c r="B461" s="1" t="n">
        <v>45007</v>
      </c>
      <c r="C461" s="1" t="n">
        <v>45851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14105-2023</t>
        </is>
      </c>
      <c r="B462" s="1" t="n">
        <v>45009</v>
      </c>
      <c r="C462" s="1" t="n">
        <v>45851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14203-2023</t>
        </is>
      </c>
      <c r="B463" s="1" t="n">
        <v>45009</v>
      </c>
      <c r="C463" s="1" t="n">
        <v>45851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14214-2023</t>
        </is>
      </c>
      <c r="B464" s="1" t="n">
        <v>45009</v>
      </c>
      <c r="C464" s="1" t="n">
        <v>45851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14223-2023</t>
        </is>
      </c>
      <c r="B465" s="1" t="n">
        <v>45009</v>
      </c>
      <c r="C465" s="1" t="n">
        <v>45851</v>
      </c>
      <c r="D465" t="inlineStr">
        <is>
          <t>SKÅNE LÄN</t>
        </is>
      </c>
      <c r="E465" t="inlineStr">
        <is>
          <t>KRISTIANSTAD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14232-2023</t>
        </is>
      </c>
      <c r="B466" s="1" t="n">
        <v>45009</v>
      </c>
      <c r="C466" s="1" t="n">
        <v>45851</v>
      </c>
      <c r="D466" t="inlineStr">
        <is>
          <t>SKÅNE LÄN</t>
        </is>
      </c>
      <c r="E466" t="inlineStr">
        <is>
          <t>KRISTIANSTAD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14239-2023</t>
        </is>
      </c>
      <c r="B467" s="1" t="n">
        <v>45009</v>
      </c>
      <c r="C467" s="1" t="n">
        <v>45851</v>
      </c>
      <c r="D467" t="inlineStr">
        <is>
          <t>SKÅNE LÄN</t>
        </is>
      </c>
      <c r="E467" t="inlineStr">
        <is>
          <t>KRISTIANSTAD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14442-2023</t>
        </is>
      </c>
      <c r="B468" s="1" t="n">
        <v>45012</v>
      </c>
      <c r="C468" s="1" t="n">
        <v>45851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</v>
      </c>
      <c r="C469" s="1" t="n">
        <v>45851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14682-2023</t>
        </is>
      </c>
      <c r="B470" s="1" t="n">
        <v>45014</v>
      </c>
      <c r="C470" s="1" t="n">
        <v>45851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14837-2023</t>
        </is>
      </c>
      <c r="B471" s="1" t="n">
        <v>45014</v>
      </c>
      <c r="C471" s="1" t="n">
        <v>45851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45851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15105-2023</t>
        </is>
      </c>
      <c r="B473" s="1" t="n">
        <v>45015</v>
      </c>
      <c r="C473" s="1" t="n">
        <v>45851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15174-2023</t>
        </is>
      </c>
      <c r="B474" s="1" t="n">
        <v>45016</v>
      </c>
      <c r="C474" s="1" t="n">
        <v>45851</v>
      </c>
      <c r="D474" t="inlineStr">
        <is>
          <t>SKÅNE LÄN</t>
        </is>
      </c>
      <c r="E474" t="inlineStr">
        <is>
          <t>KRISTIANSTAD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15227-2023</t>
        </is>
      </c>
      <c r="B475" s="1" t="n">
        <v>45016</v>
      </c>
      <c r="C475" s="1" t="n">
        <v>45851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15322-2023</t>
        </is>
      </c>
      <c r="B476" s="1" t="n">
        <v>45019</v>
      </c>
      <c r="C476" s="1" t="n">
        <v>45851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15492-2023</t>
        </is>
      </c>
      <c r="B477" s="1" t="n">
        <v>45020</v>
      </c>
      <c r="C477" s="1" t="n">
        <v>45851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15507-2023</t>
        </is>
      </c>
      <c r="B478" s="1" t="n">
        <v>45020</v>
      </c>
      <c r="C478" s="1" t="n">
        <v>45851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15957-2023</t>
        </is>
      </c>
      <c r="B479" s="1" t="n">
        <v>45022</v>
      </c>
      <c r="C479" s="1" t="n">
        <v>45851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45851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16304-2023</t>
        </is>
      </c>
      <c r="B481" s="1" t="n">
        <v>45028</v>
      </c>
      <c r="C481" s="1" t="n">
        <v>45851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45851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18524-2023</t>
        </is>
      </c>
      <c r="B483" s="1" t="n">
        <v>45042</v>
      </c>
      <c r="C483" s="1" t="n">
        <v>45851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18522-2023</t>
        </is>
      </c>
      <c r="B484" s="1" t="n">
        <v>45042</v>
      </c>
      <c r="C484" s="1" t="n">
        <v>45851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18752-2023</t>
        </is>
      </c>
      <c r="B485" s="1" t="n">
        <v>45043</v>
      </c>
      <c r="C485" s="1" t="n">
        <v>45851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45851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19257-2023</t>
        </is>
      </c>
      <c r="B487" s="1" t="n">
        <v>45049</v>
      </c>
      <c r="C487" s="1" t="n">
        <v>45851</v>
      </c>
      <c r="D487" t="inlineStr">
        <is>
          <t>SKÅNE LÄN</t>
        </is>
      </c>
      <c r="E487" t="inlineStr">
        <is>
          <t>KRISTIANSTAD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19526-2023</t>
        </is>
      </c>
      <c r="B488" s="1" t="n">
        <v>45050</v>
      </c>
      <c r="C488" s="1" t="n">
        <v>45851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19880-2023</t>
        </is>
      </c>
      <c r="B489" s="1" t="n">
        <v>45054</v>
      </c>
      <c r="C489" s="1" t="n">
        <v>45851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22074-2023</t>
        </is>
      </c>
      <c r="B490" s="1" t="n">
        <v>45069</v>
      </c>
      <c r="C490" s="1" t="n">
        <v>45851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22815-2023</t>
        </is>
      </c>
      <c r="B491" s="1" t="n">
        <v>45072</v>
      </c>
      <c r="C491" s="1" t="n">
        <v>45851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22795-2023</t>
        </is>
      </c>
      <c r="B492" s="1" t="n">
        <v>45072</v>
      </c>
      <c r="C492" s="1" t="n">
        <v>45851</v>
      </c>
      <c r="D492" t="inlineStr">
        <is>
          <t>SKÅNE LÄN</t>
        </is>
      </c>
      <c r="E492" t="inlineStr">
        <is>
          <t>KRISTIANSTAD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23427-2023</t>
        </is>
      </c>
      <c r="B493" s="1" t="n">
        <v>45072</v>
      </c>
      <c r="C493" s="1" t="n">
        <v>45851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23550-2023</t>
        </is>
      </c>
      <c r="B494" s="1" t="n">
        <v>45077</v>
      </c>
      <c r="C494" s="1" t="n">
        <v>45851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23673-2023</t>
        </is>
      </c>
      <c r="B495" s="1" t="n">
        <v>45077</v>
      </c>
      <c r="C495" s="1" t="n">
        <v>45851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23674-2023</t>
        </is>
      </c>
      <c r="B496" s="1" t="n">
        <v>45077</v>
      </c>
      <c r="C496" s="1" t="n">
        <v>45851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24164-2023</t>
        </is>
      </c>
      <c r="B497" s="1" t="n">
        <v>45079</v>
      </c>
      <c r="C497" s="1" t="n">
        <v>45851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24580-2023</t>
        </is>
      </c>
      <c r="B498" s="1" t="n">
        <v>45083</v>
      </c>
      <c r="C498" s="1" t="n">
        <v>45851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24579-2023</t>
        </is>
      </c>
      <c r="B499" s="1" t="n">
        <v>45083</v>
      </c>
      <c r="C499" s="1" t="n">
        <v>45851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24583-2023</t>
        </is>
      </c>
      <c r="B500" s="1" t="n">
        <v>45083</v>
      </c>
      <c r="C500" s="1" t="n">
        <v>45851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24582-2023</t>
        </is>
      </c>
      <c r="B501" s="1" t="n">
        <v>45083</v>
      </c>
      <c r="C501" s="1" t="n">
        <v>45851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24947-2023</t>
        </is>
      </c>
      <c r="B502" s="1" t="n">
        <v>45085</v>
      </c>
      <c r="C502" s="1" t="n">
        <v>45851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24952-2023</t>
        </is>
      </c>
      <c r="B503" s="1" t="n">
        <v>45085</v>
      </c>
      <c r="C503" s="1" t="n">
        <v>45851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25456-2023</t>
        </is>
      </c>
      <c r="B504" s="1" t="n">
        <v>45089</v>
      </c>
      <c r="C504" s="1" t="n">
        <v>45851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45851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45851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45851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45851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45851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45851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45851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45851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45851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45851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45851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45851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45851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45851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45851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45851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45851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45851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45851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45851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45851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45851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45851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45851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45851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45851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45851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45851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45851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45851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45851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45851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45851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45851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45851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45851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45851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45851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45851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45851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45851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45851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45851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45851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45851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45851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45851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45851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45851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45851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45851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45851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45851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45851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45851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45851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45851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45851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45851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45851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45851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45851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45851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45851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45851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45851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45851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45851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45851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45851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45851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45851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45851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45851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45851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45851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45851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45851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45851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45851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45851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45851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45851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45851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45851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45851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45851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45851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45851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45851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45851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45851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45851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45851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45851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45851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45851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45851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45851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45851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45851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45851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45851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45851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45851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45851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45851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45851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45851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45851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45851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45851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45851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45851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45851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45851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45851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45851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45851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45851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45851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45851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45851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45851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45851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45851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45851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45851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45851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45851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45851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45851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45851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45851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45851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45851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45851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45851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45851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45851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45851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45851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45851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45851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45851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45851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45851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45851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45851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45851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45851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45851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45851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45851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45851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45851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45851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45851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45851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45851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45851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45851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45851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45851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45851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45851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45851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45851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45851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45851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45851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45851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45851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45851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45851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45851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45851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45851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45851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45851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45851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45851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45851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45851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45851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45851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45851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45851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45851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45851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45851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45851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45851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45851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45851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45851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45851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45851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45851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45851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45851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45851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45851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45851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45851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45851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45851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45851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45851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45851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45851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45851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45851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45851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45851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45851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45851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45851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45851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45851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45851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45851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45851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45851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45851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45851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45851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45851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45851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45851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45851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45851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45851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45851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45851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45851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45851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45851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45851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45851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45851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45851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45851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45851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45851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45851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45851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45851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45851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45851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45851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45851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45851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45851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45851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45851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45851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45851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45851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45851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45851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45851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45851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45851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45851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45851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45851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45851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45851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45851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45851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45851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45851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45851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45851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45851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45851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45851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45851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45851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45851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45851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45851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45851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45851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45851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45851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45851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45851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45851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45851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45851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45851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45851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45851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45851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45851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45851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45851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45851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45851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45851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45851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45851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45851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45851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45851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45851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45851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45851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45851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45851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45851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45851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45851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45851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45851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45851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45851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45851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45851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45851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45851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45851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45851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45851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45851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45851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45851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45851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45851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45851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45851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45851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45851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45851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45851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45851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45851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45851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45851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45851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45851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45851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45851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45851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45851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45851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45851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45851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45851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45851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45851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45851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45851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45851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45851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45851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45851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45851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45851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45851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45851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45851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45851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45851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45851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45851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45851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45851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45851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45851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45851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45851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45851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45851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45851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45851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45851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45851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45851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45851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45851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45851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45851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45851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45851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45851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45851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45851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45851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45851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45851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45851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45851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45851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45851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45851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45851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45851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45851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45851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45851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45851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45851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45851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45851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45851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45851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45851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45851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45851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45851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45851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45851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45851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45851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45851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45851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45851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45851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45851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45851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45851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45851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45851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45851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45851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45851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45851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45851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45851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45851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45851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45851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45851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45851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45851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45851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45851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45851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45851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45851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45851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45851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45851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45851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45851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45851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45851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45851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45851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45851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45851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45851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45851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45851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45851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45851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45851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45851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45851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45851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45851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45851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45851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45851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45851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45851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45851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45851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45851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45851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45851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45851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45851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45851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45851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45851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45851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45851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45851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45851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45851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45851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45851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45851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45851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45851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45851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45851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45851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45851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45851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45851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45851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45851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45851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45851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45851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45851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45851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45851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45851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45851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45851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45851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45851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45851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45851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45851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45851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45851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45851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45851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45851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45851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45851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45851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45851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45851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45851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45851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45851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45851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45851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45851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45851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45851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45851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45851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45851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45851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45851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45851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45851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45851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45851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45851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45851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45851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45851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45851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45851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45851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45851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45851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45851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45851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45851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45851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45851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45851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45851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45851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45851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45851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45851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45851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45851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45851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45851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45851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45851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45851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45851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45851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45851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45851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45851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45851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45851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45851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45851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45851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45851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45851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45851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45851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45851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45851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45851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45851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45851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45851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45851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45851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45851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45851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45851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45851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45851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45851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45851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45851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45851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45851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45851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45851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45851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45851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45851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45851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45851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45851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45851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45851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45851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45851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31575-2025</t>
        </is>
      </c>
      <c r="B1114" s="1" t="n">
        <v>45833</v>
      </c>
      <c r="C1114" s="1" t="n">
        <v>45851</v>
      </c>
      <c r="D1114" t="inlineStr">
        <is>
          <t>SKÅNE LÄN</t>
        </is>
      </c>
      <c r="E1114" t="inlineStr">
        <is>
          <t>KRISTIANSTAD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45851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45851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32959-2025</t>
        </is>
      </c>
      <c r="B1117" s="1" t="n">
        <v>45839</v>
      </c>
      <c r="C1117" s="1" t="n">
        <v>45851</v>
      </c>
      <c r="D1117" t="inlineStr">
        <is>
          <t>SKÅNE LÄN</t>
        </is>
      </c>
      <c r="E1117" t="inlineStr">
        <is>
          <t>KRISTIANSTAD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32971-2025</t>
        </is>
      </c>
      <c r="B1118" s="1" t="n">
        <v>45839</v>
      </c>
      <c r="C1118" s="1" t="n">
        <v>45851</v>
      </c>
      <c r="D1118" t="inlineStr">
        <is>
          <t>SKÅNE LÄN</t>
        </is>
      </c>
      <c r="E1118" t="inlineStr">
        <is>
          <t>KRISTIANSTAD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45851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34096-2025</t>
        </is>
      </c>
      <c r="B1120" s="1" t="n">
        <v>45845</v>
      </c>
      <c r="C1120" s="1" t="n">
        <v>45851</v>
      </c>
      <c r="D1120" t="inlineStr">
        <is>
          <t>SKÅNE LÄN</t>
        </is>
      </c>
      <c r="E1120" t="inlineStr">
        <is>
          <t>KRISTIANSTAD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34131-2025</t>
        </is>
      </c>
      <c r="B1121" s="1" t="n">
        <v>45845</v>
      </c>
      <c r="C1121" s="1" t="n">
        <v>45851</v>
      </c>
      <c r="D1121" t="inlineStr">
        <is>
          <t>SKÅNE LÄN</t>
        </is>
      </c>
      <c r="E1121" t="inlineStr">
        <is>
          <t>KRISTIANSTAD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34126-2025</t>
        </is>
      </c>
      <c r="B1122" s="1" t="n">
        <v>45845</v>
      </c>
      <c r="C1122" s="1" t="n">
        <v>45851</v>
      </c>
      <c r="D1122" t="inlineStr">
        <is>
          <t>SKÅNE LÄN</t>
        </is>
      </c>
      <c r="E1122" t="inlineStr">
        <is>
          <t>KRISTIANSTAD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34377-2025</t>
        </is>
      </c>
      <c r="B1123" s="1" t="n">
        <v>45846</v>
      </c>
      <c r="C1123" s="1" t="n">
        <v>45851</v>
      </c>
      <c r="D1123" t="inlineStr">
        <is>
          <t>SKÅNE LÄN</t>
        </is>
      </c>
      <c r="E1123" t="inlineStr">
        <is>
          <t>KRISTIANSTAD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34610-2025</t>
        </is>
      </c>
      <c r="B1124" s="1" t="n">
        <v>45846</v>
      </c>
      <c r="C1124" s="1" t="n">
        <v>45851</v>
      </c>
      <c r="D1124" t="inlineStr">
        <is>
          <t>SKÅNE LÄN</t>
        </is>
      </c>
      <c r="E1124" t="inlineStr">
        <is>
          <t>KRISTIANSTAD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2025-07-13T19:51:21Z</dcterms:created>
  <dcterms:modified xmlns:dcterms="http://purl.org/dc/terms/" xmlns:xsi="http://www.w3.org/2001/XMLSchema-instance" xsi:type="dcterms:W3CDTF">2025-07-13T19:51:22Z</dcterms:modified>
</cp:coreProperties>
</file>